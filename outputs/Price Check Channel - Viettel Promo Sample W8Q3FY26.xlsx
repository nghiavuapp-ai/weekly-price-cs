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worksheets/sheet16.xml" ContentType="application/vnd.openxmlformats-officedocument.spreadsheetml.worksheet+xml"/>
  <Override PartName="/xl/drawings/drawing1.xml" ContentType="application/vnd.openxmlformats-officedocument.drawing+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worksheets/sheet18.xml" ContentType="application/vnd.openxmlformats-officedocument.spreadsheetml.worksheet+xml"/>
  <Override PartName="/xl/drawings/drawing2.xml" ContentType="application/vnd.openxmlformats-officedocument.drawing+xml"/>
  <Override PartName="/xl/comments/comment18.xml" ContentType="application/vnd.openxmlformats-officedocument.spreadsheetml.comments+xml"/>
  <Override PartName="/xl/worksheets/sheet19.xml" ContentType="application/vnd.openxmlformats-officedocument.spreadsheetml.worksheet+xml"/>
  <Override PartName="/xl/drawings/drawing3.xml" ContentType="application/vnd.openxmlformats-officedocument.drawing+xml"/>
  <Override PartName="/xl/comments/comment19.xml" ContentType="application/vnd.openxmlformats-officedocument.spreadsheetml.comments+xml"/>
  <Override PartName="/xl/worksheets/sheet20.xml" ContentType="application/vnd.openxmlformats-officedocument.spreadsheetml.worksheet+xml"/>
  <Override PartName="/xl/comments/comment20.xml" ContentType="application/vnd.openxmlformats-officedocument.spreadsheetml.comments+xml"/>
  <Override PartName="/xl/worksheets/sheet21.xml" ContentType="application/vnd.openxmlformats-officedocument.spreadsheetml.worksheet+xml"/>
  <Override PartName="/xl/comments/comment21.xml" ContentType="application/vnd.openxmlformats-officedocument.spreadsheetml.comments+xml"/>
  <Override PartName="/xl/worksheets/sheet22.xml" ContentType="application/vnd.openxmlformats-officedocument.spreadsheetml.worksheet+xml"/>
  <Override PartName="/xl/comments/comment22.xml" ContentType="application/vnd.openxmlformats-officedocument.spreadsheetml.comments+xml"/>
  <Override PartName="/xl/worksheets/sheet23.xml" ContentType="application/vnd.openxmlformats-officedocument.spreadsheetml.worksheet+xml"/>
  <Override PartName="/xl/comments/comment23.xml" ContentType="application/vnd.openxmlformats-officedocument.spreadsheetml.comments+xml"/>
  <Override PartName="/xl/worksheets/sheet24.xml" ContentType="application/vnd.openxmlformats-officedocument.spreadsheetml.worksheet+xml"/>
  <Override PartName="/xl/comments/comment24.xml" ContentType="application/vnd.openxmlformats-officedocument.spreadsheetml.comments+xml"/>
  <Override PartName="/xl/worksheets/sheet25.xml" ContentType="application/vnd.openxmlformats-officedocument.spreadsheetml.worksheet+xml"/>
  <Override PartName="/xl/comments/comment25.xml" ContentType="application/vnd.openxmlformats-officedocument.spreadsheetml.comments+xml"/>
  <Override PartName="/xl/worksheets/sheet26.xml" ContentType="application/vnd.openxmlformats-officedocument.spreadsheetml.worksheet+xml"/>
  <Override PartName="/xl/comments/comment26.xml" ContentType="application/vnd.openxmlformats-officedocument.spreadsheetml.comments+xml"/>
  <Override PartName="/xl/worksheets/sheet27.xml" ContentType="application/vnd.openxmlformats-officedocument.spreadsheetml.worksheet+xml"/>
  <Override PartName="/xl/comments/comment27.xml" ContentType="application/vnd.openxmlformats-officedocument.spreadsheetml.comments+xml"/>
  <Override PartName="/xl/worksheets/sheet28.xml" ContentType="application/vnd.openxmlformats-officedocument.spreadsheetml.worksheet+xml"/>
  <Override PartName="/xl/comments/comment28.xml" ContentType="application/vnd.openxmlformats-officedocument.spreadsheetml.comments+xml"/>
  <Override PartName="/xl/worksheets/sheet29.xml" ContentType="application/vnd.openxmlformats-officedocument.spreadsheetml.worksheet+xml"/>
  <Override PartName="/xl/comments/comment29.xml" ContentType="application/vnd.openxmlformats-officedocument.spreadsheetml.comments+xml"/>
  <Override PartName="/xl/worksheets/sheet30.xml" ContentType="application/vnd.openxmlformats-officedocument.spreadsheetml.worksheet+xml"/>
  <Override PartName="/xl/comments/comment30.xml" ContentType="application/vnd.openxmlformats-officedocument.spreadsheetml.comments+xml"/>
  <Override PartName="/xl/worksheets/sheet31.xml" ContentType="application/vnd.openxmlformats-officedocument.spreadsheetml.worksheet+xml"/>
  <Override PartName="/xl/comments/comment31.xml" ContentType="application/vnd.openxmlformats-officedocument.spreadsheetml.comments+xml"/>
  <Override PartName="/xl/worksheets/sheet32.xml" ContentType="application/vnd.openxmlformats-officedocument.spreadsheetml.worksheet+xml"/>
  <Override PartName="/xl/comments/comment32.xml" ContentType="application/vnd.openxmlformats-officedocument.spreadsheetml.comments+xml"/>
  <Override PartName="/xl/worksheets/sheet33.xml" ContentType="application/vnd.openxmlformats-officedocument.spreadsheetml.worksheet+xml"/>
  <Override PartName="/xl/comments/comment33.xml" ContentType="application/vnd.openxmlformats-officedocument.spreadsheetml.comments+xml"/>
  <Override PartName="/xl/worksheets/sheet34.xml" ContentType="application/vnd.openxmlformats-officedocument.spreadsheetml.worksheet+xml"/>
  <Override PartName="/xl/comments/comment34.xml" ContentType="application/vnd.openxmlformats-officedocument.spreadsheetml.comments+xml"/>
  <Override PartName="/xl/worksheets/sheet35.xml" ContentType="application/vnd.openxmlformats-officedocument.spreadsheetml.worksheet+xml"/>
  <Override PartName="/xl/comments/comment35.xml" ContentType="application/vnd.openxmlformats-officedocument.spreadsheetml.comments+xml"/>
  <Override PartName="/xl/worksheets/sheet36.xml" ContentType="application/vnd.openxmlformats-officedocument.spreadsheetml.worksheet+xml"/>
  <Override PartName="/xl/comments/comment36.xml" ContentType="application/vnd.openxmlformats-officedocument.spreadsheetml.comments+xml"/>
  <Override PartName="/xl/worksheets/sheet37.xml" ContentType="application/vnd.openxmlformats-officedocument.spreadsheetml.worksheet+xml"/>
  <Override PartName="/xl/comments/comment37.xml" ContentType="application/vnd.openxmlformats-officedocument.spreadsheetml.comments+xml"/>
  <Override PartName="/xl/worksheets/sheet38.xml" ContentType="application/vnd.openxmlformats-officedocument.spreadsheetml.worksheet+xml"/>
  <Override PartName="/xl/comments/comment38.xml" ContentType="application/vnd.openxmlformats-officedocument.spreadsheetml.comments+xml"/>
  <Override PartName="/xl/worksheets/sheet39.xml" ContentType="application/vnd.openxmlformats-officedocument.spreadsheetml.worksheet+xml"/>
  <Override PartName="/xl/comments/comment39.xml" ContentType="application/vnd.openxmlformats-officedocument.spreadsheetml.comments+xml"/>
  <Override PartName="/xl/worksheets/sheet40.xml" ContentType="application/vnd.openxmlformats-officedocument.spreadsheetml.worksheet+xml"/>
  <Override PartName="/xl/comments/comment40.xml" ContentType="application/vnd.openxmlformats-officedocument.spreadsheetml.comments+xml"/>
  <Override PartName="/xl/worksheets/sheet41.xml" ContentType="application/vnd.openxmlformats-officedocument.spreadsheetml.worksheet+xml"/>
  <Override PartName="/xl/comments/comment41.xml" ContentType="application/vnd.openxmlformats-officedocument.spreadsheetml.comments+xml"/>
  <Override PartName="/xl/worksheets/sheet42.xml" ContentType="application/vnd.openxmlformats-officedocument.spreadsheetml.worksheet+xml"/>
  <Override PartName="/xl/comments/comment42.xml" ContentType="application/vnd.openxmlformats-officedocument.spreadsheetml.comments+xml"/>
  <Override PartName="/xl/worksheets/sheet43.xml" ContentType="application/vnd.openxmlformats-officedocument.spreadsheetml.worksheet+xml"/>
  <Override PartName="/xl/comments/comment43.xml" ContentType="application/vnd.openxmlformats-officedocument.spreadsheetml.comments+xml"/>
  <Override PartName="/xl/worksheets/sheet44.xml" ContentType="application/vnd.openxmlformats-officedocument.spreadsheetml.worksheet+xml"/>
  <Override PartName="/xl/comments/comment44.xml" ContentType="application/vnd.openxmlformats-officedocument.spreadsheetml.comments+xml"/>
  <Override PartName="/xl/worksheets/sheet45.xml" ContentType="application/vnd.openxmlformats-officedocument.spreadsheetml.worksheet+xml"/>
  <Override PartName="/xl/comments/comment45.xml" ContentType="application/vnd.openxmlformats-officedocument.spreadsheetml.comments+xml"/>
  <Override PartName="/xl/worksheets/sheet46.xml" ContentType="application/vnd.openxmlformats-officedocument.spreadsheetml.worksheet+xml"/>
  <Override PartName="/xl/comments/comment46.xml" ContentType="application/vnd.openxmlformats-officedocument.spreadsheetml.comments+xml"/>
  <Override PartName="/xl/worksheets/sheet47.xml" ContentType="application/vnd.openxmlformats-officedocument.spreadsheetml.worksheet+xml"/>
  <Override PartName="/xl/comments/comment47.xml" ContentType="application/vnd.openxmlformats-officedocument.spreadsheetml.comments+xml"/>
  <Override PartName="/xl/worksheets/sheet48.xml" ContentType="application/vnd.openxmlformats-officedocument.spreadsheetml.worksheet+xml"/>
  <Override PartName="/xl/comments/comment48.xml" ContentType="application/vnd.openxmlformats-officedocument.spreadsheetml.comments+xml"/>
  <Override PartName="/xl/worksheets/sheet49.xml" ContentType="application/vnd.openxmlformats-officedocument.spreadsheetml.worksheet+xml"/>
  <Override PartName="/xl/comments/comment49.xml" ContentType="application/vnd.openxmlformats-officedocument.spreadsheetml.comments+xml"/>
  <Override PartName="/xl/worksheets/sheet50.xml" ContentType="application/vnd.openxmlformats-officedocument.spreadsheetml.worksheet+xml"/>
  <Override PartName="/xl/comments/comment50.xml" ContentType="application/vnd.openxmlformats-officedocument.spreadsheetml.comments+xml"/>
  <Override PartName="/xl/worksheets/sheet51.xml" ContentType="application/vnd.openxmlformats-officedocument.spreadsheetml.worksheet+xml"/>
  <Override PartName="/xl/comments/comment51.xml" ContentType="application/vnd.openxmlformats-officedocument.spreadsheetml.comments+xml"/>
  <Override PartName="/xl/worksheets/sheet52.xml" ContentType="application/vnd.openxmlformats-officedocument.spreadsheetml.worksheet+xml"/>
  <Override PartName="/xl/comments/comment52.xml" ContentType="application/vnd.openxmlformats-officedocument.spreadsheetml.comments+xml"/>
  <Override PartName="/xl/worksheets/sheet53.xml" ContentType="application/vnd.openxmlformats-officedocument.spreadsheetml.worksheet+xml"/>
  <Override PartName="/xl/comments/comment53.xml" ContentType="application/vnd.openxmlformats-officedocument.spreadsheetml.comments+xml"/>
  <Override PartName="/xl/worksheets/sheet54.xml" ContentType="application/vnd.openxmlformats-officedocument.spreadsheetml.worksheet+xml"/>
  <Override PartName="/xl/comments/comment54.xml" ContentType="application/vnd.openxmlformats-officedocument.spreadsheetml.comments+xml"/>
  <Override PartName="/xl/worksheets/sheet55.xml" ContentType="application/vnd.openxmlformats-officedocument.spreadsheetml.worksheet+xml"/>
  <Override PartName="/xl/comments/comment55.xml" ContentType="application/vnd.openxmlformats-officedocument.spreadsheetml.comments+xml"/>
  <Override PartName="/xl/worksheets/sheet56.xml" ContentType="application/vnd.openxmlformats-officedocument.spreadsheetml.worksheet+xml"/>
  <Override PartName="/xl/comments/comment56.xml" ContentType="application/vnd.openxmlformats-officedocument.spreadsheetml.comments+xml"/>
  <Override PartName="/xl/worksheets/sheet57.xml" ContentType="application/vnd.openxmlformats-officedocument.spreadsheetml.worksheet+xml"/>
  <Override PartName="/xl/comments/comment57.xml" ContentType="application/vnd.openxmlformats-officedocument.spreadsheetml.comments+xml"/>
  <Override PartName="/xl/worksheets/sheet58.xml" ContentType="application/vnd.openxmlformats-officedocument.spreadsheetml.worksheet+xml"/>
  <Override PartName="/xl/comments/comment58.xml" ContentType="application/vnd.openxmlformats-officedocument.spreadsheetml.comments+xml"/>
  <Override PartName="/xl/worksheets/sheet59.xml" ContentType="application/vnd.openxmlformats-officedocument.spreadsheetml.worksheet+xml"/>
  <Override PartName="/xl/comments/comment59.xml" ContentType="application/vnd.openxmlformats-officedocument.spreadsheetml.comments+xml"/>
  <Override PartName="/xl/worksheets/sheet60.xml" ContentType="application/vnd.openxmlformats-officedocument.spreadsheetml.worksheet+xml"/>
  <Override PartName="/xl/comments/comment60.xml" ContentType="application/vnd.openxmlformats-officedocument.spreadsheetml.comments+xml"/>
  <Override PartName="/xl/worksheets/sheet61.xml" ContentType="application/vnd.openxmlformats-officedocument.spreadsheetml.worksheet+xml"/>
  <Override PartName="/xl/comments/comment61.xml" ContentType="application/vnd.openxmlformats-officedocument.spreadsheetml.comments+xml"/>
  <Override PartName="/xl/worksheets/sheet62.xml" ContentType="application/vnd.openxmlformats-officedocument.spreadsheetml.worksheet+xml"/>
  <Override PartName="/xl/comments/comment62.xml" ContentType="application/vnd.openxmlformats-officedocument.spreadsheetml.comments+xml"/>
  <Override PartName="/xl/worksheets/sheet63.xml" ContentType="application/vnd.openxmlformats-officedocument.spreadsheetml.worksheet+xml"/>
  <Override PartName="/xl/comments/comment63.xml" ContentType="application/vnd.openxmlformats-officedocument.spreadsheetml.comments+xml"/>
  <Override PartName="/xl/worksheets/sheet64.xml" ContentType="application/vnd.openxmlformats-officedocument.spreadsheetml.worksheet+xml"/>
  <Override PartName="/xl/comments/comment64.xml" ContentType="application/vnd.openxmlformats-officedocument.spreadsheetml.comments+xml"/>
  <Override PartName="/xl/worksheets/sheet65.xml" ContentType="application/vnd.openxmlformats-officedocument.spreadsheetml.worksheet+xml"/>
  <Override PartName="/xl/comments/comment65.xml" ContentType="application/vnd.openxmlformats-officedocument.spreadsheetml.comments+xml"/>
  <Override PartName="/xl/worksheets/sheet66.xml" ContentType="application/vnd.openxmlformats-officedocument.spreadsheetml.worksheet+xml"/>
  <Override PartName="/xl/comments/comment66.xml" ContentType="application/vnd.openxmlformats-officedocument.spreadsheetml.comments+xml"/>
  <Override PartName="/xl/worksheets/sheet67.xml" ContentType="application/vnd.openxmlformats-officedocument.spreadsheetml.worksheet+xml"/>
  <Override PartName="/xl/comments/comment67.xml" ContentType="application/vnd.openxmlformats-officedocument.spreadsheetml.comments+xml"/>
  <Override PartName="/xl/worksheets/sheet68.xml" ContentType="application/vnd.openxmlformats-officedocument.spreadsheetml.worksheet+xml"/>
  <Override PartName="/xl/comments/comment68.xml" ContentType="application/vnd.openxmlformats-officedocument.spreadsheetml.comments+xml"/>
  <Override PartName="/xl/worksheets/sheet69.xml" ContentType="application/vnd.openxmlformats-officedocument.spreadsheetml.worksheet+xml"/>
  <Override PartName="/xl/comments/comment69.xml" ContentType="application/vnd.openxmlformats-officedocument.spreadsheetml.comments+xml"/>
  <Override PartName="/xl/worksheets/sheet70.xml" ContentType="application/vnd.openxmlformats-officedocument.spreadsheetml.worksheet+xml"/>
  <Override PartName="/xl/comments/comment70.xml" ContentType="application/vnd.openxmlformats-officedocument.spreadsheetml.comments+xml"/>
  <Override PartName="/xl/worksheets/sheet71.xml" ContentType="application/vnd.openxmlformats-officedocument.spreadsheetml.worksheet+xml"/>
  <Override PartName="/xl/comments/comment71.xml" ContentType="application/vnd.openxmlformats-officedocument.spreadsheetml.comments+xml"/>
  <Override PartName="/xl/worksheets/sheet72.xml" ContentType="application/vnd.openxmlformats-officedocument.spreadsheetml.worksheet+xml"/>
  <Override PartName="/xl/comments/comment72.xml" ContentType="application/vnd.openxmlformats-officedocument.spreadsheetml.comments+xml"/>
  <Override PartName="/xl/worksheets/sheet73.xml" ContentType="application/vnd.openxmlformats-officedocument.spreadsheetml.worksheet+xml"/>
  <Override PartName="/xl/comments/comment73.xml" ContentType="application/vnd.openxmlformats-officedocument.spreadsheetml.comments+xml"/>
  <Override PartName="/xl/worksheets/sheet74.xml" ContentType="application/vnd.openxmlformats-officedocument.spreadsheetml.worksheet+xml"/>
  <Override PartName="/xl/comments/comment74.xml" ContentType="application/vnd.openxmlformats-officedocument.spreadsheetml.comments+xml"/>
  <Override PartName="/xl/worksheets/sheet75.xml" ContentType="application/vnd.openxmlformats-officedocument.spreadsheetml.worksheet+xml"/>
  <Override PartName="/xl/comments/comment75.xml" ContentType="application/vnd.openxmlformats-officedocument.spreadsheetml.comments+xml"/>
  <Override PartName="/xl/worksheets/sheet76.xml" ContentType="application/vnd.openxmlformats-officedocument.spreadsheetml.worksheet+xml"/>
  <Override PartName="/xl/comments/comment76.xml" ContentType="application/vnd.openxmlformats-officedocument.spreadsheetml.comments+xml"/>
  <Override PartName="/xl/worksheets/sheet77.xml" ContentType="application/vnd.openxmlformats-officedocument.spreadsheetml.worksheet+xml"/>
  <Override PartName="/xl/comments/comment77.xml" ContentType="application/vnd.openxmlformats-officedocument.spreadsheetml.comments+xml"/>
  <Override PartName="/xl/worksheets/sheet78.xml" ContentType="application/vnd.openxmlformats-officedocument.spreadsheetml.worksheet+xml"/>
  <Override PartName="/xl/comments/comment78.xml" ContentType="application/vnd.openxmlformats-officedocument.spreadsheetml.comments+xml"/>
  <Override PartName="/xl/worksheets/sheet79.xml" ContentType="application/vnd.openxmlformats-officedocument.spreadsheetml.worksheet+xml"/>
  <Override PartName="/xl/comments/comment79.xml" ContentType="application/vnd.openxmlformats-officedocument.spreadsheetml.comments+xml"/>
  <Override PartName="/xl/worksheets/sheet80.xml" ContentType="application/vnd.openxmlformats-officedocument.spreadsheetml.worksheet+xml"/>
  <Override PartName="/xl/comments/comment80.xml" ContentType="application/vnd.openxmlformats-officedocument.spreadsheetml.comments+xml"/>
  <Override PartName="/xl/worksheets/sheet81.xml" ContentType="application/vnd.openxmlformats-officedocument.spreadsheetml.worksheet+xml"/>
  <Override PartName="/xl/comments/comment81.xml" ContentType="application/vnd.openxmlformats-officedocument.spreadsheetml.comments+xml"/>
  <Override PartName="/xl/worksheets/sheet82.xml" ContentType="application/vnd.openxmlformats-officedocument.spreadsheetml.worksheet+xml"/>
  <Override PartName="/xl/comments/comment82.xml" ContentType="application/vnd.openxmlformats-officedocument.spreadsheetml.comments+xml"/>
  <Override PartName="/xl/worksheets/sheet83.xml" ContentType="application/vnd.openxmlformats-officedocument.spreadsheetml.worksheet+xml"/>
  <Override PartName="/xl/comments/comment83.xml" ContentType="application/vnd.openxmlformats-officedocument.spreadsheetml.comments+xml"/>
  <Override PartName="/xl/worksheets/sheet84.xml" ContentType="application/vnd.openxmlformats-officedocument.spreadsheetml.worksheet+xml"/>
  <Override PartName="/xl/comments/comment84.xml" ContentType="application/vnd.openxmlformats-officedocument.spreadsheetml.comments+xml"/>
  <Override PartName="/xl/worksheets/sheet85.xml" ContentType="application/vnd.openxmlformats-officedocument.spreadsheetml.worksheet+xml"/>
  <Override PartName="/xl/comments/comment85.xml" ContentType="application/vnd.openxmlformats-officedocument.spreadsheetml.comments+xml"/>
  <Override PartName="/xl/worksheets/sheet86.xml" ContentType="application/vnd.openxmlformats-officedocument.spreadsheetml.worksheet+xml"/>
  <Override PartName="/xl/comments/comment86.xml" ContentType="application/vnd.openxmlformats-officedocument.spreadsheetml.comments+xml"/>
  <Override PartName="/xl/worksheets/sheet87.xml" ContentType="application/vnd.openxmlformats-officedocument.spreadsheetml.worksheet+xml"/>
  <Override PartName="/xl/comments/comment87.xml" ContentType="application/vnd.openxmlformats-officedocument.spreadsheetml.comments+xml"/>
  <Override PartName="/xl/worksheets/sheet88.xml" ContentType="application/vnd.openxmlformats-officedocument.spreadsheetml.worksheet+xml"/>
  <Override PartName="/xl/comments/comment88.xml" ContentType="application/vnd.openxmlformats-officedocument.spreadsheetml.comments+xml"/>
  <Override PartName="/xl/worksheets/sheet89.xml" ContentType="application/vnd.openxmlformats-officedocument.spreadsheetml.worksheet+xml"/>
  <Override PartName="/xl/comments/comment89.xml" ContentType="application/vnd.openxmlformats-officedocument.spreadsheetml.comments+xml"/>
  <Override PartName="/xl/worksheets/sheet90.xml" ContentType="application/vnd.openxmlformats-officedocument.spreadsheetml.worksheet+xml"/>
  <Override PartName="/xl/comments/comment90.xml" ContentType="application/vnd.openxmlformats-officedocument.spreadsheetml.comments+xml"/>
  <Override PartName="/xl/worksheets/sheet91.xml" ContentType="application/vnd.openxmlformats-officedocument.spreadsheetml.worksheet+xml"/>
  <Override PartName="/xl/comments/comment91.xml" ContentType="application/vnd.openxmlformats-officedocument.spreadsheetml.comments+xml"/>
  <Override PartName="/xl/worksheets/sheet92.xml" ContentType="application/vnd.openxmlformats-officedocument.spreadsheetml.worksheet+xml"/>
  <Override PartName="/xl/comments/comment92.xml" ContentType="application/vnd.openxmlformats-officedocument.spreadsheetml.comments+xml"/>
  <Override PartName="/xl/worksheets/sheet93.xml" ContentType="application/vnd.openxmlformats-officedocument.spreadsheetml.worksheet+xml"/>
  <Override PartName="/xl/comments/comment93.xml" ContentType="application/vnd.openxmlformats-officedocument.spreadsheetml.comments+xml"/>
  <Override PartName="/xl/worksheets/sheet94.xml" ContentType="application/vnd.openxmlformats-officedocument.spreadsheetml.worksheet+xml"/>
  <Override PartName="/xl/comments/comment94.xml" ContentType="application/vnd.openxmlformats-officedocument.spreadsheetml.comments+xml"/>
  <Override PartName="/xl/worksheets/sheet95.xml" ContentType="application/vnd.openxmlformats-officedocument.spreadsheetml.worksheet+xml"/>
  <Override PartName="/xl/comments/comment95.xml" ContentType="application/vnd.openxmlformats-officedocument.spreadsheetml.comments+xml"/>
  <Override PartName="/xl/worksheets/sheet96.xml" ContentType="application/vnd.openxmlformats-officedocument.spreadsheetml.worksheet+xml"/>
  <Override PartName="/xl/comments/comment96.xml" ContentType="application/vnd.openxmlformats-officedocument.spreadsheetml.comments+xml"/>
  <Override PartName="/xl/worksheets/sheet97.xml" ContentType="application/vnd.openxmlformats-officedocument.spreadsheetml.worksheet+xml"/>
  <Override PartName="/xl/comments/comment97.xml" ContentType="application/vnd.openxmlformats-officedocument.spreadsheetml.comments+xml"/>
  <Override PartName="/xl/worksheets/sheet98.xml" ContentType="application/vnd.openxmlformats-officedocument.spreadsheetml.worksheet+xml"/>
  <Override PartName="/xl/comments/comment98.xml" ContentType="application/vnd.openxmlformats-officedocument.spreadsheetml.comments+xml"/>
  <Override PartName="/xl/worksheets/sheet99.xml" ContentType="application/vnd.openxmlformats-officedocument.spreadsheetml.worksheet+xml"/>
  <Override PartName="/xl/comments/comment99.xml" ContentType="application/vnd.openxmlformats-officedocument.spreadsheetml.comments+xml"/>
  <Override PartName="/xl/worksheets/sheet100.xml" ContentType="application/vnd.openxmlformats-officedocument.spreadsheetml.worksheet+xml"/>
  <Override PartName="/xl/comments/comment100.xml" ContentType="application/vnd.openxmlformats-officedocument.spreadsheetml.comments+xml"/>
  <Override PartName="/xl/worksheets/sheet101.xml" ContentType="application/vnd.openxmlformats-officedocument.spreadsheetml.worksheet+xml"/>
  <Override PartName="/xl/comments/comment101.xml" ContentType="application/vnd.openxmlformats-officedocument.spreadsheetml.comments+xml"/>
  <Override PartName="/xl/worksheets/sheet102.xml" ContentType="application/vnd.openxmlformats-officedocument.spreadsheetml.worksheet+xml"/>
  <Override PartName="/xl/comments/comment102.xml" ContentType="application/vnd.openxmlformats-officedocument.spreadsheetml.comments+xml"/>
  <Override PartName="/xl/worksheets/sheet103.xml" ContentType="application/vnd.openxmlformats-officedocument.spreadsheetml.worksheet+xml"/>
  <Override PartName="/xl/comments/comment103.xml" ContentType="application/vnd.openxmlformats-officedocument.spreadsheetml.comments+xml"/>
  <Override PartName="/xl/worksheets/sheet104.xml" ContentType="application/vnd.openxmlformats-officedocument.spreadsheetml.worksheet+xml"/>
  <Override PartName="/xl/comments/comment104.xml" ContentType="application/vnd.openxmlformats-officedocument.spreadsheetml.comments+xml"/>
  <Override PartName="/xl/worksheets/sheet105.xml" ContentType="application/vnd.openxmlformats-officedocument.spreadsheetml.worksheet+xml"/>
  <Override PartName="/xl/comments/comment105.xml" ContentType="application/vnd.openxmlformats-officedocument.spreadsheetml.comments+xml"/>
  <Override PartName="/xl/worksheets/sheet106.xml" ContentType="application/vnd.openxmlformats-officedocument.spreadsheetml.worksheet+xml"/>
  <Override PartName="/xl/comments/comment106.xml" ContentType="application/vnd.openxmlformats-officedocument.spreadsheetml.comments+xml"/>
  <Override PartName="/xl/worksheets/sheet107.xml" ContentType="application/vnd.openxmlformats-officedocument.spreadsheetml.worksheet+xml"/>
  <Override PartName="/xl/comments/comment107.xml" ContentType="application/vnd.openxmlformats-officedocument.spreadsheetml.comments+xml"/>
  <Override PartName="/xl/worksheets/sheet108.xml" ContentType="application/vnd.openxmlformats-officedocument.spreadsheetml.worksheet+xml"/>
  <Override PartName="/xl/comments/comment108.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7520" yWindow="620" windowWidth="21280" windowHeight="16080" tabRatio="600" firstSheet="106" activeTab="106" autoFilterDateGrouping="1"/>
  </bookViews>
  <sheets>
    <sheet xmlns:r="http://schemas.openxmlformats.org/officeDocument/2006/relationships" name="W4Q3FY24" sheetId="1" state="hidden" r:id="rId1"/>
    <sheet xmlns:r="http://schemas.openxmlformats.org/officeDocument/2006/relationships" name="W5Q3FY24" sheetId="2" state="hidden" r:id="rId2"/>
    <sheet xmlns:r="http://schemas.openxmlformats.org/officeDocument/2006/relationships" name="W6Q3FY24" sheetId="3" state="hidden" r:id="rId3"/>
    <sheet xmlns:r="http://schemas.openxmlformats.org/officeDocument/2006/relationships" name="W7Q3FY24" sheetId="4" state="hidden" r:id="rId4"/>
    <sheet xmlns:r="http://schemas.openxmlformats.org/officeDocument/2006/relationships" name="W8Q3FY24" sheetId="5" state="hidden" r:id="rId5"/>
    <sheet xmlns:r="http://schemas.openxmlformats.org/officeDocument/2006/relationships" name="W9Q3FY24" sheetId="6" state="hidden" r:id="rId6"/>
    <sheet xmlns:r="http://schemas.openxmlformats.org/officeDocument/2006/relationships" name="W10Q3FY24" sheetId="7" state="hidden" r:id="rId7"/>
    <sheet xmlns:r="http://schemas.openxmlformats.org/officeDocument/2006/relationships" name="W11Q3FY24" sheetId="8" state="hidden" r:id="rId8"/>
    <sheet xmlns:r="http://schemas.openxmlformats.org/officeDocument/2006/relationships" name="W9Q1FY26 (2)" sheetId="9" state="visible" r:id="rId9"/>
    <sheet xmlns:r="http://schemas.openxmlformats.org/officeDocument/2006/relationships" name="W12Q3FY24" sheetId="10" state="visible" r:id="rId10"/>
    <sheet xmlns:r="http://schemas.openxmlformats.org/officeDocument/2006/relationships" name="W13Q3FY24" sheetId="11" state="visible" r:id="rId11"/>
    <sheet xmlns:r="http://schemas.openxmlformats.org/officeDocument/2006/relationships" name="W1Q4FY24" sheetId="12" state="visible" r:id="rId12"/>
    <sheet xmlns:r="http://schemas.openxmlformats.org/officeDocument/2006/relationships" name="W2Q4FY24" sheetId="13" state="visible" r:id="rId13"/>
    <sheet xmlns:r="http://schemas.openxmlformats.org/officeDocument/2006/relationships" name="W3Q4FY24" sheetId="14" state="visible" r:id="rId14"/>
    <sheet xmlns:r="http://schemas.openxmlformats.org/officeDocument/2006/relationships" name="W4Q4FY24" sheetId="15" state="visible" r:id="rId15"/>
    <sheet xmlns:r="http://schemas.openxmlformats.org/officeDocument/2006/relationships" name="W5Q4FY24" sheetId="16" state="visible" r:id="rId16"/>
    <sheet xmlns:r="http://schemas.openxmlformats.org/officeDocument/2006/relationships" name="W6Q4FY24" sheetId="17" state="visible" r:id="rId17"/>
    <sheet xmlns:r="http://schemas.openxmlformats.org/officeDocument/2006/relationships" name="W7Q4FY24" sheetId="18" state="visible" r:id="rId18"/>
    <sheet xmlns:r="http://schemas.openxmlformats.org/officeDocument/2006/relationships" name="W8Q4FY24" sheetId="19" state="visible" r:id="rId19"/>
    <sheet xmlns:r="http://schemas.openxmlformats.org/officeDocument/2006/relationships" name="W9Q4FY24" sheetId="20" state="visible" r:id="rId20"/>
    <sheet xmlns:r="http://schemas.openxmlformats.org/officeDocument/2006/relationships" name="W10Q4FY24" sheetId="21" state="visible" r:id="rId21"/>
    <sheet xmlns:r="http://schemas.openxmlformats.org/officeDocument/2006/relationships" name="W11Q4FY24-" sheetId="22" state="visible" r:id="rId22"/>
    <sheet xmlns:r="http://schemas.openxmlformats.org/officeDocument/2006/relationships" name="W12Q4FY24" sheetId="23" state="visible" r:id="rId23"/>
    <sheet xmlns:r="http://schemas.openxmlformats.org/officeDocument/2006/relationships" name="W13Q4FY24" sheetId="24" state="visible" r:id="rId24"/>
    <sheet xmlns:r="http://schemas.openxmlformats.org/officeDocument/2006/relationships" name="W1Q1FY25" sheetId="25" state="visible" r:id="rId25"/>
    <sheet xmlns:r="http://schemas.openxmlformats.org/officeDocument/2006/relationships" name="W2Q1FY25 " sheetId="26" state="visible" r:id="rId26"/>
    <sheet xmlns:r="http://schemas.openxmlformats.org/officeDocument/2006/relationships" name="W3Q1FY25" sheetId="27" state="visible" r:id="rId27"/>
    <sheet xmlns:r="http://schemas.openxmlformats.org/officeDocument/2006/relationships" name="W4Q1FY25" sheetId="28" state="visible" r:id="rId28"/>
    <sheet xmlns:r="http://schemas.openxmlformats.org/officeDocument/2006/relationships" name="W5Q1FY25" sheetId="29" state="visible" r:id="rId29"/>
    <sheet xmlns:r="http://schemas.openxmlformats.org/officeDocument/2006/relationships" name="W6Q1FY25 " sheetId="30" state="visible" r:id="rId30"/>
    <sheet xmlns:r="http://schemas.openxmlformats.org/officeDocument/2006/relationships" name="W7Q1FY25" sheetId="31" state="visible" r:id="rId31"/>
    <sheet xmlns:r="http://schemas.openxmlformats.org/officeDocument/2006/relationships" name="W8Q1FY25" sheetId="32" state="visible" r:id="rId32"/>
    <sheet xmlns:r="http://schemas.openxmlformats.org/officeDocument/2006/relationships" name="W9Q1FY25 " sheetId="33" state="visible" r:id="rId33"/>
    <sheet xmlns:r="http://schemas.openxmlformats.org/officeDocument/2006/relationships" name="W10Q1FY25" sheetId="34" state="visible" r:id="rId34"/>
    <sheet xmlns:r="http://schemas.openxmlformats.org/officeDocument/2006/relationships" name="W11Q1FY25 " sheetId="35" state="visible" r:id="rId35"/>
    <sheet xmlns:r="http://schemas.openxmlformats.org/officeDocument/2006/relationships" name="W12Q1FY25 " sheetId="36" state="visible" r:id="rId36"/>
    <sheet xmlns:r="http://schemas.openxmlformats.org/officeDocument/2006/relationships" name="W13Q1FY25" sheetId="37" state="visible" r:id="rId37"/>
    <sheet xmlns:r="http://schemas.openxmlformats.org/officeDocument/2006/relationships" name="W1Q2FY25" sheetId="38" state="visible" r:id="rId38"/>
    <sheet xmlns:r="http://schemas.openxmlformats.org/officeDocument/2006/relationships" name="W2Q2FY25" sheetId="39" state="visible" r:id="rId39"/>
    <sheet xmlns:r="http://schemas.openxmlformats.org/officeDocument/2006/relationships" name="W3Q2FY25" sheetId="40" state="visible" r:id="rId40"/>
    <sheet xmlns:r="http://schemas.openxmlformats.org/officeDocument/2006/relationships" name="W4Q2FY25" sheetId="41" state="visible" r:id="rId41"/>
    <sheet xmlns:r="http://schemas.openxmlformats.org/officeDocument/2006/relationships" name="W6Q2FY25" sheetId="42" state="visible" r:id="rId42"/>
    <sheet xmlns:r="http://schemas.openxmlformats.org/officeDocument/2006/relationships" name="W7Q2FY25" sheetId="43" state="visible" r:id="rId43"/>
    <sheet xmlns:r="http://schemas.openxmlformats.org/officeDocument/2006/relationships" name="W8Q2FY25" sheetId="44" state="visible" r:id="rId44"/>
    <sheet xmlns:r="http://schemas.openxmlformats.org/officeDocument/2006/relationships" name="W9Q2FY25" sheetId="45" state="visible" r:id="rId45"/>
    <sheet xmlns:r="http://schemas.openxmlformats.org/officeDocument/2006/relationships" name="W10Q2FY25 " sheetId="46" state="visible" r:id="rId46"/>
    <sheet xmlns:r="http://schemas.openxmlformats.org/officeDocument/2006/relationships" name="W11Q2FY25" sheetId="47" state="visible" r:id="rId47"/>
    <sheet xmlns:r="http://schemas.openxmlformats.org/officeDocument/2006/relationships" name="W12Q2FY25" sheetId="48" state="visible" r:id="rId48"/>
    <sheet xmlns:r="http://schemas.openxmlformats.org/officeDocument/2006/relationships" name="W13Q2FY25" sheetId="49" state="visible" r:id="rId49"/>
    <sheet xmlns:r="http://schemas.openxmlformats.org/officeDocument/2006/relationships" name="W1Q3FY25" sheetId="50" state="visible" r:id="rId50"/>
    <sheet xmlns:r="http://schemas.openxmlformats.org/officeDocument/2006/relationships" name="W2Q3FY25 " sheetId="51" state="visible" r:id="rId51"/>
    <sheet xmlns:r="http://schemas.openxmlformats.org/officeDocument/2006/relationships" name="W3Q3FY25 " sheetId="52" state="visible" r:id="rId52"/>
    <sheet xmlns:r="http://schemas.openxmlformats.org/officeDocument/2006/relationships" name="W4Q3FY25 " sheetId="53" state="visible" r:id="rId53"/>
    <sheet xmlns:r="http://schemas.openxmlformats.org/officeDocument/2006/relationships" name="W5Q3FY25 " sheetId="54" state="visible" r:id="rId54"/>
    <sheet xmlns:r="http://schemas.openxmlformats.org/officeDocument/2006/relationships" name="W6Q3FY25" sheetId="55" state="visible" r:id="rId55"/>
    <sheet xmlns:r="http://schemas.openxmlformats.org/officeDocument/2006/relationships" name="W7Q3FY25 " sheetId="56" state="visible" r:id="rId56"/>
    <sheet xmlns:r="http://schemas.openxmlformats.org/officeDocument/2006/relationships" name="W8Q3FY25  " sheetId="57" state="visible" r:id="rId57"/>
    <sheet xmlns:r="http://schemas.openxmlformats.org/officeDocument/2006/relationships" name="W9Q3FY25 " sheetId="58" state="visible" r:id="rId58"/>
    <sheet xmlns:r="http://schemas.openxmlformats.org/officeDocument/2006/relationships" name="W10Q3FY25" sheetId="59" state="visible" r:id="rId59"/>
    <sheet xmlns:r="http://schemas.openxmlformats.org/officeDocument/2006/relationships" name="W11Q3FY25 " sheetId="60" state="visible" r:id="rId60"/>
    <sheet xmlns:r="http://schemas.openxmlformats.org/officeDocument/2006/relationships" name="W12Q3FY25 " sheetId="61" state="visible" r:id="rId61"/>
    <sheet xmlns:r="http://schemas.openxmlformats.org/officeDocument/2006/relationships" name="W13Q3FY25" sheetId="62" state="visible" r:id="rId62"/>
    <sheet xmlns:r="http://schemas.openxmlformats.org/officeDocument/2006/relationships" name="W1Q4FY25" sheetId="63" state="visible" r:id="rId63"/>
    <sheet xmlns:r="http://schemas.openxmlformats.org/officeDocument/2006/relationships" name="W2Q4FY25" sheetId="64" state="visible" r:id="rId64"/>
    <sheet xmlns:r="http://schemas.openxmlformats.org/officeDocument/2006/relationships" name="W3Q4FY25" sheetId="65" state="visible" r:id="rId65"/>
    <sheet xmlns:r="http://schemas.openxmlformats.org/officeDocument/2006/relationships" name="W4Q4FY25 " sheetId="66" state="visible" r:id="rId66"/>
    <sheet xmlns:r="http://schemas.openxmlformats.org/officeDocument/2006/relationships" name="W5Q4FY25 " sheetId="67" state="visible" r:id="rId67"/>
    <sheet xmlns:r="http://schemas.openxmlformats.org/officeDocument/2006/relationships" name="W6Q4FY25 " sheetId="68" state="visible" r:id="rId68"/>
    <sheet xmlns:r="http://schemas.openxmlformats.org/officeDocument/2006/relationships" name="W7Q4FY25 " sheetId="69" state="visible" r:id="rId69"/>
    <sheet xmlns:r="http://schemas.openxmlformats.org/officeDocument/2006/relationships" name="W8Q4FY25" sheetId="70" state="visible" r:id="rId70"/>
    <sheet xmlns:r="http://schemas.openxmlformats.org/officeDocument/2006/relationships" name="W9Q4FY25 " sheetId="71" state="visible" r:id="rId71"/>
    <sheet xmlns:r="http://schemas.openxmlformats.org/officeDocument/2006/relationships" name="W10Q4FY25 " sheetId="72" state="visible" r:id="rId72"/>
    <sheet xmlns:r="http://schemas.openxmlformats.org/officeDocument/2006/relationships" name="W11Q4FY25" sheetId="73" state="visible" r:id="rId73"/>
    <sheet xmlns:r="http://schemas.openxmlformats.org/officeDocument/2006/relationships" name="W12Q4FY25" sheetId="74" state="visible" r:id="rId74"/>
    <sheet xmlns:r="http://schemas.openxmlformats.org/officeDocument/2006/relationships" name="W13Q4FY25" sheetId="75" state="visible" r:id="rId75"/>
    <sheet xmlns:r="http://schemas.openxmlformats.org/officeDocument/2006/relationships" name="W1Q1FY26" sheetId="76" state="visible" r:id="rId76"/>
    <sheet xmlns:r="http://schemas.openxmlformats.org/officeDocument/2006/relationships" name="W2Q1FY26 " sheetId="77" state="visible" r:id="rId77"/>
    <sheet xmlns:r="http://schemas.openxmlformats.org/officeDocument/2006/relationships" name="W3Q1FY26 " sheetId="78" state="visible" r:id="rId78"/>
    <sheet xmlns:r="http://schemas.openxmlformats.org/officeDocument/2006/relationships" name="W4Q1FY26" sheetId="79" state="visible" r:id="rId79"/>
    <sheet xmlns:r="http://schemas.openxmlformats.org/officeDocument/2006/relationships" name="W5Q1FY26 " sheetId="80" state="visible" r:id="rId80"/>
    <sheet xmlns:r="http://schemas.openxmlformats.org/officeDocument/2006/relationships" name="W6Q1FY26" sheetId="81" state="visible" r:id="rId81"/>
    <sheet xmlns:r="http://schemas.openxmlformats.org/officeDocument/2006/relationships" name="W7Q1FY26 " sheetId="82" state="visible" r:id="rId82"/>
    <sheet xmlns:r="http://schemas.openxmlformats.org/officeDocument/2006/relationships" name="W8Q1FY26" sheetId="83" state="visible" r:id="rId83"/>
    <sheet xmlns:r="http://schemas.openxmlformats.org/officeDocument/2006/relationships" name="W9Q1FY26" sheetId="84" state="visible" r:id="rId84"/>
    <sheet xmlns:r="http://schemas.openxmlformats.org/officeDocument/2006/relationships" name="W10Q1FY26" sheetId="85" state="visible" r:id="rId85"/>
    <sheet xmlns:r="http://schemas.openxmlformats.org/officeDocument/2006/relationships" name="W11Q1FY26" sheetId="86" state="visible" r:id="rId86"/>
    <sheet xmlns:r="http://schemas.openxmlformats.org/officeDocument/2006/relationships" name="W12Q1FY26" sheetId="87" state="visible" r:id="rId87"/>
    <sheet xmlns:r="http://schemas.openxmlformats.org/officeDocument/2006/relationships" name="W13Q1FY26" sheetId="88" state="visible" r:id="rId88"/>
    <sheet xmlns:r="http://schemas.openxmlformats.org/officeDocument/2006/relationships" name="W1Q2FY26" sheetId="89" state="visible" r:id="rId89"/>
    <sheet xmlns:r="http://schemas.openxmlformats.org/officeDocument/2006/relationships" name="W2Q2FY26" sheetId="90" state="visible" r:id="rId90"/>
    <sheet xmlns:r="http://schemas.openxmlformats.org/officeDocument/2006/relationships" name="W3Q2FY26" sheetId="91" state="visible" r:id="rId91"/>
    <sheet xmlns:r="http://schemas.openxmlformats.org/officeDocument/2006/relationships" name="W4Q2FY26" sheetId="92" state="visible" r:id="rId92"/>
    <sheet xmlns:r="http://schemas.openxmlformats.org/officeDocument/2006/relationships" name="W5Q2FY26" sheetId="93" state="visible" r:id="rId93"/>
    <sheet xmlns:r="http://schemas.openxmlformats.org/officeDocument/2006/relationships" name="W6Q2FY26" sheetId="94" state="visible" r:id="rId94"/>
    <sheet xmlns:r="http://schemas.openxmlformats.org/officeDocument/2006/relationships" name="W7Q2FY26" sheetId="95" state="visible" r:id="rId95"/>
    <sheet xmlns:r="http://schemas.openxmlformats.org/officeDocument/2006/relationships" name="W9Q2FY26" sheetId="96" state="visible" r:id="rId96"/>
    <sheet xmlns:r="http://schemas.openxmlformats.org/officeDocument/2006/relationships" name="W10Q2FY26" sheetId="97" state="visible" r:id="rId97"/>
    <sheet xmlns:r="http://schemas.openxmlformats.org/officeDocument/2006/relationships" name="W11Q2FY26" sheetId="98" state="visible" r:id="rId98"/>
    <sheet xmlns:r="http://schemas.openxmlformats.org/officeDocument/2006/relationships" name="W12Q2FY26" sheetId="99" state="visible" r:id="rId99"/>
    <sheet xmlns:r="http://schemas.openxmlformats.org/officeDocument/2006/relationships" name="W13Q2FY26" sheetId="100" state="visible" r:id="rId100"/>
    <sheet xmlns:r="http://schemas.openxmlformats.org/officeDocument/2006/relationships" name="W1Q3FY26" sheetId="101" state="visible" r:id="rId101"/>
    <sheet xmlns:r="http://schemas.openxmlformats.org/officeDocument/2006/relationships" name="W2Q3FY26" sheetId="102" state="visible" r:id="rId102"/>
    <sheet xmlns:r="http://schemas.openxmlformats.org/officeDocument/2006/relationships" name="W3Q3FY26" sheetId="103" state="visible" r:id="rId103"/>
    <sheet xmlns:r="http://schemas.openxmlformats.org/officeDocument/2006/relationships" name="W4Q3FY26" sheetId="104" state="visible" r:id="rId104"/>
    <sheet xmlns:r="http://schemas.openxmlformats.org/officeDocument/2006/relationships" name="W5Q3FY26" sheetId="105" state="visible" r:id="rId105"/>
    <sheet xmlns:r="http://schemas.openxmlformats.org/officeDocument/2006/relationships" name="W6Q3FY26" sheetId="106" state="visible" r:id="rId106"/>
    <sheet xmlns:r="http://schemas.openxmlformats.org/officeDocument/2006/relationships" name="W7Q3FY26" sheetId="107" state="visible" r:id="rId107"/>
    <sheet xmlns:r="http://schemas.openxmlformats.org/officeDocument/2006/relationships" name="W8Q3FY26" sheetId="108" state="visible" r:id="rId108"/>
  </sheets>
  <definedNames>
    <definedName name="__bookmark_1">#REF!</definedName>
  </definedNames>
  <calcPr calcId="191028" fullCalcOnLoad="1"/>
</workbook>
</file>

<file path=xl/styles.xml><?xml version="1.0" encoding="utf-8"?>
<styleSheet xmlns="http://schemas.openxmlformats.org/spreadsheetml/2006/main">
  <numFmts count="0"/>
  <fonts count="37">
    <font>
      <name val="Aptos Narrow"/>
      <family val="2"/>
      <color theme="1"/>
      <sz val="12"/>
      <scheme val="minor"/>
    </font>
    <font>
      <name val="Aptos Narrow"/>
      <family val="2"/>
      <color theme="1"/>
      <sz val="12"/>
      <scheme val="minor"/>
    </font>
    <font>
      <name val="Helvetica Neue"/>
      <family val="2"/>
      <color rgb="FF000000"/>
      <sz val="10"/>
    </font>
    <font>
      <name val="Arial"/>
      <family val="2"/>
      <color rgb="FF000000"/>
      <sz val="10"/>
    </font>
    <font>
      <name val="Times New Roman"/>
      <family val="1"/>
      <b val="1"/>
      <color rgb="FF000000"/>
      <sz val="9"/>
    </font>
    <font>
      <name val="Times New Roman"/>
      <family val="1"/>
      <color rgb="FF000000"/>
      <sz val="9"/>
    </font>
    <font>
      <name val="Times New Roman"/>
      <family val="1"/>
      <b val="1"/>
      <sz val="9"/>
    </font>
    <font>
      <name val="Times New Roman"/>
      <family val="1"/>
      <sz val="9"/>
    </font>
    <font>
      <name val="Tahoma"/>
      <family val="2"/>
      <b val="1"/>
      <color rgb="FF000000"/>
      <sz val="10"/>
    </font>
    <font>
      <name val="Tahoma"/>
      <family val="2"/>
      <color rgb="FF000000"/>
      <sz val="10"/>
    </font>
    <font>
      <name val="Aptos Narrow"/>
      <family val="2"/>
      <b val="1"/>
      <color theme="1"/>
      <sz val="12"/>
      <scheme val="minor"/>
    </font>
    <font>
      <name val="Arial"/>
      <family val="2"/>
      <color rgb="FF000000"/>
      <sz val="11"/>
    </font>
    <font>
      <name val="Tahoma"/>
      <family val="2"/>
      <b val="1"/>
      <color rgb="FF000000"/>
      <sz val="9"/>
    </font>
    <font>
      <name val="Tahoma"/>
      <family val="2"/>
      <color rgb="FF000000"/>
      <sz val="9"/>
    </font>
    <font>
      <name val="Aptos Narrow"/>
      <family val="2"/>
      <b val="1"/>
      <color rgb="FF000000"/>
      <sz val="12"/>
      <scheme val="minor"/>
    </font>
    <font>
      <name val="Aptos Narrow"/>
      <family val="2"/>
      <color rgb="FF000000"/>
      <sz val="12"/>
      <scheme val="minor"/>
    </font>
    <font>
      <name val="Arial"/>
      <family val="2"/>
      <color indexed="8"/>
      <sz val="10"/>
    </font>
    <font>
      <name val="Tahoma"/>
      <family val="2"/>
      <b val="1"/>
      <color indexed="81"/>
      <sz val="9"/>
    </font>
    <font>
      <name val="Tahoma"/>
      <family val="2"/>
      <color indexed="81"/>
      <sz val="9"/>
    </font>
    <font>
      <name val="Aptos Narrow"/>
      <family val="2"/>
      <color rgb="FF000000"/>
      <sz val="10"/>
      <scheme val="minor"/>
    </font>
    <font>
      <name val="Aptos Narrow"/>
      <family val="2"/>
      <color rgb="FF000000"/>
      <sz val="10"/>
    </font>
    <font>
      <name val="Aptos Narrow"/>
      <color rgb="FF000000"/>
      <sz val="10"/>
    </font>
    <font>
      <name val="Aptos Narrow"/>
      <b val="1"/>
      <color rgb="FF000000"/>
      <sz val="10"/>
    </font>
    <font>
      <name val="Aptos Narrow"/>
      <family val="2"/>
      <b val="1"/>
      <color rgb="FF000000"/>
      <sz val="10"/>
      <scheme val="minor"/>
    </font>
    <font>
      <name val="Aptos Narrow"/>
      <family val="2"/>
      <color rgb="FF000000"/>
      <sz val="12"/>
    </font>
    <font>
      <name val="Arial"/>
      <family val="2"/>
      <color theme="1"/>
      <sz val="10"/>
    </font>
    <font>
      <name val="Aptos Narrow"/>
      <family val="2"/>
      <color rgb="FF000000"/>
      <sz val="18"/>
      <scheme val="minor"/>
    </font>
    <font>
      <name val="Arial"/>
      <charset val="1"/>
      <family val="2"/>
      <color rgb="FF000000"/>
      <sz val="10"/>
    </font>
    <font>
      <name val="Aptos Narrow"/>
      <charset val="1"/>
      <family val="2"/>
      <color rgb="FF000000"/>
      <sz val="12"/>
    </font>
    <font>
      <name val="Arial"/>
      <family val="2"/>
      <b val="1"/>
      <color theme="1"/>
      <sz val="10"/>
    </font>
    <font>
      <name val="Tahoma"/>
      <family val="2"/>
      <i val="1"/>
      <color rgb="FF000000"/>
      <sz val="10"/>
    </font>
    <font>
      <name val="Aptos Narrow"/>
      <family val="2"/>
      <color theme="1"/>
      <sz val="12"/>
      <u val="single"/>
      <scheme val="minor"/>
    </font>
    <font>
      <name val="Aptos Narrow"/>
      <family val="2"/>
      <i val="1"/>
      <color theme="1"/>
      <sz val="12"/>
      <scheme val="minor"/>
    </font>
    <font>
      <name val="Aptos Narrow"/>
      <color rgb="FF000000"/>
      <sz val="12"/>
    </font>
    <font>
      <name val="Aptos Narrow"/>
      <family val="2"/>
      <b val="1"/>
      <color theme="0"/>
      <sz val="16"/>
      <scheme val="minor"/>
    </font>
    <font>
      <name val="Aptos Narrow"/>
      <family val="2"/>
      <color indexed="8"/>
      <sz val="11"/>
      <scheme val="minor"/>
    </font>
    <font>
      <name val="Arial"/>
      <color theme="1"/>
      <sz val="10"/>
    </font>
  </fonts>
  <fills count="21">
    <fill>
      <patternFill/>
    </fill>
    <fill>
      <patternFill patternType="gray125"/>
    </fill>
    <fill>
      <patternFill patternType="solid">
        <fgColor rgb="FFFFFF00"/>
        <bgColor rgb="FF000000"/>
      </patternFill>
    </fill>
    <fill>
      <patternFill patternType="solid">
        <fgColor rgb="FF66C6FF"/>
        <bgColor rgb="FF000000"/>
      </patternFill>
    </fill>
    <fill>
      <patternFill patternType="solid">
        <fgColor rgb="FF65C7FF"/>
        <bgColor rgb="FF000000"/>
      </patternFill>
    </fill>
    <fill>
      <patternFill patternType="solid">
        <fgColor rgb="FF92D050"/>
        <bgColor indexed="64"/>
      </patternFill>
    </fill>
    <fill>
      <patternFill patternType="solid">
        <fgColor theme="4" tint="0.3999755851924192"/>
        <bgColor indexed="64"/>
      </patternFill>
    </fill>
    <fill>
      <patternFill patternType="solid">
        <fgColor rgb="FFFFFF00"/>
        <bgColor indexed="64"/>
      </patternFill>
    </fill>
    <fill>
      <patternFill patternType="solid">
        <fgColor rgb="FF67C5FF"/>
        <bgColor rgb="FF000000"/>
      </patternFill>
    </fill>
    <fill>
      <patternFill patternType="solid">
        <fgColor rgb="FF61CBF3"/>
        <bgColor rgb="FF000000"/>
      </patternFill>
    </fill>
    <fill>
      <patternFill patternType="solid">
        <fgColor rgb="FF44B3E1"/>
        <bgColor rgb="FF000000"/>
      </patternFill>
    </fill>
    <fill>
      <patternFill patternType="solid">
        <fgColor rgb="FF00B0F0"/>
        <bgColor rgb="FF000000"/>
      </patternFill>
    </fill>
    <fill>
      <patternFill patternType="solid">
        <fgColor rgb="FF65C8FF"/>
        <bgColor rgb="FF000000"/>
      </patternFill>
    </fill>
    <fill>
      <patternFill patternType="solid">
        <fgColor rgb="FF64C9FF"/>
        <bgColor rgb="FF000000"/>
      </patternFill>
    </fill>
    <fill>
      <patternFill patternType="solid">
        <fgColor theme="7" tint="0.3999755851924192"/>
        <bgColor indexed="64"/>
      </patternFill>
    </fill>
    <fill>
      <patternFill patternType="solid">
        <fgColor theme="7" tint="0.3999755851924192"/>
        <bgColor rgb="FF000000"/>
      </patternFill>
    </fill>
    <fill>
      <patternFill patternType="solid">
        <fgColor rgb="FF67C5FF"/>
        <bgColor indexed="64"/>
      </patternFill>
    </fill>
    <fill>
      <patternFill patternType="solid">
        <fgColor theme="4" tint="0.3999755851924192"/>
        <bgColor rgb="FF000000"/>
      </patternFill>
    </fill>
    <fill>
      <patternFill patternType="solid">
        <fgColor theme="4" tint="0.5999938962981048"/>
        <bgColor indexed="64"/>
      </patternFill>
    </fill>
    <fill>
      <patternFill patternType="solid">
        <fgColor theme="4" tint="-0.249977111117893"/>
        <bgColor indexed="64"/>
      </patternFill>
    </fill>
    <fill>
      <patternFill patternType="solid">
        <fgColor them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4">
    <xf numFmtId="0" fontId="1" fillId="0" borderId="0"/>
    <xf numFmtId="41" fontId="1" fillId="0" borderId="0"/>
    <xf numFmtId="43" fontId="1" fillId="0" borderId="0"/>
    <xf numFmtId="0" fontId="35" fillId="0" borderId="0"/>
  </cellStyleXfs>
  <cellXfs count="171">
    <xf numFmtId="0" fontId="0" fillId="0" borderId="0" pivotButton="0" quotePrefix="0" xfId="0"/>
    <xf numFmtId="3" fontId="3" fillId="2" borderId="1" applyAlignment="1" pivotButton="0" quotePrefix="0" xfId="1">
      <alignment horizontal="center" vertical="center" wrapText="1" readingOrder="1"/>
    </xf>
    <xf numFmtId="3" fontId="3" fillId="3" borderId="1" applyAlignment="1" pivotButton="0" quotePrefix="0" xfId="1">
      <alignment horizontal="center" vertical="center" wrapText="1" readingOrder="1"/>
    </xf>
    <xf numFmtId="3" fontId="3" fillId="2" borderId="1" applyAlignment="1" pivotButton="0" quotePrefix="0" xfId="0">
      <alignment horizontal="center" vertical="center" wrapText="1"/>
    </xf>
    <xf numFmtId="3" fontId="3" fillId="3" borderId="1" applyAlignment="1" pivotButton="0" quotePrefix="0" xfId="0">
      <alignment horizontal="center" vertical="center" wrapText="1"/>
    </xf>
    <xf numFmtId="3" fontId="3" fillId="4" borderId="1" applyAlignment="1" pivotButton="0" quotePrefix="0" xfId="0">
      <alignment horizontal="center" vertical="center" wrapText="1"/>
    </xf>
    <xf numFmtId="0" fontId="0" fillId="0" borderId="0" applyAlignment="1" pivotButton="0" quotePrefix="0" xfId="0">
      <alignment horizontal="center" vertical="center"/>
    </xf>
    <xf numFmtId="3" fontId="3" fillId="0" borderId="1" applyAlignment="1" pivotButton="0" quotePrefix="0" xfId="0">
      <alignment horizontal="center" vertical="center" wrapText="1"/>
    </xf>
    <xf numFmtId="3" fontId="3" fillId="0" borderId="0" applyAlignment="1" pivotButton="0" quotePrefix="0" xfId="0">
      <alignment horizontal="center" vertical="center" wrapText="1"/>
    </xf>
    <xf numFmtId="0" fontId="0" fillId="0" borderId="1" applyAlignment="1" pivotButton="0" quotePrefix="0" xfId="0">
      <alignment horizontal="center" vertical="center"/>
    </xf>
    <xf numFmtId="3" fontId="3" fillId="2" borderId="3" applyAlignment="1" pivotButton="0" quotePrefix="0" xfId="0">
      <alignment horizontal="center" vertical="center" wrapText="1"/>
    </xf>
    <xf numFmtId="3" fontId="3" fillId="3" borderId="3" applyAlignment="1" pivotButton="0" quotePrefix="0" xfId="0">
      <alignment horizontal="center" vertical="center" wrapText="1"/>
    </xf>
    <xf numFmtId="3" fontId="3" fillId="0" borderId="2" applyAlignment="1" pivotButton="0" quotePrefix="0" xfId="0">
      <alignment horizontal="center" vertical="center" wrapText="1"/>
    </xf>
    <xf numFmtId="3" fontId="3" fillId="0" borderId="4" applyAlignment="1" pivotButton="0" quotePrefix="0" xfId="0">
      <alignment horizontal="center" vertical="center" wrapText="1"/>
    </xf>
    <xf numFmtId="3" fontId="3" fillId="2" borderId="4" applyAlignment="1" pivotButton="0" quotePrefix="0" xfId="0">
      <alignment horizontal="center" vertical="center" wrapText="1"/>
    </xf>
    <xf numFmtId="3" fontId="3" fillId="0" borderId="5" applyAlignment="1" pivotButton="0" quotePrefix="0" xfId="0">
      <alignment horizontal="center" vertical="center" wrapText="1"/>
    </xf>
    <xf numFmtId="3" fontId="3" fillId="3" borderId="4" applyAlignment="1" pivotButton="0" quotePrefix="0" xfId="0">
      <alignment horizontal="center" vertical="center" wrapText="1"/>
    </xf>
    <xf numFmtId="0" fontId="10" fillId="5" borderId="1" applyAlignment="1" pivotButton="0" quotePrefix="0" xfId="0">
      <alignment horizontal="center" vertical="center"/>
    </xf>
    <xf numFmtId="0" fontId="10" fillId="5" borderId="3" applyAlignment="1" pivotButton="0" quotePrefix="0" xfId="0">
      <alignment horizontal="center" vertical="center"/>
    </xf>
    <xf numFmtId="3" fontId="3" fillId="0" borderId="3" applyAlignment="1" pivotButton="0" quotePrefix="0" xfId="1">
      <alignment horizontal="center" vertical="center" wrapText="1" readingOrder="1"/>
    </xf>
    <xf numFmtId="3" fontId="11" fillId="2" borderId="1" applyAlignment="1" pivotButton="0" quotePrefix="0" xfId="0">
      <alignment horizontal="center" vertical="center" wrapText="1"/>
    </xf>
    <xf numFmtId="3" fontId="11" fillId="3" borderId="1" applyAlignment="1" pivotButton="0" quotePrefix="0" xfId="0">
      <alignment horizontal="center" vertical="center" wrapText="1"/>
    </xf>
    <xf numFmtId="0" fontId="0" fillId="0" borderId="0" applyAlignment="1" pivotButton="0" quotePrefix="0" xfId="0">
      <alignment horizontal="center"/>
    </xf>
    <xf numFmtId="3" fontId="16" fillId="6" borderId="1" applyAlignment="1" pivotButton="0" quotePrefix="0" xfId="0">
      <alignment horizontal="center" vertical="center" wrapText="1"/>
    </xf>
    <xf numFmtId="3" fontId="16" fillId="7" borderId="1" applyAlignment="1" pivotButton="0" quotePrefix="0" xfId="0">
      <alignment horizontal="center" vertical="center" wrapText="1"/>
    </xf>
    <xf numFmtId="3" fontId="3" fillId="8" borderId="1" applyAlignment="1" pivotButton="0" quotePrefix="0" xfId="0">
      <alignment horizontal="center" vertical="center" wrapText="1"/>
    </xf>
    <xf numFmtId="3" fontId="0" fillId="0" borderId="0" pivotButton="0" quotePrefix="0" xfId="0"/>
    <xf numFmtId="3" fontId="3" fillId="9" borderId="1" applyAlignment="1" pivotButton="0" quotePrefix="0" xfId="0">
      <alignment horizontal="center" vertical="center" wrapText="1"/>
    </xf>
    <xf numFmtId="3" fontId="3" fillId="10" borderId="1" applyAlignment="1" pivotButton="0" quotePrefix="0" xfId="0">
      <alignment horizontal="center" vertical="center" wrapText="1"/>
    </xf>
    <xf numFmtId="0" fontId="0" fillId="0" borderId="0" applyAlignment="1" pivotButton="0" quotePrefix="0" xfId="0">
      <alignment horizontal="left"/>
    </xf>
    <xf numFmtId="3" fontId="3" fillId="11" borderId="1" applyAlignment="1" pivotButton="0" quotePrefix="0" xfId="0">
      <alignment horizontal="center" vertical="center" wrapText="1"/>
    </xf>
    <xf numFmtId="3" fontId="3" fillId="12" borderId="1" applyAlignment="1" pivotButton="0" quotePrefix="0" xfId="0">
      <alignment horizontal="center" vertical="center" wrapText="1"/>
    </xf>
    <xf numFmtId="3" fontId="3" fillId="13" borderId="1" applyAlignment="1" pivotButton="0" quotePrefix="0" xfId="0">
      <alignment horizontal="center" vertical="center" wrapText="1"/>
    </xf>
    <xf numFmtId="3" fontId="3" fillId="14" borderId="1" applyAlignment="1" pivotButton="0" quotePrefix="0" xfId="0">
      <alignment horizontal="center" vertical="center" wrapText="1"/>
    </xf>
    <xf numFmtId="3" fontId="3" fillId="7" borderId="1" applyAlignment="1" pivotButton="0" quotePrefix="0" xfId="0">
      <alignment horizontal="center" vertical="center" wrapText="1"/>
    </xf>
    <xf numFmtId="0" fontId="0" fillId="0" borderId="0" pivotButton="0" quotePrefix="0" xfId="0"/>
    <xf numFmtId="3" fontId="3" fillId="15" borderId="1" applyAlignment="1" pivotButton="0" quotePrefix="0" xfId="0">
      <alignment horizontal="center" vertical="center" wrapText="1"/>
    </xf>
    <xf numFmtId="3" fontId="25" fillId="3" borderId="1" applyAlignment="1" pivotButton="0" quotePrefix="0" xfId="0">
      <alignment horizontal="center" vertical="center" wrapText="1"/>
    </xf>
    <xf numFmtId="3" fontId="25" fillId="7" borderId="1" applyAlignment="1" pivotButton="0" quotePrefix="0" xfId="0">
      <alignment horizontal="center" vertical="center" wrapText="1"/>
    </xf>
    <xf numFmtId="3" fontId="3" fillId="16" borderId="1" applyAlignment="1" pivotButton="0" quotePrefix="0" xfId="0">
      <alignment horizontal="center" vertical="center" wrapText="1"/>
    </xf>
    <xf numFmtId="3" fontId="25" fillId="16" borderId="1" applyAlignment="1" pivotButton="0" quotePrefix="0" xfId="0">
      <alignment horizontal="center" vertical="center" wrapText="1"/>
    </xf>
    <xf numFmtId="0" fontId="0" fillId="16" borderId="0" pivotButton="0" quotePrefix="0" xfId="0"/>
    <xf numFmtId="3" fontId="25" fillId="2" borderId="1" applyAlignment="1" pivotButton="0" quotePrefix="0" xfId="0">
      <alignment horizontal="center" vertical="center" wrapText="1"/>
    </xf>
    <xf numFmtId="3" fontId="25" fillId="8" borderId="1" applyAlignment="1" pivotButton="0" quotePrefix="0" xfId="0">
      <alignment horizontal="center" vertical="center" wrapText="1"/>
    </xf>
    <xf numFmtId="0" fontId="0" fillId="7" borderId="0" pivotButton="0" quotePrefix="0" xfId="0"/>
    <xf numFmtId="3" fontId="3" fillId="6" borderId="1" applyAlignment="1" pivotButton="0" quotePrefix="0" xfId="0">
      <alignment horizontal="center" vertical="center" wrapText="1"/>
    </xf>
    <xf numFmtId="3" fontId="3" fillId="17" borderId="1" applyAlignment="1" pivotButton="0" quotePrefix="0" xfId="0">
      <alignment horizontal="center" vertical="center" wrapText="1"/>
    </xf>
    <xf numFmtId="0" fontId="10" fillId="0" borderId="1" pivotButton="0" quotePrefix="0" xfId="0"/>
    <xf numFmtId="3" fontId="25" fillId="16" borderId="1" applyAlignment="1" pivotButton="0" quotePrefix="0" xfId="0">
      <alignment horizontal="center" vertical="center"/>
    </xf>
    <xf numFmtId="3" fontId="25" fillId="7" borderId="1" applyAlignment="1" pivotButton="0" quotePrefix="0" xfId="0">
      <alignment horizontal="center" vertical="center"/>
    </xf>
    <xf numFmtId="3" fontId="3" fillId="7" borderId="6" applyAlignment="1" pivotButton="0" quotePrefix="0" xfId="0">
      <alignment horizontal="center" vertical="center" wrapText="1"/>
    </xf>
    <xf numFmtId="3" fontId="27" fillId="16" borderId="1" pivotButton="0" quotePrefix="0" xfId="0"/>
    <xf numFmtId="0" fontId="27" fillId="16" borderId="7" applyAlignment="1" pivotButton="0" quotePrefix="0" xfId="0">
      <alignment wrapText="1"/>
    </xf>
    <xf numFmtId="3" fontId="27" fillId="16" borderId="7" applyAlignment="1" pivotButton="0" quotePrefix="0" xfId="0">
      <alignment wrapText="1"/>
    </xf>
    <xf numFmtId="3" fontId="27" fillId="7" borderId="7" applyAlignment="1" pivotButton="0" quotePrefix="0" xfId="0">
      <alignment wrapText="1"/>
    </xf>
    <xf numFmtId="3" fontId="27" fillId="7" borderId="1" pivotButton="0" quotePrefix="0" xfId="0"/>
    <xf numFmtId="3" fontId="27" fillId="7" borderId="8" pivotButton="0" quotePrefix="0" xfId="0"/>
    <xf numFmtId="3" fontId="27" fillId="7" borderId="9" applyAlignment="1" pivotButton="0" quotePrefix="0" xfId="0">
      <alignment wrapText="1"/>
    </xf>
    <xf numFmtId="0" fontId="27" fillId="16" borderId="9" applyAlignment="1" pivotButton="0" quotePrefix="0" xfId="0">
      <alignment wrapText="1"/>
    </xf>
    <xf numFmtId="3" fontId="27" fillId="16" borderId="9" applyAlignment="1" pivotButton="0" quotePrefix="0" xfId="0">
      <alignment wrapText="1"/>
    </xf>
    <xf numFmtId="0" fontId="28" fillId="0" borderId="0" pivotButton="0" quotePrefix="0" xfId="0"/>
    <xf numFmtId="3" fontId="3" fillId="7" borderId="1" pivotButton="0" quotePrefix="0" xfId="0"/>
    <xf numFmtId="3" fontId="3" fillId="7" borderId="7" applyAlignment="1" pivotButton="0" quotePrefix="0" xfId="0">
      <alignment wrapText="1"/>
    </xf>
    <xf numFmtId="0" fontId="3" fillId="16" borderId="7" applyAlignment="1" pivotButton="0" quotePrefix="0" xfId="0">
      <alignment wrapText="1"/>
    </xf>
    <xf numFmtId="3" fontId="3" fillId="16" borderId="7" applyAlignment="1" pivotButton="0" quotePrefix="0" xfId="0">
      <alignment wrapText="1"/>
    </xf>
    <xf numFmtId="3" fontId="3" fillId="16" borderId="1" pivotButton="0" quotePrefix="0" xfId="0"/>
    <xf numFmtId="3" fontId="25" fillId="16" borderId="6" applyAlignment="1" pivotButton="0" quotePrefix="0" xfId="0">
      <alignment horizontal="center" vertical="center" wrapText="1"/>
    </xf>
    <xf numFmtId="3" fontId="27" fillId="16" borderId="10" pivotButton="0" quotePrefix="0" xfId="0"/>
    <xf numFmtId="3" fontId="3" fillId="16" borderId="10" pivotButton="0" quotePrefix="0" xfId="0"/>
    <xf numFmtId="3" fontId="27" fillId="16" borderId="10" applyAlignment="1" pivotButton="0" quotePrefix="0" xfId="0">
      <alignment wrapText="1"/>
    </xf>
    <xf numFmtId="3" fontId="3" fillId="16" borderId="10" applyAlignment="1" pivotButton="0" quotePrefix="0" xfId="0">
      <alignment wrapText="1"/>
    </xf>
    <xf numFmtId="3" fontId="3" fillId="8" borderId="3" applyAlignment="1" pivotButton="0" quotePrefix="0" xfId="0">
      <alignment horizontal="center" vertical="center" wrapText="1"/>
    </xf>
    <xf numFmtId="3" fontId="25" fillId="16" borderId="2" applyAlignment="1" pivotButton="0" quotePrefix="0" xfId="0">
      <alignment horizontal="center" vertical="center" wrapText="1"/>
    </xf>
    <xf numFmtId="3" fontId="3" fillId="7" borderId="10" applyAlignment="1" pivotButton="0" quotePrefix="0" xfId="0">
      <alignment wrapText="1"/>
    </xf>
    <xf numFmtId="3" fontId="27" fillId="7" borderId="10" applyAlignment="1" pivotButton="0" quotePrefix="0" xfId="0">
      <alignment wrapText="1"/>
    </xf>
    <xf numFmtId="3" fontId="25" fillId="16" borderId="0" applyAlignment="1" pivotButton="0" quotePrefix="0" xfId="0">
      <alignment horizontal="center" vertical="center" wrapText="1"/>
    </xf>
    <xf numFmtId="3" fontId="3" fillId="7" borderId="10" pivotButton="0" quotePrefix="0" xfId="0"/>
    <xf numFmtId="3" fontId="27" fillId="7" borderId="10" pivotButton="0" quotePrefix="0" xfId="0"/>
    <xf numFmtId="3" fontId="29" fillId="16" borderId="1" applyAlignment="1" pivotButton="0" quotePrefix="0" xfId="0">
      <alignment horizontal="center" vertical="center" wrapText="1"/>
    </xf>
    <xf numFmtId="3" fontId="10" fillId="0" borderId="0" pivotButton="0" quotePrefix="0" xfId="0"/>
    <xf numFmtId="3" fontId="25" fillId="18" borderId="1" applyAlignment="1" pivotButton="0" quotePrefix="0" xfId="0">
      <alignment horizontal="center" vertical="center" wrapText="1"/>
    </xf>
    <xf numFmtId="0" fontId="10" fillId="0" borderId="11" pivotButton="0" quotePrefix="0" xfId="0"/>
    <xf numFmtId="0" fontId="10" fillId="16" borderId="1" pivotButton="0" quotePrefix="0" xfId="0"/>
    <xf numFmtId="0" fontId="10" fillId="0" borderId="3" pivotButton="0" quotePrefix="0" xfId="0"/>
    <xf numFmtId="0" fontId="31" fillId="0" borderId="0" pivotButton="0" quotePrefix="0" xfId="0"/>
    <xf numFmtId="0" fontId="3" fillId="16" borderId="10" pivotButton="0" quotePrefix="0" xfId="2"/>
    <xf numFmtId="0" fontId="3" fillId="7" borderId="10" pivotButton="0" quotePrefix="0" xfId="2"/>
    <xf numFmtId="0" fontId="3" fillId="16" borderId="7" applyAlignment="1" pivotButton="0" quotePrefix="0" xfId="2">
      <alignment wrapText="1"/>
    </xf>
    <xf numFmtId="0" fontId="27" fillId="7" borderId="1" applyAlignment="1" pivotButton="0" quotePrefix="0" xfId="2">
      <alignment horizontal="center" wrapText="1"/>
    </xf>
    <xf numFmtId="0" fontId="25" fillId="16" borderId="1" applyAlignment="1" pivotButton="0" quotePrefix="0" xfId="2">
      <alignment horizontal="center" vertical="center" wrapText="1"/>
    </xf>
    <xf numFmtId="0" fontId="27" fillId="7" borderId="7" applyAlignment="1" pivotButton="0" quotePrefix="0" xfId="2">
      <alignment horizontal="center" wrapText="1"/>
    </xf>
    <xf numFmtId="0" fontId="27" fillId="16" borderId="7" applyAlignment="1" pivotButton="0" quotePrefix="0" xfId="2">
      <alignment horizontal="center" wrapText="1"/>
    </xf>
    <xf numFmtId="0" fontId="25" fillId="7" borderId="1" applyAlignment="1" pivotButton="0" quotePrefix="0" xfId="2">
      <alignment horizontal="center" vertical="center" wrapText="1"/>
    </xf>
    <xf numFmtId="0" fontId="25" fillId="16" borderId="2" applyAlignment="1" pivotButton="0" quotePrefix="0" xfId="2">
      <alignment horizontal="center" vertical="center" wrapText="1"/>
    </xf>
    <xf numFmtId="0" fontId="27" fillId="16" borderId="9" applyAlignment="1" pivotButton="0" quotePrefix="0" xfId="2">
      <alignment horizontal="center" wrapText="1"/>
    </xf>
    <xf numFmtId="0" fontId="3" fillId="16" borderId="10" applyAlignment="1" pivotButton="0" quotePrefix="0" xfId="2">
      <alignment wrapText="1"/>
    </xf>
    <xf numFmtId="0" fontId="3" fillId="7" borderId="1" applyAlignment="1" pivotButton="0" quotePrefix="0" xfId="2">
      <alignment horizontal="center" vertical="center" wrapText="1"/>
    </xf>
    <xf numFmtId="0" fontId="3" fillId="8" borderId="1" applyAlignment="1" pivotButton="0" quotePrefix="0" xfId="2">
      <alignment horizontal="center" vertical="center" wrapText="1"/>
    </xf>
    <xf numFmtId="0" fontId="3" fillId="7" borderId="7" applyAlignment="1" pivotButton="0" quotePrefix="0" xfId="2">
      <alignment wrapText="1"/>
    </xf>
    <xf numFmtId="0" fontId="27" fillId="16" borderId="7" applyAlignment="1" pivotButton="0" quotePrefix="0" xfId="2">
      <alignment wrapText="1"/>
    </xf>
    <xf numFmtId="0" fontId="3" fillId="2" borderId="1" applyAlignment="1" pivotButton="0" quotePrefix="0" xfId="2">
      <alignment horizontal="center" vertical="center" wrapText="1"/>
    </xf>
    <xf numFmtId="0" fontId="3" fillId="16" borderId="1" applyAlignment="1" pivotButton="0" quotePrefix="0" xfId="2">
      <alignment horizontal="center" vertical="center" wrapText="1"/>
    </xf>
    <xf numFmtId="0" fontId="25" fillId="3" borderId="1" applyAlignment="1" pivotButton="0" quotePrefix="0" xfId="2">
      <alignment horizontal="center" vertical="center" wrapText="1"/>
    </xf>
    <xf numFmtId="3" fontId="3" fillId="7" borderId="10" pivotButton="0" quotePrefix="0" xfId="2"/>
    <xf numFmtId="3" fontId="3" fillId="16" borderId="10" pivotButton="0" quotePrefix="0" xfId="2"/>
    <xf numFmtId="3" fontId="3" fillId="16" borderId="7" applyAlignment="1" pivotButton="0" quotePrefix="0" xfId="2">
      <alignment wrapText="1"/>
    </xf>
    <xf numFmtId="3" fontId="25" fillId="16" borderId="1" applyAlignment="1" pivotButton="0" quotePrefix="0" xfId="2">
      <alignment horizontal="center" vertical="center" wrapText="1"/>
    </xf>
    <xf numFmtId="3" fontId="3" fillId="7" borderId="7" applyAlignment="1" pivotButton="0" quotePrefix="0" xfId="2">
      <alignment wrapText="1"/>
    </xf>
    <xf numFmtId="3" fontId="27" fillId="16" borderId="7" applyAlignment="1" pivotButton="0" quotePrefix="0" xfId="2">
      <alignment wrapText="1"/>
    </xf>
    <xf numFmtId="3" fontId="3" fillId="7" borderId="10" applyAlignment="1" pivotButton="0" quotePrefix="0" xfId="2">
      <alignment wrapText="1"/>
    </xf>
    <xf numFmtId="3" fontId="3" fillId="7" borderId="1" applyAlignment="1" pivotButton="0" quotePrefix="0" xfId="2">
      <alignment horizontal="center" vertical="center" wrapText="1"/>
    </xf>
    <xf numFmtId="41" fontId="25" fillId="16" borderId="1" applyAlignment="1" pivotButton="0" quotePrefix="0" xfId="1">
      <alignment horizontal="center" vertical="center" wrapText="1"/>
    </xf>
    <xf numFmtId="41" fontId="25" fillId="7" borderId="1" applyAlignment="1" pivotButton="0" quotePrefix="0" xfId="1">
      <alignment horizontal="center" vertical="center" wrapText="1"/>
    </xf>
    <xf numFmtId="41" fontId="3" fillId="8" borderId="1" applyAlignment="1" pivotButton="0" quotePrefix="0" xfId="1">
      <alignment horizontal="center" vertical="center" wrapText="1"/>
    </xf>
    <xf numFmtId="1" fontId="0" fillId="0" borderId="0" pivotButton="0" quotePrefix="0" xfId="0"/>
    <xf numFmtId="1" fontId="0" fillId="0" borderId="0" pivotButton="0" quotePrefix="0" xfId="1"/>
    <xf numFmtId="0" fontId="10" fillId="16" borderId="1" applyAlignment="1" pivotButton="0" quotePrefix="0" xfId="0">
      <alignment horizontal="center" vertical="center"/>
    </xf>
    <xf numFmtId="0" fontId="3" fillId="16" borderId="7" applyAlignment="1" pivotButton="0" quotePrefix="0" xfId="2">
      <alignment horizontal="center" vertical="center" wrapText="1"/>
    </xf>
    <xf numFmtId="0" fontId="27" fillId="16" borderId="1" applyAlignment="1" pivotButton="0" quotePrefix="0" xfId="2">
      <alignment horizontal="center" wrapText="1"/>
    </xf>
    <xf numFmtId="3" fontId="3" fillId="16" borderId="10" applyAlignment="1" pivotButton="0" quotePrefix="0" xfId="2">
      <alignment wrapText="1"/>
    </xf>
    <xf numFmtId="0" fontId="27" fillId="7" borderId="9" applyAlignment="1" pivotButton="0" quotePrefix="0" xfId="2">
      <alignment horizontal="center" wrapText="1"/>
    </xf>
    <xf numFmtId="3" fontId="27" fillId="7" borderId="7" applyAlignment="1" pivotButton="0" quotePrefix="0" xfId="2">
      <alignment wrapText="1"/>
    </xf>
    <xf numFmtId="41" fontId="0" fillId="0" borderId="0" pivotButton="0" quotePrefix="0" xfId="1"/>
    <xf numFmtId="3" fontId="32" fillId="0" borderId="0" pivotButton="0" quotePrefix="0" xfId="0"/>
    <xf numFmtId="41" fontId="3" fillId="2" borderId="1" applyAlignment="1" pivotButton="0" quotePrefix="0" xfId="1">
      <alignment horizontal="center" vertical="center" wrapText="1"/>
    </xf>
    <xf numFmtId="0" fontId="33" fillId="0" borderId="0" pivotButton="0" quotePrefix="0" xfId="0"/>
    <xf numFmtId="41" fontId="10" fillId="16" borderId="1" pivotButton="0" quotePrefix="0" xfId="1"/>
    <xf numFmtId="41" fontId="10" fillId="0" borderId="0" pivotButton="0" quotePrefix="0" xfId="1"/>
    <xf numFmtId="41" fontId="3" fillId="16" borderId="10" pivotButton="0" quotePrefix="0" xfId="1"/>
    <xf numFmtId="41" fontId="10" fillId="16" borderId="0" applyAlignment="1" pivotButton="0" quotePrefix="0" xfId="1">
      <alignment horizontal="center" vertical="center"/>
    </xf>
    <xf numFmtId="41" fontId="3" fillId="7" borderId="10" pivotButton="0" quotePrefix="0" xfId="1"/>
    <xf numFmtId="41" fontId="3" fillId="16" borderId="7" applyAlignment="1" pivotButton="0" quotePrefix="0" xfId="1">
      <alignment horizontal="center" vertical="center" wrapText="1"/>
    </xf>
    <xf numFmtId="41" fontId="3" fillId="7" borderId="1" applyAlignment="1" pivotButton="0" quotePrefix="0" xfId="1">
      <alignment horizontal="center" wrapText="1"/>
    </xf>
    <xf numFmtId="41" fontId="3" fillId="16" borderId="7" applyAlignment="1" pivotButton="0" quotePrefix="0" xfId="1">
      <alignment horizontal="center" wrapText="1"/>
    </xf>
    <xf numFmtId="41" fontId="3" fillId="7" borderId="7" applyAlignment="1" pivotButton="0" quotePrefix="0" xfId="1">
      <alignment horizontal="center" wrapText="1"/>
    </xf>
    <xf numFmtId="41" fontId="25" fillId="16" borderId="2" applyAlignment="1" pivotButton="0" quotePrefix="0" xfId="1">
      <alignment horizontal="center" vertical="center" wrapText="1"/>
    </xf>
    <xf numFmtId="41" fontId="3" fillId="16" borderId="7" applyAlignment="1" pivotButton="0" quotePrefix="0" xfId="1">
      <alignment wrapText="1"/>
    </xf>
    <xf numFmtId="41" fontId="3" fillId="16" borderId="9" applyAlignment="1" pivotButton="0" quotePrefix="0" xfId="1">
      <alignment horizontal="center" wrapText="1"/>
    </xf>
    <xf numFmtId="41" fontId="3" fillId="7" borderId="10" applyAlignment="1" pivotButton="0" quotePrefix="0" xfId="1">
      <alignment wrapText="1"/>
    </xf>
    <xf numFmtId="41" fontId="3" fillId="16" borderId="10" applyAlignment="1" pivotButton="0" quotePrefix="0" xfId="1">
      <alignment wrapText="1"/>
    </xf>
    <xf numFmtId="41" fontId="3" fillId="7" borderId="1" applyAlignment="1" pivotButton="0" quotePrefix="0" xfId="1">
      <alignment horizontal="center" vertical="center" wrapText="1"/>
    </xf>
    <xf numFmtId="41" fontId="3" fillId="7" borderId="7" applyAlignment="1" pivotButton="0" quotePrefix="0" xfId="1">
      <alignment wrapText="1"/>
    </xf>
    <xf numFmtId="41" fontId="3" fillId="16" borderId="1" applyAlignment="1" pivotButton="0" quotePrefix="0" xfId="1">
      <alignment horizontal="center" vertical="center" wrapText="1"/>
    </xf>
    <xf numFmtId="41" fontId="25" fillId="3" borderId="1" applyAlignment="1" pivotButton="0" quotePrefix="0" xfId="1">
      <alignment horizontal="center" vertical="center" wrapText="1"/>
    </xf>
    <xf numFmtId="0" fontId="34" fillId="19" borderId="12" applyAlignment="1" pivotButton="0" quotePrefix="0" xfId="0">
      <alignment horizontal="center" vertical="center"/>
    </xf>
    <xf numFmtId="0" fontId="34" fillId="19" borderId="13" applyAlignment="1" pivotButton="0" quotePrefix="0" xfId="0">
      <alignment horizontal="center" vertical="center"/>
    </xf>
    <xf numFmtId="0" fontId="34" fillId="19" borderId="14" applyAlignment="1" pivotButton="0" quotePrefix="0" xfId="0">
      <alignment horizontal="center" vertical="center"/>
    </xf>
    <xf numFmtId="0" fontId="0" fillId="0" borderId="15" pivotButton="0" quotePrefix="0" xfId="0"/>
    <xf numFmtId="0" fontId="0" fillId="0" borderId="16" pivotButton="0" quotePrefix="0" xfId="0"/>
    <xf numFmtId="0" fontId="0" fillId="7" borderId="15" pivotButton="0" quotePrefix="0" xfId="0"/>
    <xf numFmtId="41" fontId="0" fillId="7" borderId="0" pivotButton="0" quotePrefix="0" xfId="1"/>
    <xf numFmtId="41" fontId="0" fillId="7" borderId="17" pivotButton="0" quotePrefix="0" xfId="1"/>
    <xf numFmtId="0" fontId="10" fillId="0" borderId="0" pivotButton="0" quotePrefix="0" xfId="0"/>
    <xf numFmtId="0" fontId="10" fillId="16" borderId="0" applyAlignment="1" pivotButton="0" quotePrefix="0" xfId="0">
      <alignment horizontal="center" vertical="center"/>
    </xf>
    <xf numFmtId="0" fontId="0" fillId="20" borderId="0" pivotButton="0" quotePrefix="0" xfId="0"/>
    <xf numFmtId="41" fontId="3" fillId="7" borderId="7" applyAlignment="1" pivotButton="0" quotePrefix="0" xfId="1">
      <alignment horizontal="center" vertical="center" wrapText="1"/>
    </xf>
    <xf numFmtId="41" fontId="10" fillId="7" borderId="1" pivotButton="0" quotePrefix="0" xfId="1"/>
    <xf numFmtId="41" fontId="0" fillId="16" borderId="1" pivotButton="0" quotePrefix="0" xfId="1"/>
    <xf numFmtId="41" fontId="0" fillId="7" borderId="1" pivotButton="0" quotePrefix="0" xfId="1"/>
    <xf numFmtId="41" fontId="3" fillId="7" borderId="9" applyAlignment="1" pivotButton="0" quotePrefix="0" xfId="1">
      <alignment horizontal="center" wrapText="1"/>
    </xf>
    <xf numFmtId="41" fontId="25" fillId="16" borderId="0" applyAlignment="1" pivotButton="0" quotePrefix="0" xfId="1">
      <alignment horizontal="center" vertical="center" wrapText="1"/>
    </xf>
    <xf numFmtId="41" fontId="3" fillId="16" borderId="1" applyAlignment="1" pivotButton="0" quotePrefix="0" xfId="1">
      <alignment horizontal="center" wrapText="1"/>
    </xf>
    <xf numFmtId="41" fontId="3" fillId="7" borderId="0" applyAlignment="1" pivotButton="0" quotePrefix="0" xfId="1">
      <alignment horizontal="center" vertical="center" wrapText="1"/>
    </xf>
    <xf numFmtId="41" fontId="3" fillId="18" borderId="7" applyAlignment="1" pivotButton="0" quotePrefix="0" xfId="1">
      <alignment wrapText="1"/>
    </xf>
    <xf numFmtId="41" fontId="3" fillId="14" borderId="10" pivotButton="0" quotePrefix="0" xfId="1"/>
    <xf numFmtId="41" fontId="3" fillId="14" borderId="10" applyAlignment="1" pivotButton="0" quotePrefix="0" xfId="1">
      <alignment wrapText="1"/>
    </xf>
    <xf numFmtId="41" fontId="3" fillId="14" borderId="7" applyAlignment="1" pivotButton="0" quotePrefix="0" xfId="1">
      <alignment wrapText="1"/>
    </xf>
    <xf numFmtId="41" fontId="3" fillId="2" borderId="1" applyAlignment="1" pivotButton="0" quotePrefix="0" xfId="0">
      <alignment horizontal="center" vertical="center" wrapText="1"/>
    </xf>
    <xf numFmtId="41" fontId="36" fillId="16" borderId="1" pivotButton="0" quotePrefix="0" xfId="1"/>
    <xf numFmtId="0" fontId="15" fillId="0" borderId="0" applyAlignment="1" pivotButton="0" quotePrefix="0" xfId="0">
      <alignment horizontal="left" vertical="top" wrapText="1"/>
    </xf>
    <xf numFmtId="0" fontId="0" fillId="0" borderId="0" applyAlignment="1" pivotButton="0" quotePrefix="0" xfId="0">
      <alignment horizontal="left" vertical="top" wrapText="1"/>
    </xf>
  </cellXfs>
  <cellStyles count="4">
    <cellStyle name="Normal" xfId="0" builtinId="0"/>
    <cellStyle name="Comma [0]" xfId="1" builtinId="6"/>
    <cellStyle name="Comma" xfId="2" builtinId="3"/>
    <cellStyle name="Normal 2" xfId="3"/>
  </cellStyles>
  <dxfs count="93">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67C5FF"/>
        </patternFill>
      </fill>
    </dxf>
    <dxf>
      <fill>
        <patternFill>
          <bgColor rgb="FFFFFF00"/>
        </patternFill>
      </fill>
    </dxf>
    <dxf>
      <fill>
        <patternFill>
          <bgColor rgb="FF67C5FF"/>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
      <fill>
        <patternFill>
          <bgColor rgb="FFFFFF00"/>
        </patternFill>
      </fill>
    </dxf>
    <dxf>
      <fill>
        <patternFill>
          <bgColor rgb="FF67C5FF"/>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styles" Target="styles.xml" Id="rId109"/><Relationship Type="http://schemas.openxmlformats.org/officeDocument/2006/relationships/theme" Target="theme/theme1.xml" Id="rId110"/></Relationships>
</file>

<file path=xl/charts/chart1.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lineChart>
        <grouping val="standard"/>
        <varyColors val="0"/>
        <ser>
          <idx val="0"/>
          <order val="0"/>
          <tx>
            <v>iPhone 15  128GB</v>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b"/>
            <showLegendKey val="0"/>
            <showVal val="1"/>
            <showCatName val="0"/>
            <showSerName val="0"/>
            <showPercent val="0"/>
            <showBubbleSize val="0"/>
            <showLeaderLines val="0"/>
          </dLbls>
          <cat>
            <strLit>
              <ptCount val="6"/>
              <pt idx="0">
                <v>MW</v>
              </pt>
              <pt idx="1">
                <v>TZ</v>
              </pt>
              <pt idx="2">
                <v>FPT</v>
              </pt>
              <pt idx="3">
                <v>Viettel</v>
              </pt>
              <pt idx="4">
                <v>CPS</v>
              </pt>
              <pt idx="5">
                <v>Shopdunk</v>
              </pt>
            </strLit>
          </cat>
          <val>
            <numLit>
              <formatCode>General</formatCode>
              <ptCount val="6"/>
              <pt idx="0">
                <v>19890000</v>
              </pt>
              <pt idx="1">
                <v>19890000</v>
              </pt>
              <pt idx="2">
                <v>19890000</v>
              </pt>
              <pt idx="3">
                <v>19490000</v>
              </pt>
              <pt idx="4">
                <v>19450000</v>
              </pt>
              <pt idx="5">
                <v>19450000</v>
              </pt>
            </numLit>
          </val>
          <smooth val="0"/>
        </ser>
        <dLbls>
          <showLegendKey val="0"/>
          <showVal val="0"/>
          <showCatName val="0"/>
          <showSerName val="0"/>
          <showPercent val="0"/>
          <showBubbleSize val="0"/>
        </dLbls>
        <smooth val="0"/>
        <axId val="285593472"/>
        <axId val="285595184"/>
      </lineChart>
      <catAx>
        <axId val="28559347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285595184"/>
        <crosses val="autoZero"/>
        <auto val="1"/>
        <lblAlgn val="ctr"/>
        <lblOffset val="100"/>
        <noMultiLvlLbl val="0"/>
      </catAx>
      <valAx>
        <axId val="285595184"/>
        <scaling>
          <orientation val="minMax"/>
        </scaling>
        <delete val="1"/>
        <axPos val="l"/>
        <numFmt formatCode="General" sourceLinked="1"/>
        <majorTickMark val="none"/>
        <minorTickMark val="none"/>
        <tickLblPos val="nextTo"/>
        <crossAx val="285593472"/>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plotArea>
      <layout/>
      <barChart>
        <barDir val="col"/>
        <grouping val="clustered"/>
        <varyColors val="0"/>
        <dLbls>
          <showLegendKey val="0"/>
          <showVal val="0"/>
          <showCatName val="0"/>
          <showSerName val="0"/>
          <showPercent val="0"/>
          <showBubbleSize val="0"/>
        </dLbls>
        <gapWidth val="219"/>
        <overlap val="-27"/>
        <axId val="2018845792"/>
        <axId val="2030161136"/>
      </barChart>
      <catAx>
        <axId val="2018845792"/>
        <scaling>
          <orientation val="minMax"/>
        </scaling>
        <delete val="1"/>
        <axPos val="b"/>
        <numFmt formatCode="General" sourceLinked="1"/>
        <majorTickMark val="none"/>
        <minorTickMark val="none"/>
        <tickLblPos val="nextTo"/>
        <crossAx val="2030161136"/>
        <crosses val="autoZero"/>
        <auto val="1"/>
        <lblAlgn val="ctr"/>
        <lblOffset val="100"/>
        <noMultiLvlLbl val="0"/>
      </catAx>
      <valAx>
        <axId val="2030161136"/>
        <scaling>
          <orientation val="minMax"/>
        </scaling>
        <delete val="1"/>
        <axPos val="l"/>
        <numFmt formatCode="General" sourceLinked="1"/>
        <majorTickMark val="none"/>
        <minorTickMark val="none"/>
        <tickLblPos val="nextTo"/>
        <crossAx val="2018845792"/>
        <crosses val="autoZero"/>
        <crossBetween val="between"/>
      </valAx>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barChart>
        <barDir val="col"/>
        <grouping val="clustered"/>
        <varyColors val="0"/>
        <ser>
          <idx val="0"/>
          <order val="0"/>
          <tx>
            <strRef>
              <f>W7Q4FY24!$K$15</f>
              <strCache>
                <ptCount val="1"/>
                <pt idx="0">
                  <v>iPhone 15 Pro Max 256GB</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
                </a:r>
                <a:endParaRPr lang="en-US"/>
              </a:p>
            </txPr>
            <dLblPos val="inBase"/>
            <showLegendKey val="0"/>
            <showVal val="1"/>
            <showCatName val="0"/>
            <showSerName val="0"/>
            <showPercent val="0"/>
            <showBubbleSize val="0"/>
            <showLeaderLines val="0"/>
          </dLbls>
          <cat>
            <strRef>
              <f>W7Q4FY24!$L$14:$P$14</f>
              <strCache>
                <ptCount val="5"/>
                <pt idx="0">
                  <v>MW</v>
                </pt>
                <pt idx="1">
                  <v>FPT</v>
                </pt>
                <pt idx="2">
                  <v>Viettel</v>
                </pt>
                <pt idx="3">
                  <v>CPS</v>
                </pt>
                <pt idx="4">
                  <v>Shopdunk</v>
                </pt>
              </strCache>
            </strRef>
          </cat>
          <val>
            <numRef>
              <f>W7Q4FY24!$L$15:$P$15</f>
              <numCache>
                <formatCode>General</formatCode>
                <ptCount val="5"/>
                <pt idx="0">
                  <v>350</v>
                </pt>
                <pt idx="1">
                  <v>316</v>
                </pt>
                <pt idx="2">
                  <v>68</v>
                </pt>
                <pt idx="3">
                  <v>388</v>
                </pt>
                <pt idx="4">
                  <v>89</v>
                </pt>
              </numCache>
            </numRef>
          </val>
        </ser>
        <dLbls>
          <showLegendKey val="0"/>
          <showVal val="0"/>
          <showCatName val="0"/>
          <showSerName val="0"/>
          <showPercent val="0"/>
          <showBubbleSize val="0"/>
        </dLbls>
        <gapWidth val="219"/>
        <overlap val="-27"/>
        <axId val="1663167168"/>
        <axId val="1393932224"/>
      </barChart>
      <catAx>
        <axId val="166316716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393932224"/>
        <crosses val="autoZero"/>
        <auto val="1"/>
        <lblAlgn val="ctr"/>
        <lblOffset val="100"/>
        <noMultiLvlLbl val="0"/>
      </catAx>
      <valAx>
        <axId val="1393932224"/>
        <scaling>
          <orientation val="minMax"/>
        </scaling>
        <delete val="1"/>
        <axPos val="l"/>
        <numFmt formatCode="General" sourceLinked="1"/>
        <majorTickMark val="none"/>
        <minorTickMark val="none"/>
        <tickLblPos val="nextTo"/>
        <crossAx val="1663167168"/>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6124661187206604"/>
          <y val="0.1329127442580886"/>
          <w val="0.938753388127934"/>
          <h val="0.8670872557419114"/>
        </manualLayout>
      </layout>
      <lineChart>
        <grouping val="standard"/>
        <varyColors val="0"/>
        <ser>
          <idx val="0"/>
          <order val="0"/>
          <tx>
            <strRef>
              <f>W7Q4FY24!$K$16</f>
              <strCache>
                <ptCount val="1"/>
                <pt idx="0">
                  <v>iPhone 15 Pro Max 256GB</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accent2"/>
                    </a:solidFill>
                    <a:latin typeface="+mn-lt"/>
                    <a:ea typeface="+mn-ea"/>
                    <a:cs typeface="+mn-cs"/>
                  </a:defRPr>
                </a:pPr>
                <a:r>
                  <a:t/>
                </a:r>
                <a:endParaRPr lang="en-US"/>
              </a:p>
            </txPr>
            <dLblPos val="t"/>
            <showLegendKey val="0"/>
            <showVal val="1"/>
            <showCatName val="0"/>
            <showSerName val="0"/>
            <showPercent val="0"/>
            <showBubbleSize val="0"/>
            <showLeaderLines val="0"/>
          </dLbls>
          <val>
            <numRef>
              <f>W7Q4FY24!$L$16:$P$16</f>
              <numCache>
                <formatCode>#,##0</formatCode>
                <ptCount val="5"/>
                <pt idx="0">
                  <v>29390000</v>
                </pt>
                <pt idx="1">
                  <v>29390000</v>
                </pt>
                <pt idx="2">
                  <v>28700000</v>
                </pt>
                <pt idx="3">
                  <v>28790000</v>
                </pt>
                <pt idx="4">
                  <v>28850000</v>
                </pt>
              </numCache>
            </numRef>
          </val>
          <smooth val="0"/>
        </ser>
        <dLbls>
          <showLegendKey val="0"/>
          <showVal val="0"/>
          <showCatName val="0"/>
          <showSerName val="0"/>
          <showPercent val="0"/>
          <showBubbleSize val="0"/>
        </dLbls>
        <smooth val="0"/>
        <axId val="1113289168"/>
        <axId val="1424307200"/>
      </lineChart>
      <catAx>
        <axId val="1113289168"/>
        <scaling>
          <orientation val="minMax"/>
        </scaling>
        <delete val="1"/>
        <axPos val="b"/>
        <majorTickMark val="none"/>
        <minorTickMark val="none"/>
        <tickLblPos val="nextTo"/>
        <crossAx val="1424307200"/>
        <crosses val="autoZero"/>
        <auto val="1"/>
        <lblAlgn val="ctr"/>
        <lblOffset val="100"/>
        <noMultiLvlLbl val="0"/>
      </catAx>
      <valAx>
        <axId val="1424307200"/>
        <scaling>
          <orientation val="minMax"/>
        </scaling>
        <delete val="1"/>
        <axPos val="l"/>
        <numFmt formatCode="#,##0" sourceLinked="1"/>
        <majorTickMark val="none"/>
        <minorTickMark val="none"/>
        <tickLblPos val="nextTo"/>
        <crossAx val="1113289168"/>
        <crosses val="autoZero"/>
        <crossBetween val="between"/>
      </valAx>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barChart>
        <barDir val="col"/>
        <grouping val="clustered"/>
        <varyColors val="0"/>
        <dLbls>
          <showLegendKey val="0"/>
          <showVal val="0"/>
          <showCatName val="0"/>
          <showSerName val="0"/>
          <showPercent val="0"/>
          <showBubbleSize val="0"/>
        </dLbls>
        <gapWidth val="219"/>
        <overlap val="-27"/>
        <axId val="2018845792"/>
        <axId val="2030161136"/>
      </barChart>
      <catAx>
        <axId val="2018845792"/>
        <scaling>
          <orientation val="minMax"/>
        </scaling>
        <delete val="1"/>
        <axPos val="b"/>
        <numFmt formatCode="General" sourceLinked="1"/>
        <majorTickMark val="none"/>
        <minorTickMark val="none"/>
        <tickLblPos val="nextTo"/>
        <crossAx val="2030161136"/>
        <crosses val="autoZero"/>
        <auto val="1"/>
        <lblAlgn val="ctr"/>
        <lblOffset val="100"/>
        <noMultiLvlLbl val="0"/>
      </catAx>
      <valAx>
        <axId val="2030161136"/>
        <scaling>
          <orientation val="minMax"/>
        </scaling>
        <delete val="1"/>
        <axPos val="l"/>
        <numFmt formatCode="General" sourceLinked="1"/>
        <majorTickMark val="none"/>
        <minorTickMark val="none"/>
        <tickLblPos val="nextTo"/>
        <crossAx val="2018845792"/>
        <crosses val="autoZero"/>
        <crossBetween val="between"/>
      </valAx>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6124661187206604"/>
          <y val="0.1329127442580886"/>
          <w val="0.938753388127934"/>
          <h val="0.8670872557419114"/>
        </manualLayout>
      </layout>
      <lineChart>
        <grouping val="standard"/>
        <varyColors val="0"/>
        <dLbls>
          <showLegendKey val="0"/>
          <showVal val="0"/>
          <showCatName val="0"/>
          <showSerName val="0"/>
          <showPercent val="0"/>
          <showBubbleSize val="0"/>
        </dLbls>
        <marker val="1"/>
        <smooth val="0"/>
        <axId val="1113289168"/>
        <axId val="1424307200"/>
      </lineChart>
      <catAx>
        <axId val="1113289168"/>
        <scaling>
          <orientation val="minMax"/>
        </scaling>
        <delete val="1"/>
        <axPos val="b"/>
        <majorTickMark val="none"/>
        <minorTickMark val="none"/>
        <tickLblPos val="nextTo"/>
        <crossAx val="1424307200"/>
        <crosses val="autoZero"/>
        <auto val="1"/>
        <lblAlgn val="ctr"/>
        <lblOffset val="100"/>
        <noMultiLvlLbl val="0"/>
      </catAx>
      <valAx>
        <axId val="1424307200"/>
        <scaling>
          <orientation val="minMax"/>
        </scaling>
        <delete val="1"/>
        <axPos val="l"/>
        <numFmt formatCode="#,##0" sourceLinked="1"/>
        <majorTickMark val="none"/>
        <minorTickMark val="none"/>
        <tickLblPos val="nextTo"/>
        <crossAx val="1113289168"/>
        <crosses val="autoZero"/>
        <crossBetween val="between"/>
      </valAx>
    </plotArea>
    <plotVisOnly val="1"/>
    <dispBlanksAs val="gap"/>
  </chart>
  <spPr>
    <a:noFill xmlns:a="http://schemas.openxmlformats.org/drawingml/2006/main"/>
    <a:ln xmlns:a="http://schemas.openxmlformats.org/drawingml/2006/main" w="9525" cap="flat" cmpd="sng" algn="ctr">
      <a:noFill/>
      <a:prstDash val="solid"/>
      <a:round/>
    </a:ln>
  </spPr>
</chartSpace>
</file>

<file path=xl/comments/comment1.xml><?xml version="1.0" encoding="utf-8"?>
<comments xmlns="http://schemas.openxmlformats.org/spreadsheetml/2006/main">
  <authors>
    <author>pc</author>
    <author>Dang Phuong Nam</author>
    <author>Duy Nguyen</author>
    <author>Nam Khánh</author>
    <author>Microsoft Office User</author>
  </authors>
  <commentList>
    <comment ref="B2" authorId="0" shapeId="0">
      <text>
        <t>pc:
Was 19,990,000</t>
      </text>
    </comment>
    <comment ref="D2" authorId="1" shapeId="0">
      <text>
        <t>Dang Phuong Nam:
Last week was: 19..790.000</t>
      </text>
    </comment>
    <comment ref="F2" authorId="1" shapeId="0">
      <text>
        <t>Đặng Thanh Vượng:
Last week was: 19.390.000</t>
      </text>
    </comment>
    <comment ref="H2" authorId="2" shapeId="0">
      <text>
        <t>Duy Nguyen:
last week was 19,390,000</t>
      </text>
    </comment>
    <comment ref="B3" authorId="0" shapeId="0">
      <text>
        <t>pc:
Was 22,990,000</t>
      </text>
    </comment>
    <comment ref="D3" authorId="1" shapeId="0">
      <text>
        <t xml:space="preserve">Dang Phuong Nam:
Last week was: 22.790.000
</t>
      </text>
    </comment>
    <comment ref="F3" authorId="1" shapeId="0">
      <text>
        <t>Đặng Thanh Vượng:
Last week was: 22.790.000</t>
      </text>
    </comment>
    <comment ref="H3" authorId="2" shapeId="0">
      <text>
        <t>Duy Nguyen:
last week was 22,690,000</t>
      </text>
    </comment>
    <comment ref="B4" authorId="0" shapeId="0">
      <text>
        <t>pc:
Was 25,990,000</t>
      </text>
    </comment>
    <comment ref="D4" authorId="1" shapeId="0">
      <text>
        <t>Dang Phuong Nam:
Last week was: 25.790.000</t>
      </text>
    </comment>
    <comment ref="F4" authorId="1" shapeId="0">
      <text>
        <t>Đặng Thanh Vượng:
Last week was: 25.290.000</t>
      </text>
    </comment>
    <comment ref="H4" authorId="2" shapeId="0">
      <text>
        <t>Duy Nguyen:
last week was 25,150,000</t>
      </text>
    </comment>
    <comment ref="J4" authorId="3" shapeId="0">
      <text>
        <t>W3: 24.690.000</t>
      </text>
    </comment>
    <comment ref="D5" authorId="1" shapeId="0">
      <text>
        <t>Dang Phuong Nam:
Last week was: 29.790.000</t>
      </text>
    </comment>
    <comment ref="F5" authorId="1" shapeId="0">
      <text>
        <t>Đặng Thanh Vượng:
Last week was: 29.590.000</t>
      </text>
    </comment>
    <comment ref="H5" authorId="2" shapeId="0">
      <text>
        <t>Duy Nguyen:
last week was 29,390,000</t>
      </text>
    </comment>
    <comment ref="J5" authorId="3" shapeId="0">
      <text>
        <t>W3: 28.890.000</t>
      </text>
    </comment>
    <comment ref="B6" authorId="0" shapeId="0">
      <text>
        <t>pc:
Was 17,490,000</t>
      </text>
    </comment>
    <comment ref="D7" authorId="1" shapeId="0">
      <text>
        <t>Dang Phuong Nam:
Last week was: 19.890.000</t>
      </text>
    </comment>
    <comment ref="B8" authorId="0" shapeId="0">
      <text>
        <t>pc:
Was 14,490,000</t>
      </text>
    </comment>
    <comment ref="D8" authorId="1" shapeId="0">
      <text>
        <t>Dang Phuong Nam:
Last week was: 17.315.000</t>
      </text>
    </comment>
    <comment ref="F8" authorId="1" shapeId="0">
      <text>
        <t xml:space="preserve">Đặng Thanh Vượng:
Last week was 19.790,000	</t>
      </text>
    </comment>
    <comment ref="H8" authorId="2" shapeId="0">
      <text>
        <t>Duy Nguyen:
last week was 22,990,000</t>
      </text>
    </comment>
    <comment ref="B9" authorId="0" shapeId="0">
      <text>
        <t>pc:
Was 12,090,000</t>
      </text>
    </comment>
    <comment ref="D9" authorId="1" shapeId="0">
      <text>
        <t>Dang Phuong Nam: Last week was: 14.435.000</t>
      </text>
    </comment>
    <comment ref="F9" authorId="1" shapeId="0">
      <text>
        <t xml:space="preserve">Đặng Thanh Vượng:
Last week was 17.190,000	</t>
      </text>
    </comment>
    <comment ref="H9" authorId="2" shapeId="0">
      <text>
        <t>Duy Nguyen:
last week was 25,990,000</t>
      </text>
    </comment>
    <comment ref="N9" authorId="4" shapeId="0">
      <text>
        <t>Microsoft Office User:
Last week was:
13.690.000đ</t>
      </text>
    </comment>
    <comment ref="D10" authorId="1" shapeId="0">
      <text>
        <t>Dang Phuong Nam:
Last week was: 11.970.000</t>
      </text>
    </comment>
    <comment ref="F10" authorId="1" shapeId="0">
      <text>
        <t xml:space="preserve">Đặng Thanh Vượng:
Last week was 13.890,000	</t>
      </text>
    </comment>
    <comment ref="H10" authorId="2" shapeId="0">
      <text>
        <t>Duy Nguyen:
last week was 13,690,000</t>
      </text>
    </comment>
    <comment ref="F11" authorId="1" shapeId="0">
      <text>
        <t xml:space="preserve">Đặng Thanh Vượng:
Last week was 11.990,000	</t>
      </text>
    </comment>
    <comment ref="H11" authorId="2" shapeId="0">
      <text>
        <t>Duy Nguyen:
last week was 11,990,000</t>
      </text>
    </comment>
    <comment ref="B12" authorId="0" shapeId="0">
      <text>
        <t>pc:
Was 32,990,000</t>
      </text>
    </comment>
    <comment ref="F12" authorId="1" shapeId="0">
      <text>
        <t xml:space="preserve">Đặng Thanh Vượng:
Last week was 8.990,000	</t>
      </text>
    </comment>
    <comment ref="B13" authorId="0" shapeId="0">
      <text>
        <t>pc:
Was 38,590,000</t>
      </text>
    </comment>
    <comment ref="D13" authorId="1" shapeId="0">
      <text>
        <t>Dang Phuong Nam:
Last week was: 32.790.000</t>
      </text>
    </comment>
    <comment ref="D14" authorId="1" shapeId="0">
      <text>
        <t>Dang Phuong Nam:
Last week was: 38.390.000</t>
      </text>
    </comment>
    <comment ref="H14" authorId="2" shapeId="0">
      <text>
        <t>Duy Nguyen:
last week was 32,990,000</t>
      </text>
    </comment>
    <comment ref="B15" authorId="0" shapeId="0">
      <text>
        <t>pc:
Was 18,490,000</t>
      </text>
    </comment>
    <comment ref="H15" authorId="2" shapeId="0">
      <text>
        <t>Duy Nguyen:
last week was 37,990,000</t>
      </text>
    </comment>
    <comment ref="N15" authorId="4" shapeId="0">
      <text>
        <t>Microsoft Office User:
Last week was:
9.890.000đ</t>
      </text>
    </comment>
    <comment ref="F17" authorId="1" shapeId="0">
      <text>
        <t xml:space="preserve">Dang Phuong Nam:
Last wek was:18,490,000	</t>
      </text>
    </comment>
    <comment ref="H17" authorId="2" shapeId="0">
      <text>
        <t>Duy Nguyen:
last week was 18,690,000</t>
      </text>
    </comment>
    <comment ref="B18" authorId="0" shapeId="0">
      <text>
        <t>pc:
Was 14,590,000</t>
      </text>
    </comment>
    <comment ref="F18" authorId="1" shapeId="0">
      <text>
        <t xml:space="preserve">Dang Phuong Nam:
Last wek was:24.990,000	</t>
      </text>
    </comment>
    <comment ref="N18" authorId="4" shapeId="0">
      <text>
        <t>Microsoft Office User:
Last week was:
8.990.000đ</t>
      </text>
    </comment>
    <comment ref="B19" authorId="0" shapeId="0">
      <text>
        <t>pc:
Was OOS</t>
      </text>
    </comment>
    <comment ref="D19" authorId="1" shapeId="0">
      <text>
        <t>Dang Phuong Nam:
Last week was: 14.445.000</t>
      </text>
    </comment>
    <comment ref="B20" authorId="0" shapeId="0">
      <text>
        <t>pc:
Was 9,890,000</t>
      </text>
    </comment>
    <comment ref="F20" authorId="1" shapeId="0">
      <text>
        <t xml:space="preserve">Đặng Thanh Vượng:
Last week was: 20.490,000	</t>
      </text>
    </comment>
    <comment ref="H20" authorId="2" shapeId="0">
      <text>
        <t>Duy Nguyen:
last week was 20,690,000</t>
      </text>
    </comment>
    <comment ref="B21" authorId="0" shapeId="0">
      <text>
        <t>pc:
Was 7,190,000</t>
      </text>
    </comment>
    <comment ref="D21" authorId="1" shapeId="0">
      <text>
        <t>Dang Phuong Nam:
Last week was: 9.791.000</t>
      </text>
    </comment>
    <comment ref="F21" authorId="1" shapeId="0">
      <text>
        <t xml:space="preserve">Đặng Thanh Vượng:
Last week was: 14.490,000	</t>
      </text>
    </comment>
    <comment ref="H21" authorId="2" shapeId="0">
      <text>
        <t>Duy Nguyen:
last week was 14,590,000</t>
      </text>
    </comment>
    <comment ref="D22" authorId="1" shapeId="0">
      <text>
        <t>Dang Phuong Nam:
Last week was: 7.118.000</t>
      </text>
    </comment>
    <comment ref="F22" authorId="1" shapeId="0">
      <text>
        <t xml:space="preserve">Đặng Thanh Vượng:
Last week was: 11.990,000	</t>
      </text>
    </comment>
    <comment ref="D23" authorId="1" shapeId="0">
      <text>
        <t>Dang Phuong Nam:
Last week was: 12.365.000</t>
      </text>
    </comment>
    <comment ref="F23" authorId="1" shapeId="0">
      <text>
        <t xml:space="preserve">Đặng Thanh Vượng:
Last week was: 9.840,000	</t>
      </text>
    </comment>
    <comment ref="H23" authorId="2" shapeId="0">
      <text>
        <t>Duy Nguyen:
last week was 7,090,000</t>
      </text>
    </comment>
    <comment ref="B24" authorId="0" shapeId="0">
      <text>
        <t>pc:
Was 6,290,000</t>
      </text>
    </comment>
    <comment ref="D24" authorId="1" shapeId="0">
      <text>
        <t>Dang Phuong Nam:
Last week was: 9.395.000</t>
      </text>
    </comment>
    <comment ref="F24" authorId="1" shapeId="0">
      <text>
        <t xml:space="preserve">Đặng Thanh Vượng:
Last week was: 7.190,000	</t>
      </text>
    </comment>
    <comment ref="H24" authorId="2" shapeId="0">
      <text>
        <t>Duy Nguyen:
last week was 9,990,000</t>
      </text>
    </comment>
    <comment ref="D25" authorId="1" shapeId="0">
      <text>
        <t>Dang Phuong Nam:
Last week was: 5.732.000</t>
      </text>
    </comment>
    <comment ref="F25" authorId="1" shapeId="0">
      <text>
        <t xml:space="preserve">Đặng Thanh Vượng:
Last week was: 12.590,000	</t>
      </text>
    </comment>
    <comment ref="H25" authorId="2" shapeId="0">
      <text>
        <t>Duy Nguyen:
last week was 12,690,000</t>
      </text>
    </comment>
    <comment ref="F26" authorId="1" shapeId="0">
      <text>
        <t xml:space="preserve">Đặng Thanh Vượng:
Last week was: 9.740,000	</t>
      </text>
    </comment>
    <comment ref="D27" authorId="1" shapeId="0">
      <text>
        <t>Dang Phuong Nam:
Last week was: 8.990.000</t>
      </text>
    </comment>
    <comment ref="F27" authorId="1" shapeId="0">
      <text>
        <t xml:space="preserve">Đặng Thanh Vượng:
Last week was: 20.990,000	</t>
      </text>
    </comment>
    <comment ref="H27" authorId="2" shapeId="0">
      <text>
        <t>Duy Nguyen:
last week was 9,290,000</t>
      </text>
    </comment>
    <comment ref="F29" authorId="1" shapeId="0">
      <text>
        <t xml:space="preserve">Đặng Thanh Vượng:
Last week was: 5.990,000	</t>
      </text>
    </comment>
    <comment ref="D30" authorId="1" shapeId="0">
      <text>
        <t>Dang Phuong Nam:
Last week was: 5.490.000</t>
      </text>
    </comment>
    <comment ref="J30" authorId="3" shapeId="0">
      <text>
        <t>W3: 16.490.000</t>
      </text>
    </comment>
    <comment ref="D31" authorId="1" shapeId="0">
      <text>
        <t>Dang Phuong Nam:
Last week was: 3.990.000</t>
      </text>
    </comment>
    <comment ref="F31" authorId="1" shapeId="0">
      <text>
        <t xml:space="preserve">Đặng Thanh Vượng:
Last week was: 17.490,000	</t>
      </text>
    </comment>
    <comment ref="F33" authorId="1" shapeId="0">
      <text>
        <t>Đặng Thanh Vượng:
Last week was: 
5.640.000</t>
      </text>
    </comment>
    <comment ref="F34" authorId="1" shapeId="0">
      <text>
        <t>Đặng Thanh Vượng:
Last week was: 3.990.000</t>
      </text>
    </comment>
    <comment ref="H34" authorId="2" shapeId="0">
      <text>
        <t>Duy Nguyen:
last week was 3,990,000</t>
      </text>
    </comment>
    <comment ref="H35" authorId="2" shapeId="0">
      <text>
        <t>Duy Nguyen:
last week was 2,690,000</t>
      </text>
    </comment>
  </commentList>
</comments>
</file>

<file path=xl/comments/comment2.xml><?xml version="1.0" encoding="utf-8"?>
<comments xmlns="http://schemas.openxmlformats.org/spreadsheetml/2006/main">
  <authors>
    <author>Microsoft Office User</author>
    <author>Dang Phuong Nam</author>
    <author>Nam Khánh</author>
  </authors>
  <commentList>
    <comment ref="B2" authorId="0" shapeId="0">
      <text>
        <t>Microsoft Office User:
Last week 19,490k</t>
      </text>
    </comment>
    <comment ref="C2" authorId="1" shapeId="0">
      <text>
        <t>Dang Phuong Nam:
Last week was: 19..196.000</t>
      </text>
    </comment>
    <comment ref="D2" authorId="1" shapeId="0">
      <text>
        <t>Đặng Thanh Vượng:
Last week was: 19.390.000</t>
      </text>
    </comment>
    <comment ref="C3" authorId="1" shapeId="0">
      <text>
        <t xml:space="preserve">Dang Phuong Nam:
Last week was: 22.590.000
</t>
      </text>
    </comment>
    <comment ref="D3" authorId="1" shapeId="0">
      <text>
        <t>Đặng Thanh Vượng:
Last week was: 21.790.000</t>
      </text>
    </comment>
    <comment ref="B4" authorId="0" shapeId="0">
      <text>
        <t xml:space="preserve">Microsoft Office User:
Last week 25,490k
</t>
      </text>
    </comment>
    <comment ref="C4" authorId="1" shapeId="0">
      <text>
        <t>Dang Phuong Nam:
Last week was: 24.690.000</t>
      </text>
    </comment>
    <comment ref="B5" authorId="0" shapeId="0">
      <text>
        <t xml:space="preserve">Microsoft Office User:
Last week 29,990k
</t>
      </text>
    </comment>
    <comment ref="C5" authorId="1" shapeId="0">
      <text>
        <t>Dang Phuong Nam:
Last week was: 29.190.000</t>
      </text>
    </comment>
    <comment ref="C6" authorId="1" shapeId="0">
      <text>
        <t>Dang Phuong Nam:
Last week was: 19.691.000</t>
      </text>
    </comment>
    <comment ref="J6" authorId="0" shapeId="0">
      <text>
        <t>Microsoft Office User:
Last week was:
16.840.000đ</t>
      </text>
    </comment>
    <comment ref="C7" authorId="1" shapeId="0">
      <text>
        <t>Dang Phuong Nam:
Last week was: 16.622.000</t>
      </text>
    </comment>
    <comment ref="B8" authorId="0" shapeId="0">
      <text>
        <t xml:space="preserve">Microsoft Office User:
Last week 13,990k
</t>
      </text>
    </comment>
    <comment ref="C8" authorId="1" shapeId="0">
      <text>
        <t>Dang Phuong Nam: Last week was: 13.652.000</t>
      </text>
    </comment>
    <comment ref="C9" authorId="1" shapeId="0">
      <text>
        <t>Dang Phuong Nam:
Last week was: 11.870.000</t>
      </text>
    </comment>
    <comment ref="C10" authorId="1" shapeId="0">
      <text>
        <t>Dang Phuong Nam:
Last week was: 8.900.000</t>
      </text>
    </comment>
    <comment ref="C11" authorId="1" shapeId="0">
      <text>
        <t>Dang Phuong Nam:
Last week was: 20.790.000</t>
      </text>
    </comment>
    <comment ref="J11" authorId="0" shapeId="0">
      <text>
        <t>Microsoft Office User:
Last week was:
8.790.000đ</t>
      </text>
    </comment>
    <comment ref="C12" authorId="1" shapeId="0">
      <text>
        <t>Dang Phuong Nam:
Last week was: 14.246.000</t>
      </text>
    </comment>
    <comment ref="J12" authorId="0" shapeId="0">
      <text>
        <t>Microsoft Office User:
Last week was:
19.990.000đ</t>
      </text>
    </comment>
    <comment ref="C13" authorId="1" shapeId="0">
      <text>
        <t>Dang Phuong Nam:
Last week was: 12.266.000</t>
      </text>
    </comment>
    <comment ref="D13" authorId="1" shapeId="0">
      <text>
        <t xml:space="preserve">Đặng Thanh Vượng:
Last week was: 11.990,000	</t>
      </text>
    </comment>
    <comment ref="J13" authorId="0" shapeId="0">
      <text>
        <t>Microsoft Office User:
Last week was:
13.990.000đ</t>
      </text>
    </comment>
    <comment ref="C14" authorId="1" shapeId="0">
      <text>
        <t>Dang Phuong Nam:
Last week was: 10.187.000</t>
      </text>
    </comment>
    <comment ref="D14" authorId="1" shapeId="0">
      <text>
        <t xml:space="preserve">Đặng Thanh Vượng:
Last week was: 9.840,000	</t>
      </text>
    </comment>
    <comment ref="C15" authorId="1" shapeId="0">
      <text>
        <t>Dang Phuong Nam:
Last week was: 7.019.000</t>
      </text>
    </comment>
    <comment ref="D15" authorId="1" shapeId="0">
      <text>
        <t xml:space="preserve">Đặng Thanh Vượng:
Last week was: 7.190,000	</t>
      </text>
    </comment>
    <comment ref="C16" authorId="1" shapeId="0">
      <text>
        <t>Dang Phuong Nam:
Last week was: 12.167.000</t>
      </text>
    </comment>
    <comment ref="D16" authorId="1" shapeId="0">
      <text>
        <t xml:space="preserve">Đặng Thanh Vượng:
Last week was: 12.590,000	</t>
      </text>
    </comment>
    <comment ref="C17" authorId="1" shapeId="0">
      <text>
        <t>Dang Phuong Nam:
Last week was: 9.494.000</t>
      </text>
    </comment>
    <comment ref="D17" authorId="1" shapeId="0">
      <text>
        <t xml:space="preserve">Đặng Thanh Vượng:
Last week was: 9.740,000	</t>
      </text>
    </comment>
    <comment ref="C18" authorId="1" shapeId="0">
      <text>
        <t>Dang Phuong Nam:
Last week was: 20.790.000</t>
      </text>
    </comment>
    <comment ref="D18" authorId="1" shapeId="0">
      <text>
        <t xml:space="preserve">Đặng Thanh Vượng:
Last week was: 20.990,000	</t>
      </text>
    </comment>
    <comment ref="C19" authorId="1" shapeId="0">
      <text>
        <t>Dang Phuong Nam:
Last week was: 5.831.000</t>
      </text>
    </comment>
    <comment ref="D20" authorId="1" shapeId="0">
      <text>
        <t xml:space="preserve">Đặng Thanh Vượng:
Last week was: 17.490,000	</t>
      </text>
    </comment>
    <comment ref="B21" authorId="1" shapeId="0">
      <text>
        <t>Dang Phuong Nam:
Last week was: 5.590.000</t>
      </text>
    </comment>
    <comment ref="C21" authorId="1" shapeId="0">
      <text>
        <t>Dang Phuong Nam:
Last week was: 5.590.000</t>
      </text>
    </comment>
    <comment ref="B22" authorId="1" shapeId="0">
      <text>
        <t>Dang Phuong Nam:
Last week was: 3.890.000</t>
      </text>
    </comment>
    <comment ref="C22" authorId="1" shapeId="0">
      <text>
        <t>Dang Phuong Nam:
Last week was: 3.890.000</t>
      </text>
    </comment>
    <comment ref="B23" authorId="1" shapeId="0">
      <text>
        <t>Dang Phuong Nam:
Last week was: 2.650.000</t>
      </text>
    </comment>
    <comment ref="C23" authorId="1" shapeId="0">
      <text>
        <t>Dang Phuong Nam:
Last week was: 2.650.000</t>
      </text>
    </comment>
    <comment ref="B25" authorId="1" shapeId="0">
      <text>
        <t>Dang Phuong Nam:
Last week was: 32.490.000</t>
      </text>
    </comment>
    <comment ref="C25" authorId="1" shapeId="0">
      <text>
        <t>Dang Phuong Nam:
Last week was: 32.490.000</t>
      </text>
    </comment>
    <comment ref="F25" authorId="2" shapeId="0">
      <text>
        <t>W4: 32.990.000</t>
      </text>
    </comment>
    <comment ref="J25" authorId="0" shapeId="0">
      <text>
        <t>Microsoft Office User:
Last week was:
3.790.000đ</t>
      </text>
    </comment>
    <comment ref="B26" authorId="1" shapeId="0">
      <text>
        <t>Dang Phuong Nam:
Last week was: 38.790.000</t>
      </text>
    </comment>
    <comment ref="C26" authorId="1" shapeId="0">
      <text>
        <t>Dang Phuong Nam:
Last week was: 38.790.000</t>
      </text>
    </comment>
    <comment ref="F26" authorId="2" shapeId="0">
      <text>
        <t>W4: 37.490.000</t>
      </text>
    </comment>
    <comment ref="B27" authorId="1" shapeId="0">
      <text>
        <t>Dang Phuong Nam:
Last week was: 18.305.000</t>
      </text>
    </comment>
    <comment ref="C27" authorId="1" shapeId="0">
      <text>
        <t>Dang Phuong Nam:
Last week was: 18.305.000</t>
      </text>
    </comment>
    <comment ref="D27" authorId="1" shapeId="0">
      <text>
        <t xml:space="preserve">Dang Phuong Nam:
Last wek was:18,490,000	</t>
      </text>
    </comment>
    <comment ref="B28" authorId="1" shapeId="0">
      <text>
        <t>Dang Phuong Nam:
Last week was: 24.790.000</t>
      </text>
    </comment>
    <comment ref="C28" authorId="1" shapeId="0">
      <text>
        <t>Dang Phuong Nam:
Last week was: 24.790.000</t>
      </text>
    </comment>
  </commentList>
</comments>
</file>

<file path=xl/comments/comment3.xml><?xml version="1.0" encoding="utf-8"?>
<comments xmlns="http://schemas.openxmlformats.org/spreadsheetml/2006/main">
  <authors>
    <author>pc</author>
    <author>Dang Phuong Nam</author>
    <author>Nam Khánh</author>
    <author>Administrator</author>
    <author>Microsoft Office User</author>
    <author>Duy Nguyen</author>
  </authors>
  <commentList>
    <comment ref="B2" authorId="0" shapeId="0">
      <text>
        <t>pc:
Was 19,390,000</t>
      </text>
    </comment>
    <comment ref="C2" authorId="1" shapeId="0">
      <text>
        <t>Dang Phuong Nam:
Last week was: 19..390.000</t>
      </text>
    </comment>
    <comment ref="D2" authorId="1" shapeId="0">
      <text>
        <t>Đặng Thanh Vượng:
Last week was: 19.390.000</t>
      </text>
    </comment>
    <comment ref="F2" authorId="2" shapeId="0">
      <text>
        <t>W5: 18.790.000</t>
      </text>
    </comment>
    <comment ref="G2" authorId="3" shapeId="0">
      <text>
        <t xml:space="preserve">Administrator:
18850000
</t>
      </text>
    </comment>
    <comment ref="H2" authorId="4" shapeId="0">
      <text>
        <t>Microsoft Office User:
Last week was:
18.990.000đ</t>
      </text>
    </comment>
    <comment ref="B3" authorId="0" shapeId="0">
      <text>
        <t>pc:
Was 22,790,000</t>
      </text>
    </comment>
    <comment ref="C3" authorId="1" shapeId="0">
      <text>
        <t xml:space="preserve">Dang Phuong Nam:
Last week was: 22.790.000
</t>
      </text>
    </comment>
    <comment ref="D3" authorId="1" shapeId="0">
      <text>
        <t>Đặng Thanh Vượng:
Last week was: 22.390.000</t>
      </text>
    </comment>
    <comment ref="B4" authorId="0" shapeId="0">
      <text>
        <t>pc:
Was 24,990,000</t>
      </text>
    </comment>
    <comment ref="C4" authorId="1" shapeId="0">
      <text>
        <t>Dang Phuong Nam:
Last week was: 24.990.000</t>
      </text>
    </comment>
    <comment ref="D4" authorId="1" shapeId="0">
      <text>
        <t>Đặng Thanh Vượng:
Last week was: 24.790.000</t>
      </text>
    </comment>
    <comment ref="B6" authorId="0" shapeId="0">
      <text>
        <t>pc:
Was 19,690,000</t>
      </text>
    </comment>
    <comment ref="C6" authorId="1" shapeId="0">
      <text>
        <t>Dang Phuong Nam:
Last week was: 19.690.000</t>
      </text>
    </comment>
    <comment ref="D6" authorId="1" shapeId="0">
      <text>
        <t>Đặng Thanh Vượng:
Last week was: 19.590.000</t>
      </text>
    </comment>
    <comment ref="F6" authorId="2" shapeId="0">
      <text>
        <t>W5: 19.690.000</t>
      </text>
    </comment>
    <comment ref="B7" authorId="0" shapeId="0">
      <text>
        <t>pc:
Was 16,790,000</t>
      </text>
    </comment>
    <comment ref="C7" authorId="1" shapeId="0">
      <text>
        <t>Dang Phuong Nam:
Last week was: 16.790.000</t>
      </text>
    </comment>
    <comment ref="D7" authorId="1" shapeId="0">
      <text>
        <t>Đặng Thanh Vượng:
Last week was: 16.690.000</t>
      </text>
    </comment>
    <comment ref="F7" authorId="2" shapeId="0">
      <text>
        <t>W5: 16.990.000</t>
      </text>
    </comment>
    <comment ref="B8" authorId="0" shapeId="0">
      <text>
        <t>pc:
Was 13,890,000</t>
      </text>
    </comment>
    <comment ref="C8" authorId="1" shapeId="0">
      <text>
        <t>Dang Phuong Nam: Last week was: 13.890.000</t>
      </text>
    </comment>
    <comment ref="C9" authorId="1" shapeId="0">
      <text>
        <t>Dang Phuong Nam:
Last week was: 11.870.000</t>
      </text>
    </comment>
    <comment ref="F9" authorId="2" shapeId="0">
      <text>
        <t>W5: 11.990.000</t>
      </text>
    </comment>
    <comment ref="G9" authorId="3" shapeId="0">
      <text>
        <t xml:space="preserve">Administrator:
11990000
</t>
      </text>
    </comment>
    <comment ref="B10" authorId="0" shapeId="0">
      <text>
        <t>pc:
Was 8,990,000</t>
      </text>
    </comment>
    <comment ref="C10" authorId="1" shapeId="0">
      <text>
        <t>Dang Phuong Nam:
Last week was: 8.990.000</t>
      </text>
    </comment>
    <comment ref="D10" authorId="1" shapeId="0">
      <text>
        <t xml:space="preserve">Đặng Thanh Vượng:
Last week was:8.940,000	</t>
      </text>
    </comment>
    <comment ref="F10" authorId="2" shapeId="0">
      <text>
        <t>W5: 8.790.000</t>
      </text>
    </comment>
    <comment ref="D11" authorId="1" shapeId="0">
      <text>
        <t xml:space="preserve">Đặng Thanh Vượng:
Last week was: 20.390,000	</t>
      </text>
    </comment>
    <comment ref="E11" authorId="5" shapeId="0">
      <text>
        <t>Duy Nguyen:
last week was 20,790,000</t>
      </text>
    </comment>
    <comment ref="B12" authorId="0" shapeId="0">
      <text>
        <t>pc:
Was 14,590,000</t>
      </text>
    </comment>
    <comment ref="C12" authorId="1" shapeId="0">
      <text>
        <t>Dang Phuong Nam:
Last week was: 14.590.000</t>
      </text>
    </comment>
    <comment ref="D12" authorId="1" shapeId="0">
      <text>
        <t xml:space="preserve">Đặng Thanh Vượng:
Last week was: 14.290,000	</t>
      </text>
    </comment>
    <comment ref="E12" authorId="5" shapeId="0">
      <text>
        <t>Duy Nguyen:
last week was 14,390,000</t>
      </text>
    </comment>
    <comment ref="F12" authorId="2" shapeId="0">
      <text>
        <t>W5: 14.390.000</t>
      </text>
    </comment>
    <comment ref="D13" authorId="1" shapeId="0">
      <text>
        <t xml:space="preserve">Đặng Thanh Vượng:
Last week was: 11.890,000	</t>
      </text>
    </comment>
    <comment ref="F13" authorId="2" shapeId="0">
      <text>
        <t>W5: 11.190.000</t>
      </text>
    </comment>
    <comment ref="B14" authorId="0" shapeId="0">
      <text>
        <t>pc:
Was 10,290,000</t>
      </text>
    </comment>
    <comment ref="C14" authorId="1" shapeId="0">
      <text>
        <t>Dang Phuong Nam:
Last week was: 10.290.000</t>
      </text>
    </comment>
    <comment ref="D14" authorId="1" shapeId="0">
      <text>
        <t xml:space="preserve">Đặng Thanh Vượng:
Last week was: 9.940,000	</t>
      </text>
    </comment>
    <comment ref="E14" authorId="5" shapeId="0">
      <text>
        <t>Duy Nguyen:
last week was 9,890,000</t>
      </text>
    </comment>
    <comment ref="F14" authorId="2" shapeId="0">
      <text>
        <t>W5: 9.990.000</t>
      </text>
    </comment>
    <comment ref="B15" authorId="0" shapeId="0">
      <text>
        <t>pc:
Was 7,190,000</t>
      </text>
    </comment>
    <comment ref="C15" authorId="1" shapeId="0">
      <text>
        <t>Dang Phuong Nam:
Last week was: 7.190.000</t>
      </text>
    </comment>
    <comment ref="D15" authorId="1" shapeId="0">
      <text>
        <t xml:space="preserve">Đặng Thanh Vượng:
Last week was: 7.140,000	</t>
      </text>
    </comment>
    <comment ref="F15" authorId="2" shapeId="0">
      <text>
        <t>W5: 6.990.000</t>
      </text>
    </comment>
    <comment ref="D16" authorId="1" shapeId="0">
      <text>
        <t xml:space="preserve">Đặng Thanh Vượng:
Last week was: 12.290,000	</t>
      </text>
    </comment>
    <comment ref="G16" authorId="3" shapeId="0">
      <text>
        <t xml:space="preserve">Administrator:
11740000
</t>
      </text>
    </comment>
    <comment ref="B17" authorId="0" shapeId="0">
      <text>
        <t>pc:
Was 9,790,000</t>
      </text>
    </comment>
    <comment ref="C17" authorId="1" shapeId="0">
      <text>
        <t>Dang Phuong Nam:
Last week was: 9.790.000</t>
      </text>
    </comment>
    <comment ref="D17" authorId="1" shapeId="0">
      <text>
        <t xml:space="preserve">Đặng Thanh Vượng:
Last week was: 9.440,000	</t>
      </text>
    </comment>
    <comment ref="E17" authorId="5" shapeId="0">
      <text>
        <t>Duy Nguyen:
last week was 9,190,000</t>
      </text>
    </comment>
    <comment ref="G17" authorId="3" shapeId="0">
      <text>
        <t xml:space="preserve">Administrator:
8940000
</t>
      </text>
    </comment>
    <comment ref="B18" authorId="0" shapeId="0">
      <text>
        <t>pc:
Was 21,990,000</t>
      </text>
    </comment>
    <comment ref="D18" authorId="1" shapeId="0">
      <text>
        <t xml:space="preserve">Đặng Thanh Vượng:
Last week was: 20.890,000	</t>
      </text>
    </comment>
    <comment ref="B19" authorId="0" shapeId="0">
      <text>
        <t>pc:
Was 5,990,000</t>
      </text>
    </comment>
    <comment ref="E19" authorId="5" shapeId="0">
      <text>
        <t>Duy Nguyen:
last week was 5,790,000</t>
      </text>
    </comment>
    <comment ref="D20" authorId="1" shapeId="0">
      <text>
        <t xml:space="preserve">Đặng Thanh Vượng:
Last week was: 17.490,000	</t>
      </text>
    </comment>
    <comment ref="B21" authorId="0" shapeId="0">
      <text>
        <t>pc:
Was 5,490,000</t>
      </text>
    </comment>
    <comment ref="C21" authorId="1" shapeId="0">
      <text>
        <t>Dang Phuong Nam:
Last week was: 5.790.000</t>
      </text>
    </comment>
    <comment ref="B22" authorId="0" shapeId="0">
      <text>
        <t>pc:
Was 4,090,000</t>
      </text>
    </comment>
    <comment ref="C22" authorId="1" shapeId="0">
      <text>
        <t>Dang Phuong Nam:
Last week was: 4.090.000</t>
      </text>
    </comment>
    <comment ref="D22" authorId="1" shapeId="0">
      <text>
        <t xml:space="preserve">Đặng Thanh Vượng:
Last week was: 3.890,000	</t>
      </text>
    </comment>
    <comment ref="E22" authorId="5" shapeId="0">
      <text>
        <t>Duy Nguyen:
last week was 3,890,000</t>
      </text>
    </comment>
    <comment ref="F22" authorId="2" shapeId="0">
      <text>
        <t>W5: 3.990.000</t>
      </text>
    </comment>
    <comment ref="B23" authorId="0" shapeId="0">
      <text>
        <t>pc:
Was 2,790,000</t>
      </text>
    </comment>
    <comment ref="C23" authorId="1" shapeId="0">
      <text>
        <t>Dang Phuong Nam:
Last week was: 2.790.000</t>
      </text>
    </comment>
    <comment ref="D23" authorId="1" shapeId="0">
      <text>
        <t xml:space="preserve">Đặng Thanh Vượng:
Last week was:2.650,000	</t>
      </text>
    </comment>
    <comment ref="E23" authorId="5" shapeId="0">
      <text>
        <t>Duy Nguyen:
last week was 2,650,000</t>
      </text>
    </comment>
    <comment ref="F23" authorId="2" shapeId="0">
      <text>
        <t>W5: 2.690.000</t>
      </text>
    </comment>
    <comment ref="B24" authorId="0" shapeId="0">
      <text>
        <t>pc:
Was 27,990,000</t>
      </text>
    </comment>
    <comment ref="C24" authorId="1" shapeId="0">
      <text>
        <t>Dang Phuong Nam:
Last week was: 27.790.000</t>
      </text>
    </comment>
    <comment ref="E24" authorId="5" shapeId="0">
      <text>
        <t>Duy Nguyen:
last week was 27,990,000</t>
      </text>
    </comment>
    <comment ref="B25" authorId="0" shapeId="0">
      <text>
        <t>pc:
Was 32,190,000</t>
      </text>
    </comment>
    <comment ref="C25" authorId="1" shapeId="0">
      <text>
        <t>Dang Phuong Nam:
Last week was: 32.190.000</t>
      </text>
    </comment>
    <comment ref="D25" authorId="1" shapeId="0">
      <text>
        <t xml:space="preserve">Đặng Thanh Vượng:
Last week was: 32.690,000	</t>
      </text>
    </comment>
    <comment ref="C26" authorId="1" shapeId="0">
      <text>
        <t>Dang Phuong Nam:
Last week was: 38.690.000</t>
      </text>
    </comment>
    <comment ref="E26" authorId="5" shapeId="0">
      <text>
        <t>Duy Nguyen:
last week was 37,690,000</t>
      </text>
    </comment>
    <comment ref="B27" authorId="0" shapeId="0">
      <text>
        <t>pc:
Was 18,590,000</t>
      </text>
    </comment>
    <comment ref="C27" authorId="1" shapeId="0">
      <text>
        <t>Dang Phuong Nam:
Last week was: 18.590.000</t>
      </text>
    </comment>
    <comment ref="D27" authorId="1" shapeId="0">
      <text>
        <t xml:space="preserve">Dang Phuong Nam:
Last wek was:18,390,000	</t>
      </text>
    </comment>
    <comment ref="E27" authorId="5" shapeId="0">
      <text>
        <t>Duy Nguyen:
last week was 18,490,000</t>
      </text>
    </comment>
    <comment ref="F27" authorId="2" shapeId="0">
      <text>
        <t>W5: 18.290.000</t>
      </text>
    </comment>
    <comment ref="B28" authorId="0" shapeId="0">
      <text>
        <t>pc:
Was 24,990,000</t>
      </text>
    </comment>
    <comment ref="C28" authorId="1" shapeId="0">
      <text>
        <t>Dang Phuong Nam:
Last week was: 24.990.000</t>
      </text>
    </comment>
    <comment ref="E28" authorId="5" shapeId="0">
      <text>
        <t>Duy Nguyen:
last week was 24,790,000</t>
      </text>
    </comment>
  </commentList>
</comments>
</file>

<file path=xl/comments/comment4.xml><?xml version="1.0" encoding="utf-8"?>
<comments xmlns="http://schemas.openxmlformats.org/spreadsheetml/2006/main">
  <authors>
    <author>pc</author>
    <author>Dang Phuong Nam</author>
    <author>Administrator</author>
    <author>Microsoft Office User</author>
  </authors>
  <commentList>
    <comment ref="B2" authorId="0" shapeId="0">
      <text>
        <t>pc:
Was 19,290,000</t>
      </text>
    </comment>
    <comment ref="C2" authorId="1" shapeId="0">
      <text>
        <t>Dang Phuong Nam:
Last week was: 19..290.000</t>
      </text>
    </comment>
    <comment ref="D2" authorId="1" shapeId="0">
      <text>
        <t>Đặng Thanh Vượng:
Last week was: 19.290.000</t>
      </text>
    </comment>
    <comment ref="H2" authorId="2" shapeId="0">
      <text>
        <t xml:space="preserve">Administrator:
18.800.000
</t>
      </text>
    </comment>
    <comment ref="I2" authorId="3" shapeId="0">
      <text>
        <t>Microsoft Office User:
last week 18,697k</t>
      </text>
    </comment>
    <comment ref="B3" authorId="0" shapeId="0">
      <text>
        <t>pc:
Was 22,290,000</t>
      </text>
    </comment>
    <comment ref="C3" authorId="1" shapeId="0">
      <text>
        <t xml:space="preserve">Dang Phuong Nam:
Last week was: 22.290.000
</t>
      </text>
    </comment>
    <comment ref="D3" authorId="1" shapeId="0">
      <text>
        <t>Đặng Thanh Vượng:
Last week was: 22.190.000</t>
      </text>
    </comment>
    <comment ref="I3" authorId="3" shapeId="0">
      <text>
        <t>Microsoft Office User:
last week 21,717k</t>
      </text>
    </comment>
    <comment ref="B4" authorId="0" shapeId="0">
      <text>
        <t>pc:
Was 23,990,000</t>
      </text>
    </comment>
    <comment ref="C4" authorId="1" shapeId="0">
      <text>
        <t>Dang Phuong Nam:
Last week was: 23.990.000</t>
      </text>
    </comment>
    <comment ref="D4" authorId="1" shapeId="0">
      <text>
        <t>Đặng Thanh Vượng:
Last week was: 24.390.000</t>
      </text>
    </comment>
    <comment ref="I4" authorId="3" shapeId="0">
      <text>
        <t>Microsoft Office User:
last week 24,431k</t>
      </text>
    </comment>
    <comment ref="D5" authorId="1" shapeId="0">
      <text>
        <t>Đặng Thanh Vượng:
Last week was: 29.390.000</t>
      </text>
    </comment>
    <comment ref="H5" authorId="2" shapeId="0">
      <text>
        <t>Administrator:
28790000</t>
      </text>
    </comment>
    <comment ref="B6" authorId="0" shapeId="0">
      <text>
        <t>pc:
Was 19,990,000</t>
      </text>
    </comment>
    <comment ref="D6" authorId="1" shapeId="0">
      <text>
        <t>Đặng Thanh Vượng:
Last week was: 19.590.000</t>
      </text>
    </comment>
    <comment ref="E6" authorId="3" shapeId="0">
      <text>
        <t>Microsoft Office User:
Last week was:
19.990.000đ</t>
      </text>
    </comment>
    <comment ref="D7" authorId="1" shapeId="0">
      <text>
        <t>Đặng Thanh Vượng:
Last week was: 16.690.000</t>
      </text>
    </comment>
    <comment ref="E7" authorId="3" shapeId="0">
      <text>
        <t>Microsoft Office User:
Last week was:
16.690.000đ</t>
      </text>
    </comment>
    <comment ref="B8" authorId="0" shapeId="0">
      <text>
        <t>pc:
Was 13,790,000</t>
      </text>
    </comment>
    <comment ref="C8" authorId="1" shapeId="0">
      <text>
        <t>Dang Phuong Nam: Last week was: 13.790.000</t>
      </text>
    </comment>
    <comment ref="D8" authorId="1" shapeId="0">
      <text>
        <t>Đặng Thanh Vượng:
Last week was: 13.690.000</t>
      </text>
    </comment>
    <comment ref="I8" authorId="3" shapeId="0">
      <text>
        <t>Microsoft Office User:
last week 13,057k</t>
      </text>
    </comment>
    <comment ref="D9" authorId="1" shapeId="0">
      <text>
        <t>Đặng Thanh Vượng:
Last week was: 11.890.000</t>
      </text>
    </comment>
    <comment ref="B10" authorId="0" shapeId="0">
      <text>
        <t xml:space="preserve">pc:
Was 8,790,000
</t>
      </text>
    </comment>
    <comment ref="C10" authorId="1" shapeId="0">
      <text>
        <t>Dang Phuong Nam:
Last week was: 8.790.000</t>
      </text>
    </comment>
    <comment ref="D10" authorId="1" shapeId="0">
      <text>
        <t xml:space="preserve">Đặng Thanh Vượng:
Last week was:8.740,000	</t>
      </text>
    </comment>
    <comment ref="H10" authorId="2" shapeId="0">
      <text>
        <t>Administrator:
8790000</t>
      </text>
    </comment>
    <comment ref="B11" authorId="0" shapeId="0">
      <text>
        <t>pc:
Was 20,990,000</t>
      </text>
    </comment>
    <comment ref="C11" authorId="1" shapeId="0">
      <text>
        <t>Dang Phuong Nam:
Last week was: 20.990.000</t>
      </text>
    </comment>
    <comment ref="B12" authorId="0" shapeId="0">
      <text>
        <t>pc:
Was 14,390,000</t>
      </text>
    </comment>
    <comment ref="C12" authorId="1" shapeId="0">
      <text>
        <t>Dang Phuong Nam:
Last week was: 14.390.000</t>
      </text>
    </comment>
    <comment ref="D12" authorId="1" shapeId="0">
      <text>
        <t xml:space="preserve">Đặng Thanh Vượng:
Last week was: 14.190,000	</t>
      </text>
    </comment>
    <comment ref="E12" authorId="3" shapeId="0">
      <text>
        <t>Microsoft Office User:
Last week was:
13.790.000đ</t>
      </text>
    </comment>
    <comment ref="E14" authorId="3" shapeId="0">
      <text>
        <t>Microsoft Office User:
Last week was:
9.890.000đ</t>
      </text>
    </comment>
    <comment ref="C15" authorId="1" shapeId="0">
      <text>
        <t>Dang Phuong Nam:
Last week was: 6.990.000</t>
      </text>
    </comment>
    <comment ref="E15" authorId="3" shapeId="0">
      <text>
        <t>Microsoft Office User:
Last week was:
7.090.000đ</t>
      </text>
    </comment>
    <comment ref="H15" authorId="2" shapeId="0">
      <text>
        <t>Administrator:
6990000</t>
      </text>
    </comment>
    <comment ref="B16" authorId="0" shapeId="0">
      <text>
        <t>pc:
Was 5,890,000</t>
      </text>
    </comment>
    <comment ref="D16" authorId="1" shapeId="0">
      <text>
        <t xml:space="preserve">Đặng Thanh Vượng:
Last week was: 5.940,000	</t>
      </text>
    </comment>
    <comment ref="F16" authorId="0" shapeId="0">
      <text>
        <t>pc:
Was 5,990,000</t>
      </text>
    </comment>
    <comment ref="D20" authorId="1" shapeId="0">
      <text>
        <t xml:space="preserve">Đặng Thanh Vượng:
Last week was: 9.440,000	</t>
      </text>
    </comment>
    <comment ref="B21" authorId="0" shapeId="0">
      <text>
        <t>pc:
Was 12,690,000</t>
      </text>
    </comment>
    <comment ref="C21" authorId="1" shapeId="0">
      <text>
        <t>Dang Phuong Nam:
Last week was: 12.290.000</t>
      </text>
    </comment>
    <comment ref="D21" authorId="1" shapeId="0">
      <text>
        <t xml:space="preserve">Đặng Thanh Vượng:
Last week was: 12.290,000	</t>
      </text>
    </comment>
    <comment ref="C24" authorId="1" shapeId="0">
      <text>
        <t>Dang Phuong Nam:
Last week was: 20.990.000</t>
      </text>
    </comment>
    <comment ref="B26" authorId="0" shapeId="0">
      <text>
        <t>pc:
Was 4,190,000</t>
      </text>
    </comment>
    <comment ref="C26" authorId="1" shapeId="0">
      <text>
        <t>Dang Phuong Nam:
Last week was: 4.190.000</t>
      </text>
    </comment>
    <comment ref="I27" authorId="3" shapeId="0">
      <text>
        <t>Microsoft Office User:
last week 2,623k</t>
      </text>
    </comment>
    <comment ref="H28" authorId="2" shapeId="0">
      <text>
        <t>Administrator:
18240000</t>
      </text>
    </comment>
    <comment ref="B29" authorId="0" shapeId="0">
      <text>
        <t xml:space="preserve">pc:
Was 24,590,000
</t>
      </text>
    </comment>
    <comment ref="C29" authorId="1" shapeId="0">
      <text>
        <t>Dang Phuong Nam:
Last week was: 24.590.000</t>
      </text>
    </comment>
    <comment ref="H29" authorId="2" shapeId="0">
      <text>
        <t>Administrator:
24590000</t>
      </text>
    </comment>
    <comment ref="D30" authorId="1" shapeId="0">
      <text>
        <t xml:space="preserve">Đặng Thanh Vượng:
Last week was: 27.890,000	</t>
      </text>
    </comment>
    <comment ref="B31" authorId="0" shapeId="0">
      <text>
        <t>pc:
Was 31,690,000</t>
      </text>
    </comment>
    <comment ref="C31" authorId="1" shapeId="0">
      <text>
        <t>Dang Phuong Nam:
Last week was: 31.690.000</t>
      </text>
    </comment>
    <comment ref="D31" authorId="1" shapeId="0">
      <text>
        <t xml:space="preserve">Đặng Thanh Vượng:
Last week was: 31.390,000	</t>
      </text>
    </comment>
  </commentList>
</comments>
</file>

<file path=xl/comments/comment5.xml><?xml version="1.0" encoding="utf-8"?>
<comments xmlns="http://schemas.openxmlformats.org/spreadsheetml/2006/main">
  <authors>
    <author>Microsoft Office User</author>
    <author>Dang Phuong Nam</author>
    <author>Nam Khánh</author>
    <author>Windows User</author>
    <author>Administrator</author>
    <author>pc</author>
  </authors>
  <commentList>
    <comment ref="B2" authorId="0" shapeId="0">
      <text>
        <t>Microsoft Office User:
last week was 19190k</t>
      </text>
    </comment>
    <comment ref="C2" authorId="1" shapeId="0">
      <text>
        <t>Dang Phuong Nam:
Last week was: 19..190.000</t>
      </text>
    </comment>
    <comment ref="D2" authorId="1" shapeId="0">
      <text>
        <t>Đặng Thanh Vượng:
Last week was: 19.090.000</t>
      </text>
    </comment>
    <comment ref="I2" authorId="0" shapeId="0">
      <text>
        <t>Microsoft Office User:
pc
18,415k</t>
      </text>
    </comment>
    <comment ref="G3" authorId="2" shapeId="0">
      <text>
        <t>W7: 21.890.000</t>
      </text>
    </comment>
    <comment ref="H3" authorId="3" shapeId="0">
      <text>
        <t xml:space="preserve">Windows User:
</t>
      </text>
    </comment>
    <comment ref="I3" authorId="0" shapeId="0">
      <text>
        <t>Microsoft Office User:
pc
21,517k</t>
      </text>
    </comment>
    <comment ref="B4" authorId="0" shapeId="0">
      <text>
        <t>Microsoft Office User:
pc
was 24690k</t>
      </text>
    </comment>
    <comment ref="C4" authorId="1" shapeId="0">
      <text>
        <t>Dang Phuong Nam:
Last week was: 24.690.000</t>
      </text>
    </comment>
    <comment ref="D4" authorId="1" shapeId="0">
      <text>
        <t>Đặng Thanh Vượng:
Last week was: 24.590.000</t>
      </text>
    </comment>
    <comment ref="H4" authorId="3" shapeId="0">
      <text>
        <t>Windows User:
24590000</t>
      </text>
    </comment>
    <comment ref="I4" authorId="0" shapeId="0">
      <text>
        <t>Microsoft Office User:
pc
24,337k</t>
      </text>
    </comment>
    <comment ref="B5" authorId="0" shapeId="0">
      <text>
        <t>Microsoft Office User:
Last week 29,590k</t>
      </text>
    </comment>
    <comment ref="C5" authorId="1" shapeId="0">
      <text>
        <t>Dang Phuong Nam:
Last week was: 29.590.000</t>
      </text>
    </comment>
    <comment ref="G5" authorId="2" shapeId="0">
      <text>
        <t>W7: 28.690.000</t>
      </text>
    </comment>
    <comment ref="I5" authorId="0" shapeId="0">
      <text>
        <t>Microsoft Office User:
pc
29,037k</t>
      </text>
    </comment>
    <comment ref="G7" authorId="2" shapeId="0">
      <text>
        <t>W7: 16.590.000</t>
      </text>
    </comment>
    <comment ref="I7" authorId="0" shapeId="0">
      <text>
        <t>Microsoft Office User:
pc
16,065k</t>
      </text>
    </comment>
    <comment ref="I8" authorId="0" shapeId="0">
      <text>
        <t>Microsoft Office User:
pc
12,775k</t>
      </text>
    </comment>
    <comment ref="B9" authorId="0" shapeId="0">
      <text>
        <t>Microsoft Office User:
pc
was 11990k</t>
      </text>
    </comment>
    <comment ref="C9" authorId="1" shapeId="0">
      <text>
        <t>Dang Phuong Nam:
Last week was: 
11.990.000</t>
      </text>
    </comment>
    <comment ref="D9" authorId="1" shapeId="0">
      <text>
        <t>Đặng Thanh Vượng:
Last week was: 11.890.000</t>
      </text>
    </comment>
    <comment ref="G10" authorId="2" shapeId="0">
      <text>
        <t>W7: 8.590.000</t>
      </text>
    </comment>
    <comment ref="H10" authorId="4" shapeId="0">
      <text>
        <t>Administrator:
8690000</t>
      </text>
    </comment>
    <comment ref="B11" authorId="0" shapeId="0">
      <text>
        <t>Microsoft Office User:
pc
was 21190k</t>
      </text>
    </comment>
    <comment ref="C11" authorId="1" shapeId="0">
      <text>
        <t>Dang Phuong Nam:
Last week was: 20.990.000</t>
      </text>
    </comment>
    <comment ref="B12" authorId="0" shapeId="0">
      <text>
        <t>Microsoft Office User:
pc
was 14090k</t>
      </text>
    </comment>
    <comment ref="C12" authorId="1" shapeId="0">
      <text>
        <t>Dang Phuong Nam:
Last week was: 14.090.000</t>
      </text>
    </comment>
    <comment ref="I12" authorId="0" shapeId="0">
      <text>
        <t>Microsoft Office User:
pc
was 13,991k</t>
      </text>
    </comment>
    <comment ref="B13" authorId="0" shapeId="0">
      <text>
        <t>Microsoft Office User:
pc 
was 12390k</t>
      </text>
    </comment>
    <comment ref="D13" authorId="1" shapeId="0">
      <text>
        <t xml:space="preserve">Đặng Thanh Vượng:
Last week was: 11.890,000	</t>
      </text>
    </comment>
    <comment ref="I13" authorId="0" shapeId="0">
      <text>
        <t>Microsoft Office User:
pc
was 11,271k</t>
      </text>
    </comment>
    <comment ref="E14" authorId="0" shapeId="0">
      <text>
        <t>Microsoft Office User:
Last week was:
10.790.000đ</t>
      </text>
    </comment>
    <comment ref="I14" authorId="0" shapeId="0">
      <text>
        <t>Microsoft Office User:
pc
was
9,673k</t>
      </text>
    </comment>
    <comment ref="G15" authorId="2" shapeId="0">
      <text>
        <t>W7: 6.890.000</t>
      </text>
    </comment>
    <comment ref="I15" authorId="0" shapeId="0">
      <text>
        <t>Microsoft Office User:
pc
was
6,853k</t>
      </text>
    </comment>
    <comment ref="B16" authorId="0" shapeId="0">
      <text>
        <t>Microsoft Office User:
pc
was 6090k</t>
      </text>
    </comment>
    <comment ref="D16" authorId="1" shapeId="0">
      <text>
        <t xml:space="preserve">Đặng Thanh Vượng:
Last week was: 5.740,000	</t>
      </text>
    </comment>
    <comment ref="F16" authorId="5" shapeId="0">
      <text>
        <t>pc:
Was 5,990,000</t>
      </text>
    </comment>
    <comment ref="I16" authorId="0" shapeId="0">
      <text>
        <t>Microsoft Office User:
pc
was
5,631k</t>
      </text>
    </comment>
    <comment ref="C18" authorId="1" shapeId="0">
      <text>
        <t>Dang Phuong Nam:
Last week was: 6.890.000</t>
      </text>
    </comment>
    <comment ref="D18" authorId="1" shapeId="0">
      <text>
        <t xml:space="preserve">Đặng Thanh Vượng:
Last week was: 6.240,000	</t>
      </text>
    </comment>
    <comment ref="B19" authorId="0" shapeId="0">
      <text>
        <t>Microsoft Office User:
pc
was 8390k</t>
      </text>
    </comment>
    <comment ref="E20" authorId="0" shapeId="0">
      <text>
        <t>Microsoft Office User:
Last week was:
8.890.000đ</t>
      </text>
    </comment>
    <comment ref="I20" authorId="0" shapeId="0">
      <text>
        <t>Microsoft Office User:
pc
was
9,079k</t>
      </text>
    </comment>
    <comment ref="B21" authorId="0" shapeId="0">
      <text>
        <t>Microsoft Office User:
pc 
was 12590k</t>
      </text>
    </comment>
    <comment ref="C21" authorId="1" shapeId="0">
      <text>
        <t>Dang Phuong Nam:
Last week was: 12.590.000</t>
      </text>
    </comment>
    <comment ref="E22" authorId="0" shapeId="0">
      <text>
        <t>Microsoft Office User:
Last week was:
10.290.000đ</t>
      </text>
    </comment>
    <comment ref="C25" authorId="1" shapeId="0">
      <text>
        <t>Dang Phuong Nam:
Last week was: 5.650.000</t>
      </text>
    </comment>
    <comment ref="D25" authorId="1" shapeId="0">
      <text>
        <t xml:space="preserve">Đặng Thanh Vượng:
Last week was: 5.640,000	</t>
      </text>
    </comment>
    <comment ref="B26" authorId="0" shapeId="0">
      <text>
        <t>Microsoft Office User:
pc 
was 4090k</t>
      </text>
    </comment>
    <comment ref="C26" authorId="1" shapeId="0">
      <text>
        <t>Dang Phuong Nam:
Last week was: 4.090.000</t>
      </text>
    </comment>
    <comment ref="D26" authorId="1" shapeId="0">
      <text>
        <t xml:space="preserve">Đặng Thanh Vượng:
Last week was: 4.190,000	</t>
      </text>
    </comment>
    <comment ref="G26" authorId="2" shapeId="0">
      <text>
        <t>W7: 3.850.000</t>
      </text>
    </comment>
    <comment ref="I26" authorId="0" shapeId="0">
      <text>
        <t>Microsoft Office User:
pc
was
oos</t>
      </text>
    </comment>
    <comment ref="B27" authorId="0" shapeId="0">
      <text>
        <t>Microsoft Office User:
pc
was 2700k</t>
      </text>
    </comment>
    <comment ref="C27" authorId="1" shapeId="0">
      <text>
        <t>Dang Phuong Nam:
Last week was: 2.700.000</t>
      </text>
    </comment>
    <comment ref="E27" authorId="0" shapeId="0">
      <text>
        <t>Microsoft Office User:
Last week was:
2.790.000đ</t>
      </text>
    </comment>
    <comment ref="I27" authorId="0" shapeId="0">
      <text>
        <t>Microsoft Office User:
pc
was
2,567k</t>
      </text>
    </comment>
    <comment ref="B28" authorId="0" shapeId="0">
      <text>
        <t>Microsoft Office User:
pxc
was 18190k</t>
      </text>
    </comment>
    <comment ref="C28" authorId="1" shapeId="0">
      <text>
        <t>Dang Phuong Nam:
Last week was: 18.190.000</t>
      </text>
    </comment>
    <comment ref="D28" authorId="1" shapeId="0">
      <text>
        <t xml:space="preserve">Đặng Thanh Vượng:
Last week was: 18.090,000	</t>
      </text>
    </comment>
    <comment ref="G28" authorId="2" shapeId="0">
      <text>
        <t>W7: 18.190.000</t>
      </text>
    </comment>
    <comment ref="H28" authorId="4" shapeId="0">
      <text>
        <t>Administrator:
18140000</t>
      </text>
    </comment>
    <comment ref="I28" authorId="0" shapeId="0">
      <text>
        <t>Microsoft Office User:
pc
was
17,663k</t>
      </text>
    </comment>
    <comment ref="B29" authorId="0" shapeId="0">
      <text>
        <t>Microsoft Office User:
pc
was 24190k</t>
      </text>
    </comment>
    <comment ref="C29" authorId="1" shapeId="0">
      <text>
        <t>Dang Phuong Nam:
Last week was: 24.190.000</t>
      </text>
    </comment>
    <comment ref="G29" authorId="2" shapeId="0">
      <text>
        <t>W7: 24.590.000</t>
      </text>
    </comment>
    <comment ref="I29" authorId="0" shapeId="0">
      <text>
        <t>Microsoft Office User:
pc
was
24,807k</t>
      </text>
    </comment>
    <comment ref="C30" authorId="1" shapeId="0">
      <text>
        <t>Dang Phuong Nam:
Last week was: 27.290.000</t>
      </text>
    </comment>
    <comment ref="C32" authorId="1" shapeId="0">
      <text>
        <t>Dang Phuong Nam:
Last week was: 38.490.000</t>
      </text>
    </comment>
    <comment ref="I32" authorId="0" shapeId="0">
      <text>
        <t>Microsoft Office User:
pc
was
oos</t>
      </text>
    </comment>
  </commentList>
</comments>
</file>

<file path=xl/comments/comment6.xml><?xml version="1.0" encoding="utf-8"?>
<comments xmlns="http://schemas.openxmlformats.org/spreadsheetml/2006/main">
  <authors>
    <author>Microsoft Office User</author>
    <author>Dang Phuong Nam</author>
    <author>pc</author>
    <author>Nam Khánh</author>
    <author>user</author>
  </authors>
  <commentList>
    <comment ref="B2" authorId="0" shapeId="0">
      <text>
        <t>Microsoft Office User:
last week was 18,990,000</t>
      </text>
    </comment>
    <comment ref="D2" authorId="1" shapeId="0">
      <text>
        <t>Đặng Thanh Vượng:
Last week was: 18.890.000</t>
      </text>
    </comment>
    <comment ref="I2" authorId="0" shapeId="0">
      <text>
        <t>Microsoft Office User:
last week was
18,023k</t>
      </text>
    </comment>
    <comment ref="B3" authorId="2" shapeId="0">
      <text>
        <t>pc:
Was 22,190,000</t>
      </text>
    </comment>
    <comment ref="I3" authorId="0" shapeId="0">
      <text>
        <t>Microsoft Office User:
last week was
20,783k</t>
      </text>
    </comment>
    <comment ref="B4" authorId="0" shapeId="0">
      <text>
        <t>Microsoft Office User:
pc
was 24,590,000</t>
      </text>
    </comment>
    <comment ref="C4" authorId="1" shapeId="0">
      <text>
        <t>Dang Phuong Nam:
Last week was: 24.590.000</t>
      </text>
    </comment>
    <comment ref="D4" authorId="1" shapeId="0">
      <text>
        <t>Đặng Thanh Vượng:
Last week was: 24.590.000</t>
      </text>
    </comment>
    <comment ref="B5" authorId="0" shapeId="0">
      <text>
        <t>Microsoft Office User:
Last week 29,290,000</t>
      </text>
    </comment>
    <comment ref="C5" authorId="1" shapeId="0">
      <text>
        <t>Dang Phuong Nam:
Last week was: 29.290.000</t>
      </text>
    </comment>
    <comment ref="I5" authorId="0" shapeId="0">
      <text>
        <t>Microsoft Office User:
last week was
28433k</t>
      </text>
    </comment>
    <comment ref="B6" authorId="2" shapeId="0">
      <text>
        <t>pc:
Was 19,390,000</t>
      </text>
    </comment>
    <comment ref="B7" authorId="2" shapeId="0">
      <text>
        <t>pc:
Was 16,490,000</t>
      </text>
    </comment>
    <comment ref="C7" authorId="1" shapeId="0">
      <text>
        <t>Dang Phuong Nam:
Last week was: 16.490.000</t>
      </text>
    </comment>
    <comment ref="D7" authorId="1" shapeId="0">
      <text>
        <t>Đặng Thanh Vượng:
Last week was: 16.390.000</t>
      </text>
    </comment>
    <comment ref="I7" authorId="0" shapeId="0">
      <text>
        <t>Microsoft Office User:
last week was
15,539k</t>
      </text>
    </comment>
    <comment ref="B8" authorId="2" shapeId="0">
      <text>
        <t>pc:
Was 13,690,000</t>
      </text>
    </comment>
    <comment ref="G8" authorId="3" shapeId="0">
      <text>
        <t>W8: 13.390.000</t>
      </text>
    </comment>
    <comment ref="H8" authorId="4" shapeId="0">
      <text>
        <t xml:space="preserve">user:
13.390.000
</t>
      </text>
    </comment>
    <comment ref="B9" authorId="2" shapeId="0">
      <text>
        <t>pc:
Was 11,590,000</t>
      </text>
    </comment>
    <comment ref="D9" authorId="1" shapeId="0">
      <text>
        <t>Đặng Thanh Vượng:
Last week was: 11.890.000</t>
      </text>
    </comment>
    <comment ref="B10" authorId="2" shapeId="0">
      <text>
        <t>pc:
Was 8,690,000</t>
      </text>
    </comment>
    <comment ref="B11" authorId="2" shapeId="0">
      <text>
        <t>pc:
Was 21,790,000</t>
      </text>
    </comment>
    <comment ref="C11" authorId="1" shapeId="0">
      <text>
        <t>Dang Phuong Nam:
Last week was: 21.190.000</t>
      </text>
    </comment>
    <comment ref="B12" authorId="0" shapeId="0">
      <text>
        <t>Microsoft Office User:
pc
was 13,890,000</t>
      </text>
    </comment>
    <comment ref="C12" authorId="1" shapeId="0">
      <text>
        <t>Dang Phuong Nam:
Last week was: 13.890.000</t>
      </text>
    </comment>
    <comment ref="D12" authorId="1" shapeId="0">
      <text>
        <t xml:space="preserve">Đặng Thanh Vượng:
Last week was: 13.990,000	</t>
      </text>
    </comment>
    <comment ref="I12" authorId="0" shapeId="0">
      <text>
        <t>Microsoft Office User:
last week was
13,607k</t>
      </text>
    </comment>
    <comment ref="B13" authorId="0" shapeId="0">
      <text>
        <t>Microsoft Office User:
pc 
was 12,890,000</t>
      </text>
    </comment>
    <comment ref="D13" authorId="1" shapeId="0">
      <text>
        <t xml:space="preserve">Đặng Thanh Vượng:
Last week was: 11.890,000	</t>
      </text>
    </comment>
    <comment ref="I13" authorId="0" shapeId="0">
      <text>
        <t>Microsoft Office User:
last week was
10,939k</t>
      </text>
    </comment>
    <comment ref="B14" authorId="2" shapeId="0">
      <text>
        <t>pc:
Was 10,590,000</t>
      </text>
    </comment>
    <comment ref="E14" authorId="0" shapeId="0">
      <text>
        <t>Microsoft Office User:
Last week was:
9.690.000đ</t>
      </text>
    </comment>
    <comment ref="H14" authorId="4" shapeId="0">
      <text>
        <t xml:space="preserve">user:
9890000
</t>
      </text>
    </comment>
    <comment ref="I14" authorId="0" shapeId="0">
      <text>
        <t>Microsoft Office User:
last week was
9,191k</t>
      </text>
    </comment>
    <comment ref="B15" authorId="2" shapeId="0">
      <text>
        <t>pc:
Was 7,090,000</t>
      </text>
    </comment>
    <comment ref="C15" authorId="1" shapeId="0">
      <text>
        <t>Dang Phuong Nam:
Last week was: 7.090.000</t>
      </text>
    </comment>
    <comment ref="E15" authorId="0" shapeId="0">
      <text>
        <t>Microsoft Office User:
Last week was:
6.990.000đ</t>
      </text>
    </comment>
    <comment ref="G15" authorId="3" shapeId="0">
      <text>
        <t>W8: 6.690.000</t>
      </text>
    </comment>
    <comment ref="B16" authorId="0" shapeId="0">
      <text>
        <t>Microsoft Office User:
pc
was 5,990,000</t>
      </text>
    </comment>
    <comment ref="C16" authorId="1" shapeId="0">
      <text>
        <t>Dang Phuong Nam:
Last week was: 5.990.000</t>
      </text>
    </comment>
    <comment ref="D16" authorId="1" shapeId="0">
      <text>
        <t xml:space="preserve">Đặng Thanh Vượng:
Last week was: 5.940,000	</t>
      </text>
    </comment>
    <comment ref="F16" authorId="2" shapeId="0">
      <text>
        <t>pc:
Was 5,990,000</t>
      </text>
    </comment>
    <comment ref="I16" authorId="0" shapeId="0">
      <text>
        <t>Microsoft Office User:
last week was
5,511k</t>
      </text>
    </comment>
    <comment ref="B17" authorId="2" shapeId="0">
      <text>
        <t>pc:
Was 7,390,000</t>
      </text>
    </comment>
    <comment ref="C17" authorId="1" shapeId="0">
      <text>
        <t>Dang Phuong Nam:
Last week was: 7.390.000</t>
      </text>
    </comment>
    <comment ref="B18" authorId="2" shapeId="0">
      <text>
        <t>pc:
Was 6,990,000</t>
      </text>
    </comment>
    <comment ref="C18" authorId="1" shapeId="0">
      <text>
        <t>Dang Phuong Nam:
Last week was: 6.990.000</t>
      </text>
    </comment>
    <comment ref="D18" authorId="1" shapeId="0">
      <text>
        <t xml:space="preserve">Đặng Thanh Vượng:
Last week was: 6.240,000	</t>
      </text>
    </comment>
    <comment ref="B19" authorId="0" shapeId="0">
      <text>
        <t>Microsoft Office User:
pc
was 7,990,000</t>
      </text>
    </comment>
    <comment ref="C19" authorId="1" shapeId="0">
      <text>
        <t>Dang Phuong Nam:
Last week was: 8.190.000</t>
      </text>
    </comment>
    <comment ref="B20" authorId="2" shapeId="0">
      <text>
        <t xml:space="preserve">pc:
Was 9,390,000
</t>
      </text>
    </comment>
    <comment ref="C20" authorId="1" shapeId="0">
      <text>
        <t>Dang Phuong Nam:
Last week was: 9.390.000</t>
      </text>
    </comment>
    <comment ref="D20" authorId="1" shapeId="0">
      <text>
        <t xml:space="preserve">Đặng Thanh Vượng:
Last week was: 9.340,000	</t>
      </text>
    </comment>
    <comment ref="H20" authorId="4" shapeId="0">
      <text>
        <t>user:
8740000</t>
      </text>
    </comment>
    <comment ref="B21" authorId="0" shapeId="0">
      <text>
        <t>Microsoft Office User:
pc 
was 12,390,000</t>
      </text>
    </comment>
    <comment ref="C21" authorId="1" shapeId="0">
      <text>
        <t>Dang Phuong Nam:
Last week was: 12.390.000</t>
      </text>
    </comment>
    <comment ref="D21" authorId="1" shapeId="0">
      <text>
        <t xml:space="preserve">Đặng Thanh Vượng:
Last week was: 12.290,000	</t>
      </text>
    </comment>
    <comment ref="B22" authorId="2" shapeId="0">
      <text>
        <t>pc:
Was 10,790,000</t>
      </text>
    </comment>
    <comment ref="C22" authorId="1" shapeId="0">
      <text>
        <t>Dang Phuong Nam:
Last week was: 10.790.000</t>
      </text>
    </comment>
    <comment ref="B24" authorId="2" shapeId="0">
      <text>
        <t>pc:
Was 20,990,000</t>
      </text>
    </comment>
    <comment ref="C24" authorId="1" shapeId="0">
      <text>
        <t>Dang Phuong Nam:
Last week was: 21.190.000</t>
      </text>
    </comment>
    <comment ref="B26" authorId="0" shapeId="0">
      <text>
        <t>Microsoft Office User:
pc 
was 3,990,000</t>
      </text>
    </comment>
    <comment ref="C26" authorId="1" shapeId="0">
      <text>
        <t>Dang Phuong Nam:
Last week was: 4.990.000</t>
      </text>
    </comment>
    <comment ref="H27" authorId="4" shapeId="0">
      <text>
        <t>user:
2740000</t>
      </text>
    </comment>
    <comment ref="I27" authorId="0" shapeId="0">
      <text>
        <t>Microsoft Office User:
last week was
2,623k</t>
      </text>
    </comment>
    <comment ref="G28" authorId="3" shapeId="0">
      <text>
        <t>W8: 17.990.000</t>
      </text>
    </comment>
    <comment ref="B29" authorId="0" shapeId="0">
      <text>
        <t>Microsoft Office User:
pc
was 23,990,000</t>
      </text>
    </comment>
    <comment ref="C29" authorId="1" shapeId="0">
      <text>
        <t>Dang Phuong Nam:
Last week was: 24.090.000</t>
      </text>
    </comment>
    <comment ref="H29" authorId="4" shapeId="0">
      <text>
        <t>user:
23.790.000</t>
      </text>
    </comment>
    <comment ref="I29" authorId="0" shapeId="0">
      <text>
        <t>Microsoft Office User:
last week was
23,435k</t>
      </text>
    </comment>
    <comment ref="B30" authorId="2" shapeId="0">
      <text>
        <t>pc:
Was 27,290,000</t>
      </text>
    </comment>
    <comment ref="C30" authorId="1" shapeId="0">
      <text>
        <t>Dang Phuong Nam:
Last week was: 27.890.000</t>
      </text>
    </comment>
    <comment ref="B31" authorId="2" shapeId="0">
      <text>
        <t>pc:
Was 31,490,000</t>
      </text>
    </comment>
    <comment ref="C32" authorId="1" shapeId="0">
      <text>
        <t>Dang Phuong Nam:
Last week was: 38.790.000</t>
      </text>
    </comment>
  </commentList>
</comments>
</file>

<file path=xl/comments/comment7.xml><?xml version="1.0" encoding="utf-8"?>
<comments xmlns="http://schemas.openxmlformats.org/spreadsheetml/2006/main">
  <authors>
    <author>Microsoft Office User</author>
    <author>Dang Phuong Nam</author>
    <author>Duy Nguyen</author>
    <author>pc</author>
    <author>Nam Khánh</author>
    <author>Administrator</author>
  </authors>
  <commentList>
    <comment ref="B2" authorId="0" shapeId="0">
      <text>
        <t>Microsoft Office User:
last week was 18,800,000</t>
      </text>
    </comment>
    <comment ref="C2" authorId="1" shapeId="0">
      <text>
        <t>Dang Phuong Nam:
Last week was: 18.800.000</t>
      </text>
    </comment>
    <comment ref="D2" authorId="1" shapeId="0">
      <text>
        <t>Đặng Thanh Vượng:
Last week was: 18.990.000</t>
      </text>
    </comment>
    <comment ref="E2" authorId="0" shapeId="0">
      <text>
        <t>Microsoft Office User:
Last week was:
18.490.000đ</t>
      </text>
    </comment>
    <comment ref="F2" authorId="2" shapeId="0">
      <text>
        <t>Duy Nguyen:
last week was 18,590,000</t>
      </text>
    </comment>
    <comment ref="I2" authorId="0" shapeId="0">
      <text>
        <t>Microsoft Office User:
last week was
17,890k</t>
      </text>
    </comment>
    <comment ref="B3" authorId="3" shapeId="0">
      <text>
        <t>pc:
Was 21,990,000</t>
      </text>
    </comment>
    <comment ref="C3" authorId="1" shapeId="0">
      <text>
        <t>Dang Phuong Nam:
Last week was: 
21.990.000</t>
      </text>
    </comment>
    <comment ref="D3" authorId="1" shapeId="0">
      <text>
        <t>Đặng Thanh Vượng:
Last week was: 22.090.000</t>
      </text>
    </comment>
    <comment ref="F3" authorId="2" shapeId="0">
      <text>
        <t>Duy Nguyen:
last week was 22,090,000</t>
      </text>
    </comment>
    <comment ref="G3" authorId="4" shapeId="0">
      <text>
        <t>W9: 21.690.000</t>
      </text>
    </comment>
    <comment ref="I3" authorId="0" shapeId="0">
      <text>
        <t>Microsoft Office User:
last week was 
21,059</t>
      </text>
    </comment>
    <comment ref="B4" authorId="0" shapeId="0">
      <text>
        <t>Microsoft Office User:
pc
was 25,490,000</t>
      </text>
    </comment>
    <comment ref="C4" authorId="1" shapeId="0">
      <text>
        <t>Dang Phuong Nam:
Last week was: 25.490.000</t>
      </text>
    </comment>
    <comment ref="D4" authorId="1" shapeId="0">
      <text>
        <t>Đặng Thanh Vượng:
Last week was: 24.690.000</t>
      </text>
    </comment>
    <comment ref="E4" authorId="0" shapeId="0">
      <text>
        <t>Microsoft Office User:
Last week was:
23.990.000đ</t>
      </text>
    </comment>
    <comment ref="F4" authorId="2" shapeId="0">
      <text>
        <t>Duy Nguyen:
last week was 24,390,000</t>
      </text>
    </comment>
    <comment ref="G4" authorId="4" shapeId="0">
      <text>
        <t>W9: 23.890.000</t>
      </text>
    </comment>
    <comment ref="I4" authorId="0" shapeId="0">
      <text>
        <t>Microsoft Office User:
23,819k</t>
      </text>
    </comment>
    <comment ref="B5" authorId="0" shapeId="0">
      <text>
        <t>Microsoft Office User:
Last week 29,390,000</t>
      </text>
    </comment>
    <comment ref="C5" authorId="1" shapeId="0">
      <text>
        <t>Dang Phuong Nam:
Last week was: 29.390.000</t>
      </text>
    </comment>
    <comment ref="E5" authorId="0" shapeId="0">
      <text>
        <t>Microsoft Office User:
Last week was:
28.990.000đ</t>
      </text>
    </comment>
    <comment ref="F5" authorId="2" shapeId="0">
      <text>
        <t>Duy Nguyen:
last week was 29,390,000</t>
      </text>
    </comment>
    <comment ref="G5" authorId="4" shapeId="0">
      <text>
        <t>W9: 28.590.000</t>
      </text>
    </comment>
    <comment ref="I5" authorId="0" shapeId="0">
      <text>
        <t>Microsoft Office User:
last week was 
28,419k</t>
      </text>
    </comment>
    <comment ref="C6" authorId="1" shapeId="0">
      <text>
        <t>Dang Phuong Nam:
Last week was: 
19.196.000</t>
      </text>
    </comment>
    <comment ref="E6" authorId="0" shapeId="0">
      <text>
        <t>Microsoft Office User:
Last week was:
19.290.000đ</t>
      </text>
    </comment>
    <comment ref="H6" authorId="5" shapeId="0">
      <text>
        <t>Administrator:
19690000</t>
      </text>
    </comment>
    <comment ref="B7" authorId="3" shapeId="0">
      <text>
        <t>pc:
Was 16,226,000</t>
      </text>
    </comment>
    <comment ref="C7" authorId="1" shapeId="0">
      <text>
        <t>Dang Phuong Nam:
Last week was: 16.226.000</t>
      </text>
    </comment>
    <comment ref="D7" authorId="1" shapeId="0">
      <text>
        <t>Đặng Thanh Vượng:
Last week was: 16.290.000</t>
      </text>
    </comment>
    <comment ref="F7" authorId="2" shapeId="0">
      <text>
        <t>Duy Nguyen:
last week was 16,390,000</t>
      </text>
    </comment>
    <comment ref="B8" authorId="3" shapeId="0">
      <text>
        <t>pc:
Was 13,553,000</t>
      </text>
    </comment>
    <comment ref="C8" authorId="1" shapeId="0">
      <text>
        <t>Dang Phuong Nam:
Last week was: 
13.553.000</t>
      </text>
    </comment>
    <comment ref="D8" authorId="1" shapeId="0">
      <text>
        <t>Đặng Thanh Vượng:
Last week was: 13.590.000</t>
      </text>
    </comment>
    <comment ref="E8" authorId="0" shapeId="0">
      <text>
        <t>Microsoft Office User:
Last week was:
13.190.000đ</t>
      </text>
    </comment>
    <comment ref="I8" authorId="0" shapeId="0">
      <text>
        <t>Microsoft Office User:
last week was
12,779k</t>
      </text>
    </comment>
    <comment ref="C9" authorId="1" shapeId="0">
      <text>
        <t>Dang Phuong Nam:
Last week was: 
11.474.000</t>
      </text>
    </comment>
    <comment ref="E9" authorId="0" shapeId="0">
      <text>
        <t>Microsoft Office User:
11.990.000đ</t>
      </text>
    </comment>
    <comment ref="C10" authorId="1" shapeId="0">
      <text>
        <t>Dang Phuong Nam:
Last week was: 
8.603.000</t>
      </text>
    </comment>
    <comment ref="E10" authorId="0" shapeId="0">
      <text>
        <t>Microsoft Office User:
Last week was:
8.590.000đ</t>
      </text>
    </comment>
    <comment ref="G10" authorId="4" shapeId="0">
      <text>
        <t>W9: 8.490.000</t>
      </text>
    </comment>
    <comment ref="C11" authorId="1" shapeId="0">
      <text>
        <t>Dang Phuong Nam:
Last week was: 21.790.000</t>
      </text>
    </comment>
    <comment ref="C12" authorId="1" shapeId="0">
      <text>
        <t>Dang Phuong Nam:
Last week was: 13.949.000</t>
      </text>
    </comment>
    <comment ref="D12" authorId="1" shapeId="0">
      <text>
        <t xml:space="preserve">Đặng Thanh Vượng:
Last week was: 13.790,000	</t>
      </text>
    </comment>
    <comment ref="E12" authorId="0" shapeId="0">
      <text>
        <t>Microsoft Office User:
Last week was:
14.490.000đ</t>
      </text>
    </comment>
    <comment ref="I12" authorId="0" shapeId="0">
      <text>
        <t>Microsoft Office User:
last week was
13,669k</t>
      </text>
    </comment>
    <comment ref="C13" authorId="1" shapeId="0">
      <text>
        <t>Dang Phuong Nam:
Last week was: 12.266.000</t>
      </text>
    </comment>
    <comment ref="D13" authorId="1" shapeId="0">
      <text>
        <t xml:space="preserve">Đặng Thanh Vượng:
Last week was: 11.290,000	</t>
      </text>
    </comment>
    <comment ref="F13" authorId="2" shapeId="0">
      <text>
        <t>Duy Nguyen:
last week was 11,990,000</t>
      </text>
    </comment>
    <comment ref="B14" authorId="3" shapeId="0">
      <text>
        <t>pc:
Was 10,484,000</t>
      </text>
    </comment>
    <comment ref="C14" authorId="1" shapeId="0">
      <text>
        <t>Dang Phuong Nam:
Last week was: 10.484.000</t>
      </text>
    </comment>
    <comment ref="E14" authorId="0" shapeId="0">
      <text>
        <t>Microsoft Office User:
Last week was:
9.490.000đ</t>
      </text>
    </comment>
    <comment ref="G14" authorId="4" shapeId="0">
      <text>
        <t>W9: 9.790.000</t>
      </text>
    </comment>
    <comment ref="I14" authorId="0" shapeId="0">
      <text>
        <t>Microsoft Office User:
last week was
9,283k</t>
      </text>
    </comment>
    <comment ref="C15" authorId="1" shapeId="0">
      <text>
        <t>Dang Phuong Nam:
Last week was: 7.118.000</t>
      </text>
    </comment>
    <comment ref="D15" authorId="1" shapeId="0">
      <text>
        <t xml:space="preserve">Đặng Thanh Vượng:
Last week was: 7.040,000	</t>
      </text>
    </comment>
    <comment ref="E15" authorId="0" shapeId="0">
      <text>
        <t>Microsoft Office User:
Last week was:
6.790.000đ</t>
      </text>
    </comment>
    <comment ref="I15" authorId="0" shapeId="0">
      <text>
        <t>Microsoft Office User:
last week was 
6,707k</t>
      </text>
    </comment>
    <comment ref="C16" authorId="1" shapeId="0">
      <text>
        <t>Dang Phuong Nam:
Last week was: 5.732.000</t>
      </text>
    </comment>
    <comment ref="F16" authorId="2" shapeId="0">
      <text>
        <t>Duy Nguyen:
last week was 5,590,000</t>
      </text>
    </comment>
    <comment ref="I16" authorId="0" shapeId="0">
      <text>
        <t>Microsoft Office User:
last week was 
5,503k</t>
      </text>
    </comment>
    <comment ref="C17" authorId="1" shapeId="0">
      <text>
        <t>Dang Phuong Nam:
Last week was: 7.217.000</t>
      </text>
    </comment>
    <comment ref="C18" authorId="1" shapeId="0">
      <text>
        <t>Dang Phuong Nam:
Last week was: 6.821.000</t>
      </text>
    </comment>
    <comment ref="I18" authorId="0" shapeId="0">
      <text>
        <t>Microsoft Office User:
last week was 
6,891k</t>
      </text>
    </comment>
    <comment ref="C19" authorId="1" shapeId="0">
      <text>
        <t>Dang Phuong Nam:
Last week was: 7.811.000</t>
      </text>
    </comment>
    <comment ref="C20" authorId="1" shapeId="0">
      <text>
        <t>Dang Phuong Nam:
Last week was: 9.098.000</t>
      </text>
    </comment>
    <comment ref="I20" authorId="0" shapeId="0">
      <text>
        <t>Microsoft Office User:
last week was 
9,099k</t>
      </text>
    </comment>
    <comment ref="C21" authorId="1" shapeId="0">
      <text>
        <t>Dang Phuong Nam:
Last week was: 12.662.000</t>
      </text>
    </comment>
    <comment ref="C22" authorId="1" shapeId="0">
      <text>
        <t>Dang Phuong Nam:
Last week was: 10.583.000</t>
      </text>
    </comment>
    <comment ref="C23" authorId="1" shapeId="0">
      <text>
        <t>Dang Phuong Nam:
Last week was: 13.553.000</t>
      </text>
    </comment>
    <comment ref="B24" authorId="3" shapeId="0">
      <text>
        <t>pc:
Was 20,590,000</t>
      </text>
    </comment>
    <comment ref="C24" authorId="1" shapeId="0">
      <text>
        <t>Dang Phuong Nam:
Last week was: 20.890.000</t>
      </text>
    </comment>
    <comment ref="E25" authorId="0" shapeId="0">
      <text>
        <t>Microsoft Office User:
Last week was:
5.490.000đ</t>
      </text>
    </comment>
    <comment ref="B26" authorId="0" shapeId="0">
      <text>
        <t>Microsoft Office User:
pc 
was 3,890,000</t>
      </text>
    </comment>
    <comment ref="C26" authorId="1" shapeId="0">
      <text>
        <t>Dang Phuong Nam:
Last week was: 3.890.000</t>
      </text>
    </comment>
    <comment ref="D26" authorId="1" shapeId="0">
      <text>
        <t xml:space="preserve">Đặng Thanh Vượng:
Last week was: 3.990,000	</t>
      </text>
    </comment>
    <comment ref="E26" authorId="0" shapeId="0">
      <text>
        <t>Microsoft Office User:
Last week was:
3.990.000đ</t>
      </text>
    </comment>
    <comment ref="F26" authorId="2" shapeId="0">
      <text>
        <t>Duy Nguyen:
last week was 3,990,000</t>
      </text>
    </comment>
    <comment ref="I27" authorId="0" shapeId="0">
      <text>
        <t>Microsoft Office User:
last week was 
2,790k</t>
      </text>
    </comment>
    <comment ref="B28" authorId="3" shapeId="0">
      <text>
        <t>pc:
Was 18,490,000</t>
      </text>
    </comment>
    <comment ref="C28" authorId="1" shapeId="0">
      <text>
        <t>Dang Phuong Nam:
Last week was: 
18.305.000</t>
      </text>
    </comment>
    <comment ref="D28" authorId="1" shapeId="0">
      <text>
        <t xml:space="preserve">Đặng Thanh Vượng:
Last week was: 18.390,000	</t>
      </text>
    </comment>
    <comment ref="F28" authorId="2" shapeId="0">
      <text>
        <t>Duy Nguyen:
last week was 18,290,000</t>
      </text>
    </comment>
    <comment ref="C29" authorId="1" shapeId="0">
      <text>
        <t>Dang Phuong Nam:
Last week was: 23.790.000</t>
      </text>
    </comment>
    <comment ref="D29" authorId="1" shapeId="0">
      <text>
        <t xml:space="preserve">Đặng Thanh Vượng:
Last week was: 23.890,000	</t>
      </text>
    </comment>
    <comment ref="F29" authorId="2" shapeId="0">
      <text>
        <t>Duy Nguyen:
last week was 23,690,000</t>
      </text>
    </comment>
    <comment ref="I29" authorId="0" shapeId="0">
      <text>
        <t>Microsoft Office User:
last week was 
23,635k</t>
      </text>
    </comment>
    <comment ref="B30" authorId="3" shapeId="0">
      <text>
        <t>pc:
Was 27,090,000</t>
      </text>
    </comment>
    <comment ref="C30" authorId="1" shapeId="0">
      <text>
        <t>Dang Phuong Nam:
Last week was: 27.090.000</t>
      </text>
    </comment>
    <comment ref="F30" authorId="2" shapeId="0">
      <text>
        <t>Duy Nguyen:
last week was 26,190,000</t>
      </text>
    </comment>
    <comment ref="C31" authorId="1" shapeId="0">
      <text>
        <t>Dang Phuong Nam:
Last week was: 
31.290.000</t>
      </text>
    </comment>
    <comment ref="C32" authorId="1" shapeId="0">
      <text>
        <t>Dang Phuong Nam:
Last week was: 38.290.000</t>
      </text>
    </comment>
    <comment ref="F32" authorId="2" shapeId="0">
      <text>
        <t>Duy Nguyen:
last week was 37,290,000</t>
      </text>
    </comment>
  </commentList>
</comments>
</file>

<file path=xl/comments/comment8.xml><?xml version="1.0" encoding="utf-8"?>
<comments xmlns="http://schemas.openxmlformats.org/spreadsheetml/2006/main">
  <authors>
    <author>Microsoft Office User</author>
    <author>Dang Phuong Nam</author>
    <author>Duy Nguyen</author>
    <author>pc</author>
    <author>Nam Khánh</author>
  </authors>
  <commentList>
    <comment ref="B2" authorId="0" shapeId="0">
      <text>
        <t>Microsoft Office User:
last week was 18,998,000</t>
      </text>
    </comment>
    <comment ref="C2" authorId="1" shapeId="0">
      <text>
        <t>Dang Phuong Nam:
Last week was: 19.190.000</t>
      </text>
    </comment>
    <comment ref="D2" authorId="1" shapeId="0">
      <text>
        <t>Đặng Thanh Vượng:
Last week was: 19.090.000</t>
      </text>
    </comment>
    <comment ref="F2" authorId="2" shapeId="0">
      <text>
        <t>Duy Nguyen:
last week was 21,490,000</t>
      </text>
    </comment>
    <comment ref="I2" authorId="0" shapeId="0">
      <text>
        <t>Microsoft Office User:
Last week was
18,023k</t>
      </text>
    </comment>
    <comment ref="B3" authorId="3" shapeId="0">
      <text>
        <t>pc:
Was 21,790,000</t>
      </text>
    </comment>
    <comment ref="C3" authorId="1" shapeId="0">
      <text>
        <t>Dang Phuong Nam:
Last week was: 
21.990.000</t>
      </text>
    </comment>
    <comment ref="D3" authorId="1" shapeId="0">
      <text>
        <t>Đặng Thanh Vượng:
Last week was: 21.990.000</t>
      </text>
    </comment>
    <comment ref="F3" authorId="2" shapeId="0">
      <text>
        <t>Duy Nguyen:
last week was 21,490,000</t>
      </text>
    </comment>
    <comment ref="I3" authorId="0" shapeId="0">
      <text>
        <t>Microsoft Office User:
Last week was
20,783k</t>
      </text>
    </comment>
    <comment ref="B4" authorId="0" shapeId="0">
      <text>
        <t>Microsoft Office User:
pc
was 25,990,000</t>
      </text>
    </comment>
    <comment ref="C4" authorId="1" shapeId="0">
      <text>
        <t>Dang Phuong Nam:
Last week was: 26.190.000</t>
      </text>
    </comment>
    <comment ref="F4" authorId="2" shapeId="0">
      <text>
        <t>Duy Nguyen:
last week was 24,890,000</t>
      </text>
    </comment>
    <comment ref="I4" authorId="0" shapeId="0">
      <text>
        <t>Microsoft Office User:
Last week was
23,490k</t>
      </text>
    </comment>
    <comment ref="B5" authorId="0" shapeId="0">
      <text>
        <t>Microsoft Office User:
Last week 29,590,000</t>
      </text>
    </comment>
    <comment ref="C5" authorId="1" shapeId="0">
      <text>
        <t>Dang Phuong Nam:
Last week was: 29.790.000</t>
      </text>
    </comment>
    <comment ref="D5" authorId="1" shapeId="0">
      <text>
        <t>Đặng Thanh Vượng:
Last week was: 29.390.000</t>
      </text>
    </comment>
    <comment ref="F5" authorId="2" shapeId="0">
      <text>
        <t>Duy Nguyen:
last week was 28,890,000</t>
      </text>
    </comment>
    <comment ref="G5" authorId="4" shapeId="0">
      <text>
        <t>W10: 28.690.000</t>
      </text>
    </comment>
    <comment ref="I5" authorId="0" shapeId="0">
      <text>
        <t>Microsoft Office User:
Last week was
28,490k</t>
      </text>
    </comment>
    <comment ref="B6" authorId="3" shapeId="0">
      <text>
        <t>pc:
Was 19,196,000</t>
      </text>
    </comment>
    <comment ref="C6" authorId="1" shapeId="0">
      <text>
        <t>Dang Phuong Nam:
Last week was: 
19.390.000</t>
      </text>
    </comment>
    <comment ref="D6" authorId="1" shapeId="0">
      <text>
        <t>Đặng Thanh Vượng:
Last week was: 19.290.000</t>
      </text>
    </comment>
    <comment ref="B7" authorId="3" shapeId="0">
      <text>
        <t>pc:
Was 17,414,000</t>
      </text>
    </comment>
    <comment ref="C7" authorId="1" shapeId="0">
      <text>
        <t>Dang Phuong Nam:
Last week was: 17.590.000</t>
      </text>
    </comment>
    <comment ref="D7" authorId="1" shapeId="0">
      <text>
        <t>Đặng Thanh Vượng:
Last week was: 17.090.000</t>
      </text>
    </comment>
    <comment ref="F7" authorId="2" shapeId="0">
      <text>
        <t>Duy Nguyen:
last week was 16,590,000</t>
      </text>
    </comment>
    <comment ref="B8" authorId="3" shapeId="0">
      <text>
        <t>pc:
Was 13,454,000</t>
      </text>
    </comment>
    <comment ref="C8" authorId="1" shapeId="0">
      <text>
        <t>Dang Phuong Nam:
Last week was: 
13.590.000</t>
      </text>
    </comment>
    <comment ref="D8" authorId="1" shapeId="0">
      <text>
        <t>Đặng Thanh Vượng:
Last week was: 13.690.000</t>
      </text>
    </comment>
    <comment ref="F8" authorId="2" shapeId="0">
      <text>
        <t>Duy Nguyen:
last week was 13,190,000</t>
      </text>
    </comment>
    <comment ref="I8" authorId="0" shapeId="0">
      <text>
        <t>Microsoft Office User:
Last week was
12,687k</t>
      </text>
    </comment>
    <comment ref="B9" authorId="3" shapeId="0">
      <text>
        <t>pc:
Was 11,474,000</t>
      </text>
    </comment>
    <comment ref="C9" authorId="1" shapeId="0">
      <text>
        <t>Dang Phuong Nam:
Last week was: 
11.590.000</t>
      </text>
    </comment>
    <comment ref="D9" authorId="1" shapeId="0">
      <text>
        <t>Đặng Thanh Vượng:
Last week was: 11.490.000</t>
      </text>
    </comment>
    <comment ref="B10" authorId="3" shapeId="0">
      <text>
        <t>pc:
Was 8,603,000</t>
      </text>
    </comment>
    <comment ref="C10" authorId="1" shapeId="0">
      <text>
        <t>Dang Phuong Nam:
Last week was: 
8.680.000</t>
      </text>
    </comment>
    <comment ref="D10" authorId="1" shapeId="0">
      <text>
        <t>Đặng Thanh Vượng:
Last week was: 8.640.000</t>
      </text>
    </comment>
    <comment ref="F10" authorId="2" shapeId="0">
      <text>
        <t>Duy Nguyen:
last week was 8,550,000</t>
      </text>
    </comment>
    <comment ref="G10" authorId="4" shapeId="0">
      <text>
        <t>W10: 8.590.000</t>
      </text>
    </comment>
    <comment ref="D12" authorId="1" shapeId="0">
      <text>
        <t xml:space="preserve">Đặng Thanh Vượng:
Last week was: 13.990,000	</t>
      </text>
    </comment>
    <comment ref="F12" authorId="2" shapeId="0">
      <text>
        <t>Duy Nguyen:
last week was 14,490,000</t>
      </text>
    </comment>
    <comment ref="I12" authorId="0" shapeId="0">
      <text>
        <t>Microsoft Office User:
Last week was
13,515k</t>
      </text>
    </comment>
    <comment ref="B13" authorId="3" shapeId="0">
      <text>
        <t>pc:
Was 12,266,000</t>
      </text>
    </comment>
    <comment ref="D13" authorId="1" shapeId="0">
      <text>
        <t xml:space="preserve">Đặng Thanh Vượng:
Last week was: 11690,000	</t>
      </text>
    </comment>
    <comment ref="F13" authorId="2" shapeId="0">
      <text>
        <t>Duy Nguyen:
last week was 12,190,000</t>
      </text>
    </comment>
    <comment ref="B14" authorId="3" shapeId="0">
      <text>
        <t>pc:
Was 10,187,000</t>
      </text>
    </comment>
    <comment ref="C14" authorId="1" shapeId="0">
      <text>
        <t>Dang Phuong Nam:
Last week was: 10.290.000</t>
      </text>
    </comment>
    <comment ref="D14" authorId="1" shapeId="0">
      <text>
        <t xml:space="preserve">Đặng Thanh Vượng:
Last week was: 9.940,000	</t>
      </text>
    </comment>
    <comment ref="I14" authorId="0" shapeId="0">
      <text>
        <t>Microsoft Office User:
Last week was
9,391k</t>
      </text>
    </comment>
    <comment ref="B15" authorId="3" shapeId="0">
      <text>
        <t>pc:
Was 7,118,000</t>
      </text>
    </comment>
    <comment ref="C15" authorId="1" shapeId="0">
      <text>
        <t>Dang Phuong Nam:
Last week was: 7.190.000</t>
      </text>
    </comment>
    <comment ref="D15" authorId="1" shapeId="0">
      <text>
        <t xml:space="preserve">Đặng Thanh Vượng:
Last week was: 7.040,000	</t>
      </text>
    </comment>
    <comment ref="F15" authorId="2" shapeId="0">
      <text>
        <t>Duy Nguyen:
last week was 6,790,000</t>
      </text>
    </comment>
    <comment ref="I15" authorId="0" shapeId="0">
      <text>
        <t>Microsoft Office User:
Last week was
6,561k</t>
      </text>
    </comment>
    <comment ref="B16" authorId="3" shapeId="0">
      <text>
        <t>pc:
Was 5,930,000</t>
      </text>
    </comment>
    <comment ref="C16" authorId="1" shapeId="0">
      <text>
        <t>Dang Phuong Nam:
Last week was: 5.790.000</t>
      </text>
    </comment>
    <comment ref="D16" authorId="1" shapeId="0">
      <text>
        <t xml:space="preserve">Đặng Thanh Vượng:
Last week was: 5.740,000	</t>
      </text>
    </comment>
    <comment ref="E16" authorId="0" shapeId="0">
      <text>
        <t>Microsoft Office User:
Last week was:
5.690.000đ</t>
      </text>
    </comment>
    <comment ref="F16" authorId="2" shapeId="0">
      <text>
        <t>Duy Nguyen:
last week was 5,690,000</t>
      </text>
    </comment>
    <comment ref="B17" authorId="3" shapeId="0">
      <text>
        <t>pc:
Was 7,217,000</t>
      </text>
    </comment>
    <comment ref="C17" authorId="1" shapeId="0">
      <text>
        <t>Dang Phuong Nam:
Last week was: 7.290.000</t>
      </text>
    </comment>
    <comment ref="D17" authorId="1" shapeId="0">
      <text>
        <t xml:space="preserve">Đặng Thanh Vượng:
Last week was: 7.240,000	</t>
      </text>
    </comment>
    <comment ref="E17" authorId="0" shapeId="0">
      <text>
        <t>Microsoft Office User:
Last week was:
7.190.000đ</t>
      </text>
    </comment>
    <comment ref="B18" authorId="3" shapeId="0">
      <text>
        <t>pc:
Was 6,821,000</t>
      </text>
    </comment>
    <comment ref="D18" authorId="1" shapeId="0">
      <text>
        <t xml:space="preserve">Đặng Thanh Vượng:
Last week was: 6.740,000	</t>
      </text>
    </comment>
    <comment ref="E18" authorId="0" shapeId="0">
      <text>
        <t>Microsoft Office User:
Last week was:
6.590.000đ</t>
      </text>
    </comment>
    <comment ref="F18" authorId="2" shapeId="0">
      <text>
        <t>Duy Nguyen:
last week was 6,490,000</t>
      </text>
    </comment>
    <comment ref="I18" authorId="0" shapeId="0">
      <text>
        <t>Microsoft Office User:
last week was
5,557k</t>
      </text>
    </comment>
    <comment ref="B19" authorId="3" shapeId="0">
      <text>
        <t>pc:
Was 8,009,000</t>
      </text>
    </comment>
    <comment ref="C19" authorId="1" shapeId="0">
      <text>
        <t>Dang Phuong Nam:
Last week was: 8.090.000</t>
      </text>
    </comment>
    <comment ref="D19" authorId="1" shapeId="0">
      <text>
        <t xml:space="preserve">Đặng Thanh Vượng:
Last week was: 7.940,000	</t>
      </text>
    </comment>
    <comment ref="E19" authorId="0" shapeId="0">
      <text>
        <t>Microsoft Office User:
Last week was:
7.990.000đ</t>
      </text>
    </comment>
    <comment ref="F19" authorId="2" shapeId="0">
      <text>
        <t>Duy Nguyen:
last week was 7,990,000</t>
      </text>
    </comment>
    <comment ref="B20" authorId="3" shapeId="0">
      <text>
        <t>pc:
Was 9,593,000</t>
      </text>
    </comment>
    <comment ref="C20" authorId="1" shapeId="0">
      <text>
        <t>Dang Phuong Nam:
Last week was: 9.190.000</t>
      </text>
    </comment>
    <comment ref="D20" authorId="1" shapeId="0">
      <text>
        <t xml:space="preserve">Đặng Thanh Vượng:
Last week was: 9.040,000	</t>
      </text>
    </comment>
    <comment ref="E20" authorId="0" shapeId="0">
      <text>
        <t>Microsoft Office User:
Last week was:
8.690.000đ</t>
      </text>
    </comment>
    <comment ref="F20" authorId="2" shapeId="0">
      <text>
        <t>Duy Nguyen:
last week was 8,490,000</t>
      </text>
    </comment>
    <comment ref="I20" authorId="0" shapeId="0">
      <text>
        <t>Microsoft Office User:
last week was
9,209k</t>
      </text>
    </comment>
    <comment ref="C21" authorId="1" shapeId="0">
      <text>
        <t>Dang Phuong Nam:
Last week was: 12.090.000</t>
      </text>
    </comment>
    <comment ref="D21" authorId="1" shapeId="0">
      <text>
        <t xml:space="preserve">Đặng Thanh Vượng:
Last week was: 11.990,000	</t>
      </text>
    </comment>
    <comment ref="E21" authorId="0" shapeId="0">
      <text>
        <t>Microsoft Office User:
Last week was:
11.690.000đ</t>
      </text>
    </comment>
    <comment ref="F21" authorId="2" shapeId="0">
      <text>
        <t>Duy Nguyen:
last week was 11,790,000</t>
      </text>
    </comment>
    <comment ref="B22" authorId="3" shapeId="0">
      <text>
        <t>pc:
Was 10,490,000</t>
      </text>
    </comment>
    <comment ref="C22" authorId="1" shapeId="0">
      <text>
        <t>Dang Phuong Nam:
Last week was: 10.490.000</t>
      </text>
    </comment>
    <comment ref="D22" authorId="1" shapeId="0">
      <text>
        <t xml:space="preserve">Đặng Thanh Vượng:
Last week was: 10.490,000	</t>
      </text>
    </comment>
    <comment ref="E22" authorId="0" shapeId="0">
      <text>
        <t>Microsoft Office User:
Last week was:
9.890.000đ</t>
      </text>
    </comment>
    <comment ref="C23" authorId="1" shapeId="0">
      <text>
        <t>Dang Phuong Nam:
Last week was: 13.690.000</t>
      </text>
    </comment>
    <comment ref="D23" authorId="1" shapeId="0">
      <text>
        <t xml:space="preserve">Đặng Thanh Vượng:
Last week was: 13.390,000	</t>
      </text>
    </comment>
    <comment ref="E23" authorId="0" shapeId="0">
      <text>
        <t>Microsoft Office User:
Last week was:
12.190.000đ</t>
      </text>
    </comment>
    <comment ref="B24" authorId="3" shapeId="0">
      <text>
        <t>pc:
Was 20,790,000</t>
      </text>
    </comment>
    <comment ref="C24" authorId="1" shapeId="0">
      <text>
        <t>Dang Phuong Nam:
Last week was: 20.990.000</t>
      </text>
    </comment>
    <comment ref="D24" authorId="1" shapeId="0">
      <text>
        <t xml:space="preserve">Đặng Thanh Vượng:
Last week was: 20.890,000	</t>
      </text>
    </comment>
    <comment ref="B25" authorId="3" shapeId="0">
      <text>
        <t>pc:
Was 5,390,000</t>
      </text>
    </comment>
    <comment ref="C25" authorId="1" shapeId="0">
      <text>
        <t>Dang Phuong Nam:
Last week was: 5.590.000</t>
      </text>
    </comment>
    <comment ref="D25" authorId="1" shapeId="0">
      <text>
        <t xml:space="preserve">Đặng Thanh Vượng:
Last week was: 5.540,000	</t>
      </text>
    </comment>
    <comment ref="E25" authorId="0" shapeId="0">
      <text>
        <t>Microsoft Office User:
Last week was:
5.290.000đ</t>
      </text>
    </comment>
    <comment ref="E26" authorId="0" shapeId="0">
      <text>
        <t>Microsoft Office User:
Last week was:
3.790.000đ</t>
      </text>
    </comment>
    <comment ref="B27" authorId="1" shapeId="0">
      <text>
        <t>Dang Phuong Nam:
2.690.000</t>
      </text>
    </comment>
    <comment ref="C27" authorId="1" shapeId="0">
      <text>
        <t>Dang Phuong Nam:
2.690.000</t>
      </text>
    </comment>
    <comment ref="D27" authorId="1" shapeId="0">
      <text>
        <t xml:space="preserve">Đặng Thanh Vượng:
Last week was: 2.690,000	</t>
      </text>
    </comment>
    <comment ref="I27" authorId="0" shapeId="0">
      <text>
        <t>Microsoft Office User:
last week was
2,551k</t>
      </text>
    </comment>
    <comment ref="B28" authorId="3" shapeId="0">
      <text>
        <t>pc:
Was 18,800,000</t>
      </text>
    </comment>
    <comment ref="C28" authorId="1" shapeId="0">
      <text>
        <t>Dang Phuong Nam:
Last week was: 
18.990.000</t>
      </text>
    </comment>
    <comment ref="D28" authorId="1" shapeId="0">
      <text>
        <t xml:space="preserve">Đặng Thanh Vượng:
Last week was: 18.690,000	</t>
      </text>
    </comment>
    <comment ref="F28" authorId="2" shapeId="0">
      <text>
        <t>Duy Nguyen:
last week was 18,490,000</t>
      </text>
    </comment>
    <comment ref="B29" authorId="3" shapeId="0">
      <text>
        <t>pc:
Was 23,790,000</t>
      </text>
    </comment>
    <comment ref="C29" authorId="1" shapeId="0">
      <text>
        <t>Dang Phuong Nam:
Last week was: 23.890.000</t>
      </text>
    </comment>
    <comment ref="D29" authorId="1" shapeId="0">
      <text>
        <t xml:space="preserve">Đặng Thanh Vượng:
Last week was: 23.990,000	</t>
      </text>
    </comment>
    <comment ref="F29" authorId="2" shapeId="0">
      <text>
        <t>Duy Nguyen:
last week was 23,890,000</t>
      </text>
    </comment>
    <comment ref="I29" authorId="0" shapeId="0">
      <text>
        <t>Microsoft Office User:
last week was
23,490k</t>
      </text>
    </comment>
    <comment ref="B30" authorId="3" shapeId="0">
      <text>
        <t>pc:
Was 26,918,000</t>
      </text>
    </comment>
    <comment ref="C30" authorId="1" shapeId="0">
      <text>
        <t>Dang Phuong Nam:
Last week was: 27.190.000</t>
      </text>
    </comment>
    <comment ref="D30" authorId="1" shapeId="0">
      <text>
        <t xml:space="preserve">Đặng Thanh Vượng:
Last week was: 27.190,000	</t>
      </text>
    </comment>
    <comment ref="F30" authorId="2" shapeId="0">
      <text>
        <t>Duy Nguyen:
last week was 26,390,000</t>
      </text>
    </comment>
    <comment ref="B31" authorId="3" shapeId="0">
      <text>
        <t>pc:
Was 31,290,000</t>
      </text>
    </comment>
    <comment ref="C31" authorId="1" shapeId="0">
      <text>
        <t>Dang Phuong Nam:
Last week was: 
31.490.000</t>
      </text>
    </comment>
    <comment ref="D31" authorId="1" shapeId="0">
      <text>
        <t xml:space="preserve">Đặng Thanh Vượng:
Last week was: 31.190,000	</t>
      </text>
    </comment>
    <comment ref="C32" authorId="1" shapeId="0">
      <text>
        <t>Dang Phuong Nam:
Last week was: 38.490.000</t>
      </text>
    </comment>
    <comment ref="D32" authorId="1" shapeId="0">
      <text>
        <t xml:space="preserve">Đặng Thanh Vượng:
Last week was: 38.190,000	</t>
      </text>
    </comment>
    <comment ref="F32" authorId="2" shapeId="0">
      <text>
        <t>Duy Nguyen:
last week was 37,490,000</t>
      </text>
    </comment>
  </commentList>
</comments>
</file>

<file path=xl/comments/comment9.xml><?xml version="1.0" encoding="utf-8"?>
<comments xmlns="http://schemas.openxmlformats.org/spreadsheetml/2006/main">
  <authors>
    <author>chit trang</author>
    <author>Người dùng Khách</author>
    <author>danielnguyen6111998@gmail.com</author>
    <author>Dat's MacBook Pro</author>
    <author>Microsoft Office User</author>
    <author>Việt Hoàng</author>
    <author>Duy</author>
    <author>Tran Dat</author>
  </authors>
  <commentList>
    <comment ref="D3" authorId="0" shapeId="0">
      <text>
        <t>chit trang:
30.890</t>
      </text>
    </comment>
    <comment ref="F3" authorId="1" shapeId="0">
      <text>
        <t>Người dùng Không xác định:
31.990</t>
      </text>
    </comment>
    <comment ref="D4" authorId="1" shapeId="0">
      <text>
        <t>Người dùng Không xác định:
34.990</t>
      </text>
    </comment>
    <comment ref="F4" authorId="2" shapeId="0">
      <text>
        <t>danielnguyen6111998@gmail.com:
34790000</t>
      </text>
    </comment>
    <comment ref="G4" authorId="3" shapeId="0">
      <text>
        <t>Dat's MacBook Pro:
34790</t>
      </text>
    </comment>
    <comment ref="G5" authorId="3" shapeId="0">
      <text>
        <t>Dat's MacBook Pro:
37990</t>
      </text>
    </comment>
    <comment ref="G6" authorId="3" shapeId="0">
      <text>
        <t>Dat's MacBook Pro:
15290</t>
      </text>
    </comment>
    <comment ref="D7" authorId="1" shapeId="0">
      <text>
        <t>Người dùng Không xác định:
21.090</t>
      </text>
    </comment>
    <comment ref="F7" authorId="1" shapeId="0">
      <text>
        <t>Người dùng Không xác định:
20990000</t>
      </text>
    </comment>
    <comment ref="B8" authorId="4" shapeId="0">
      <text>
        <t>was 24640000
VNP150</t>
      </text>
    </comment>
    <comment ref="G8" authorId="3" shapeId="0">
      <text>
        <t>Dat's MacBook Pro:
23.990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5" shapeId="0">
      <text>
        <t>Việt Hoàng:
30.5900</t>
      </text>
    </comment>
    <comment ref="F10" authorId="2" shapeId="0">
      <text>
        <t>danielnguyen6111998@gmail.com:
30390000</t>
      </text>
    </comment>
    <comment ref="G10" authorId="3" shapeId="0">
      <text>
        <t>Dat's MacBook Pro:
30390</t>
      </text>
    </comment>
    <comment ref="D11" authorId="0" shapeId="0">
      <text>
        <t>chit trang:
17.090k</t>
      </text>
    </comment>
    <comment ref="F11" authorId="1" shapeId="0">
      <text>
        <t>Người dùng Không xác định:
16990000</t>
      </text>
    </comment>
    <comment ref="F12" authorId="1" shapeId="0">
      <text>
        <t>Người dùng Không xác định:
18.990</t>
      </text>
    </comment>
    <comment ref="D13" authorId="1" shapeId="0">
      <text>
        <t>Người dùng Không xác định:
13.690</t>
      </text>
    </comment>
    <comment ref="F13" authorId="1" shapeId="0">
      <text>
        <t>Người dùng Không xác định:
13590000</t>
      </text>
    </comment>
    <comment ref="B14" authorId="4" shapeId="0">
      <text>
        <t>was 13190
VNP100</t>
      </text>
    </comment>
    <comment ref="D14" authorId="1" shapeId="0">
      <text>
        <t>Người dùng Không xác định:
12.090</t>
      </text>
    </comment>
    <comment ref="F14" authorId="1" shapeId="0">
      <text>
        <t>Người dùng Không xác định:
12090000</t>
      </text>
    </comment>
    <comment ref="B16" authorId="4" shapeId="0">
      <text>
        <t>was 7040
VNP40</t>
      </text>
    </comment>
    <comment ref="C16" authorId="6" shapeId="0">
      <text>
        <t>W8 8790</t>
      </text>
    </comment>
    <comment ref="D16" authorId="0" shapeId="0">
      <text>
        <t>chit trang:
8.790</t>
      </text>
    </comment>
    <comment ref="E16" authorId="4" shapeId="0">
      <text>
        <t>was 8790
Giả 200K HSSV</t>
      </text>
    </comment>
    <comment ref="F16" authorId="1" shapeId="0">
      <text>
        <t>Người dùng Không xác định:
8.790</t>
      </text>
    </comment>
    <comment ref="G16" authorId="7" shapeId="0">
      <text>
        <t>8990</t>
      </text>
    </comment>
    <comment ref="B17" authorId="4" shapeId="0">
      <text>
        <t>was 14390</t>
      </text>
    </comment>
    <comment ref="C17" authorId="6" shapeId="0">
      <text>
        <t>W8 13490</t>
      </text>
    </comment>
    <comment ref="D17" authorId="1" shapeId="0">
      <text>
        <t>Người dùng Không xác định:
13.690</t>
      </text>
    </comment>
    <comment ref="E17" authorId="4" shapeId="0">
      <text>
        <t>was 13290
hssv 200</t>
      </text>
    </comment>
    <comment ref="F17" authorId="1" shapeId="0">
      <text>
        <t>Người dùng Không xác định:
13690</t>
      </text>
    </comment>
    <comment ref="G17" authorId="7" shapeId="0">
      <text>
        <t>15690</t>
      </text>
    </comment>
    <comment ref="C18" authorId="6" shapeId="0">
      <text>
        <t>W8 19090</t>
      </text>
    </comment>
    <comment ref="G18" authorId="7" shapeId="0">
      <text>
        <t xml:space="preserve">Tran Dat:
19990
</t>
      </text>
    </comment>
    <comment ref="F19" authorId="1" shapeId="0">
      <text>
        <t>Người dùng Không xác định:
27.890</t>
      </text>
    </comment>
    <comment ref="B20" authorId="4" shapeId="0">
      <text>
        <t>was 36640</t>
      </text>
    </comment>
    <comment ref="F20" authorId="1" shapeId="0">
      <text>
        <t>Người dùng Không xác định:
35.890</t>
      </text>
    </comment>
    <comment ref="C23" authorId="6" shapeId="0">
      <text>
        <t>W8 6690</t>
      </text>
    </comment>
    <comment ref="D23" authorId="1" shapeId="0">
      <text>
        <t>Người dùng Không xác định:
6.690</t>
      </text>
    </comment>
    <comment ref="E23" authorId="4" shapeId="0">
      <text>
        <t>was 6690</t>
      </text>
    </comment>
    <comment ref="F23" authorId="1" shapeId="0">
      <text>
        <t>Người dùng Không xác định:
6390000</t>
      </text>
    </comment>
    <comment ref="G23" authorId="7" shapeId="0">
      <text>
        <t>Tran Dat:
6990</t>
      </text>
    </comment>
    <comment ref="D24" authorId="1" shapeId="0">
      <text>
        <t>Người dùng Không xác định:
8.490k</t>
      </text>
    </comment>
    <comment ref="E24" authorId="4" shapeId="0">
      <text>
        <t xml:space="preserve">was 8190
</t>
      </text>
    </comment>
    <comment ref="F24" authorId="2" shapeId="0">
      <text>
        <t>danielnguyen6111998@gmail.com:
8290000</t>
      </text>
    </comment>
    <comment ref="C25" authorId="6" shapeId="0">
      <text>
        <t>W8 7650</t>
      </text>
    </comment>
    <comment ref="D25" authorId="0" shapeId="0">
      <text>
        <t>chit trang:
7.890</t>
      </text>
    </comment>
    <comment ref="E25" authorId="4" shapeId="0">
      <text>
        <t>was 7690</t>
      </text>
    </comment>
    <comment ref="F25" authorId="2" shapeId="0">
      <text>
        <t>danielnguyen6111998@gmail.com:
7390000</t>
      </text>
    </comment>
    <comment ref="G25" authorId="7" shapeId="0">
      <text>
        <t>Tran Dat:
7890</t>
      </text>
    </comment>
    <comment ref="E26" authorId="4" shapeId="0">
      <text>
        <t xml:space="preserve">was 8990
</t>
      </text>
    </comment>
    <comment ref="C27" authorId="6" shapeId="0">
      <text>
        <t>W8 11290</t>
      </text>
    </comment>
    <comment ref="D27" authorId="1" shapeId="0">
      <text>
        <t>Người dùng Không xác định:
11.490</t>
      </text>
    </comment>
    <comment ref="E27" authorId="4" shapeId="0">
      <text>
        <t xml:space="preserve">was 11290
</t>
      </text>
    </comment>
    <comment ref="F27" authorId="2" shapeId="0">
      <text>
        <t>danielnguyen6111998@gmail.com:
10990000</t>
      </text>
    </comment>
    <comment ref="D28" authorId="1" shapeId="0">
      <text>
        <t>Người dùng Không xác định:
14.490</t>
      </text>
    </comment>
    <comment ref="E28" authorId="4" shapeId="0">
      <text>
        <t xml:space="preserve">was 14190
</t>
      </text>
    </comment>
    <comment ref="D29" authorId="1" shapeId="0">
      <text>
        <t>Người dùng Không xác định:
12.390</t>
      </text>
    </comment>
    <comment ref="E29" authorId="4" shapeId="0">
      <text>
        <t xml:space="preserve">was 12190000
</t>
      </text>
    </comment>
    <comment ref="F29" authorId="1" shapeId="0">
      <text>
        <t>11990000</t>
      </text>
    </comment>
    <comment ref="E30" authorId="4" shapeId="0">
      <text>
        <t>was 14990</t>
      </text>
    </comment>
    <comment ref="F30" authorId="2" shapeId="0">
      <text>
        <t>danielnguyen6111998@gmail.com:
15349000</t>
      </text>
    </comment>
    <comment ref="D31" authorId="0" shapeId="0">
      <text>
        <t>chit trang:
23.790k</t>
      </text>
    </comment>
    <comment ref="B32" authorId="4" shapeId="0">
      <text>
        <t>was 5550
VNP40</t>
      </text>
    </comment>
    <comment ref="C32" authorId="6" shapeId="0">
      <text>
        <t>W8 5090</t>
      </text>
    </comment>
    <comment ref="D32" authorId="0" shapeId="0">
      <text>
        <t>chit trang:
5.390</t>
      </text>
    </comment>
    <comment ref="F32" authorId="1" shapeId="0">
      <text>
        <t>Người dùng Không xác định:
5090000</t>
      </text>
    </comment>
    <comment ref="B33" authorId="4" shapeId="0">
      <text>
        <t xml:space="preserve">was 4490
</t>
      </text>
    </comment>
    <comment ref="C33" authorId="6" shapeId="0">
      <text>
        <t>W8 4590</t>
      </text>
    </comment>
    <comment ref="E33" authorId="4" shapeId="0">
      <text>
        <t xml:space="preserve">was 4390
</t>
      </text>
    </comment>
    <comment ref="F33" authorId="1" shapeId="0">
      <text>
        <t>Người dùng Không xác định:
3.090</t>
      </text>
    </comment>
    <comment ref="B34" authorId="4" shapeId="0">
      <text>
        <t>was 3190</t>
      </text>
    </comment>
    <comment ref="C34" authorId="6" shapeId="0">
      <text>
        <t>W8 3190</t>
      </text>
    </comment>
    <comment ref="D34" authorId="0" shapeId="0">
      <text>
        <t>chit trang:
3.390</t>
      </text>
    </comment>
    <comment ref="E34" authorId="4" shapeId="0">
      <text>
        <t xml:space="preserve">was 2990
</t>
      </text>
    </comment>
    <comment ref="G34" authorId="3" shapeId="0">
      <text>
        <t>Dat's MacBook Pro:
3390</t>
      </text>
    </comment>
    <comment ref="D35" authorId="1" shapeId="0">
      <text>
        <t>Người dùng Không xác định:
6.790.000</t>
      </text>
    </comment>
    <comment ref="F36" authorId="1" shapeId="0">
      <text>
        <t>Người dùng Không xác định: 19.790</t>
      </text>
    </comment>
    <comment ref="D37" authorId="1" shapeId="0">
      <text>
        <t>Người dùng Không xác định:
25.190k</t>
      </text>
    </comment>
    <comment ref="F37" authorId="1" shapeId="0">
      <text>
        <t>Người dùng Không xác định:
25.190</t>
      </text>
    </comment>
    <comment ref="C38" authorId="6" shapeId="0">
      <text>
        <t>W8 29990</t>
      </text>
    </comment>
    <comment ref="D38" authorId="0" shapeId="0">
      <text>
        <t>chit trang:
29.390</t>
      </text>
    </comment>
    <comment ref="G38" authorId="3" shapeId="0">
      <text>
        <t xml:space="preserve">Dat's MacBook Pro:
29690
</t>
      </text>
    </comment>
  </commentList>
</comments>
</file>

<file path=xl/comments/comment10.xml><?xml version="1.0" encoding="utf-8"?>
<comments xmlns="http://schemas.openxmlformats.org/spreadsheetml/2006/main">
  <authors>
    <author>Microsoft Office User</author>
    <author>Dang Phuong Nam</author>
    <author>Duy Nguyen</author>
    <author>pc</author>
    <author>Nam Khánh</author>
    <author>Windows User</author>
    <author>Administrator</author>
  </authors>
  <commentList>
    <comment ref="B2" authorId="0" shapeId="0">
      <text>
        <t>Microsoft Office User:
last week was 19,493,000</t>
      </text>
    </comment>
    <comment ref="C2" authorId="1" shapeId="0">
      <text>
        <t>Dang Phuong Nam:
Last week was: 19.690.000</t>
      </text>
    </comment>
    <comment ref="D2" authorId="1" shapeId="0">
      <text>
        <t>Đặng Thanh Vượng:
Last week was: 19.590.000</t>
      </text>
    </comment>
    <comment ref="E2" authorId="0" shapeId="0">
      <text>
        <t xml:space="preserve">Microsoft Office User:
Last week was: 18.490.000đ
</t>
      </text>
    </comment>
    <comment ref="F2" authorId="2" shapeId="0">
      <text>
        <t>Duy Nguyen:
last week was 19,290,000</t>
      </text>
    </comment>
    <comment ref="I2" authorId="0" shapeId="0">
      <text>
        <t>Microsoft Office User:
last week was
18,697k</t>
      </text>
    </comment>
    <comment ref="B3" authorId="3" shapeId="0">
      <text>
        <t>pc:
Was 22,190,000</t>
      </text>
    </comment>
    <comment ref="C3" authorId="1" shapeId="0">
      <text>
        <t>Dang Phuong Nam:
Last week was: 
22.390.000</t>
      </text>
    </comment>
    <comment ref="D3" authorId="1" shapeId="0">
      <text>
        <t>Đặng Thanh Vượng:
Last week was: 22.290.000</t>
      </text>
    </comment>
    <comment ref="E3" authorId="0" shapeId="0">
      <text>
        <t>Microsoft Office User:
Last week was: 21.990.000đ</t>
      </text>
    </comment>
    <comment ref="F3" authorId="2" shapeId="0">
      <text>
        <t>Duy Nguyen:
last week was 21,790,000</t>
      </text>
    </comment>
    <comment ref="I3" authorId="0" shapeId="0">
      <text>
        <t>Microsoft Office User:
last week was
21,329k</t>
      </text>
    </comment>
    <comment ref="B4" authorId="0" shapeId="0">
      <text>
        <t>Microsoft Office User:
pc
was 25,690,000</t>
      </text>
    </comment>
    <comment ref="C4" authorId="1" shapeId="0">
      <text>
        <t>Dang Phuong Nam:
Last week was: 25.890.000</t>
      </text>
    </comment>
    <comment ref="D4" authorId="1" shapeId="0">
      <text>
        <t>Đặng Thanh Vượng:
Last week was: 25.590.000</t>
      </text>
    </comment>
    <comment ref="E4" authorId="0" shapeId="0">
      <text>
        <t>Microsoft Office User:
Last week was: 24.490.000đ</t>
      </text>
    </comment>
    <comment ref="F4" authorId="2" shapeId="0">
      <text>
        <t>Duy Nguyen:
last week was 24,690,000</t>
      </text>
    </comment>
    <comment ref="I4" authorId="0" shapeId="0">
      <text>
        <t>Microsoft Office User:
last week was
24,337k</t>
      </text>
    </comment>
    <comment ref="C5" authorId="1" shapeId="0">
      <text>
        <t>Dang Phuong Nam:
Last week was: 29.990.000</t>
      </text>
    </comment>
    <comment ref="D5" authorId="1" shapeId="0">
      <text>
        <t>Đặng Thanh Vượng:
Last week was: 29.690.000</t>
      </text>
    </comment>
    <comment ref="E5" authorId="0" shapeId="0">
      <text>
        <t>Microsoft Office User:
Last week was: 29.990.000đ</t>
      </text>
    </comment>
    <comment ref="F5" authorId="2" shapeId="0">
      <text>
        <t>Duy Nguyen:
last week was 28,990,000</t>
      </text>
    </comment>
    <comment ref="I5" authorId="0" shapeId="0">
      <text>
        <t>Microsoft Office User:
28,493</t>
      </text>
    </comment>
    <comment ref="B6" authorId="3" shapeId="0">
      <text>
        <t>pc:
Was 19,592,000</t>
      </text>
    </comment>
    <comment ref="C6" authorId="1" shapeId="0">
      <text>
        <t>Dang Phuong Nam:
Last week was: 
19.590.000</t>
      </text>
    </comment>
    <comment ref="D6" authorId="1" shapeId="0">
      <text>
        <t>Đặng Thanh Vượng:
Last week was: 19.490.000</t>
      </text>
    </comment>
    <comment ref="F6" authorId="2" shapeId="0">
      <text>
        <t>Duy Nguyen:
last week was 19,190,000</t>
      </text>
    </comment>
    <comment ref="B7" authorId="3" shapeId="0">
      <text>
        <t>pc:
Was 17,513,000</t>
      </text>
    </comment>
    <comment ref="C7" authorId="1" shapeId="0">
      <text>
        <t>Dang Phuong Nam:
Last week was: 17.690.000</t>
      </text>
    </comment>
    <comment ref="D7" authorId="1" shapeId="0">
      <text>
        <t>Đặng Thanh Vượng:
Last week was: 17.590.000</t>
      </text>
    </comment>
    <comment ref="F7" authorId="2" shapeId="0">
      <text>
        <t>Duy Nguyen:
last week was 16,890,000</t>
      </text>
    </comment>
    <comment ref="B8" authorId="3" shapeId="0">
      <text>
        <t>pc:
Was 13,949,000</t>
      </text>
    </comment>
    <comment ref="C8" authorId="1" shapeId="0">
      <text>
        <t>Dang Phuong Nam:
Last week was: 
14.090.000</t>
      </text>
    </comment>
    <comment ref="D8" authorId="1" shapeId="0">
      <text>
        <t>Đặng Thanh Vượng:
Last week was: 13.990.000</t>
      </text>
    </comment>
    <comment ref="E8" authorId="0" shapeId="0">
      <text>
        <t xml:space="preserve">Microsoft Office User:
Last week was: 13.290.000đ
</t>
      </text>
    </comment>
    <comment ref="F8" authorId="2" shapeId="0">
      <text>
        <t>Duy Nguyen:
last week was 13,390,000</t>
      </text>
    </comment>
    <comment ref="G8" authorId="4" shapeId="0">
      <text>
        <t>W11: 13.190.000</t>
      </text>
    </comment>
    <comment ref="I8" authorId="0" shapeId="0">
      <text>
        <t>Microsoft Office User:
last week was
13,057k</t>
      </text>
    </comment>
    <comment ref="B9" authorId="3" shapeId="0">
      <text>
        <t>pc:
Was 11,870,000</t>
      </text>
    </comment>
    <comment ref="D9" authorId="1" shapeId="0">
      <text>
        <t>Đặng Thanh Vượng:
Last week was: 11.990.000</t>
      </text>
    </comment>
    <comment ref="B10" authorId="3" shapeId="0">
      <text>
        <t>pc:
Was 8,504,000</t>
      </text>
    </comment>
    <comment ref="D10" authorId="1" shapeId="0">
      <text>
        <t>Đặng Thanh Vượng:
Last week was: 8.590.000</t>
      </text>
    </comment>
    <comment ref="E10" authorId="0" shapeId="0">
      <text>
        <t>Microsoft Office User:
Last week was: 8.790.000đ</t>
      </text>
    </comment>
    <comment ref="F10" authorId="2" shapeId="0">
      <text>
        <t>Duy Nguyen:
last week was 8,490,000</t>
      </text>
    </comment>
    <comment ref="B12" authorId="3" shapeId="0">
      <text>
        <t>pc:
Was 13,949,000</t>
      </text>
    </comment>
    <comment ref="D12" authorId="1" shapeId="0">
      <text>
        <t xml:space="preserve">Đặng Thanh Vượng:
Last week was: 14.090,000	</t>
      </text>
    </comment>
    <comment ref="F12" authorId="2" shapeId="0">
      <text>
        <t>Duy Nguyen:
last week was 14,790,000</t>
      </text>
    </comment>
    <comment ref="I12" authorId="0" shapeId="0">
      <text>
        <t>Microsoft Office User:
last week was
13,093k</t>
      </text>
    </comment>
    <comment ref="D13" authorId="1" shapeId="0">
      <text>
        <t xml:space="preserve">Đặng Thanh Vượng:
Last week was: 12.790,000	</t>
      </text>
    </comment>
    <comment ref="F13" authorId="2" shapeId="0">
      <text>
        <t>Duy Nguyen:
last week was 12,490,000</t>
      </text>
    </comment>
    <comment ref="B14" authorId="3" shapeId="0">
      <text>
        <t>pc:
Was 9,890,000</t>
      </text>
    </comment>
    <comment ref="C14" authorId="1" shapeId="0">
      <text>
        <t>Dang Phuong Nam:
Last week was: 9.990.000</t>
      </text>
    </comment>
    <comment ref="D14" authorId="1" shapeId="0">
      <text>
        <t xml:space="preserve">Đặng Thanh Vượng:
Last week was: 9.990,000	</t>
      </text>
    </comment>
    <comment ref="E14" authorId="0" shapeId="0">
      <text>
        <t>Microsoft Office User:
Last week was: 9.690.000đ</t>
      </text>
    </comment>
    <comment ref="F14" authorId="2" shapeId="0">
      <text>
        <t>Duy Nguyen:
last week was 9,590,000</t>
      </text>
    </comment>
    <comment ref="I14" authorId="0" shapeId="0">
      <text>
        <t>Microsoft Office User:
last week was
9,948k</t>
      </text>
    </comment>
    <comment ref="B15" authorId="3" shapeId="0">
      <text>
        <t>pc:
Was 7,019,000</t>
      </text>
    </comment>
    <comment ref="C15" authorId="1" shapeId="0">
      <text>
        <t>Dang Phuong Nam:
Last week was: 7.090.000</t>
      </text>
    </comment>
    <comment ref="D15" authorId="1" shapeId="0">
      <text>
        <t xml:space="preserve">Đặng Thanh Vượng:
Last week was: 7.140,000	</t>
      </text>
    </comment>
    <comment ref="E15" authorId="0" shapeId="0">
      <text>
        <t>Microsoft Office User:
Last week was: 6.990.000đ</t>
      </text>
    </comment>
    <comment ref="F15" authorId="2" shapeId="0">
      <text>
        <t>Duy Nguyen:
last week was 6,750,000</t>
      </text>
    </comment>
    <comment ref="B16" authorId="3" shapeId="0">
      <text>
        <t>pc:
Was 6,128,000</t>
      </text>
    </comment>
    <comment ref="D16" authorId="1" shapeId="0">
      <text>
        <t xml:space="preserve">Đặng Thanh Vượng:
Last week was: 5.790,000	</t>
      </text>
    </comment>
    <comment ref="E16" authorId="0" shapeId="0">
      <text>
        <t>Microsoft Office User:
Last week was: 5.990.000đ</t>
      </text>
    </comment>
    <comment ref="F16" authorId="2" shapeId="0">
      <text>
        <t>Duy Nguyen:
last week was 5,790,000</t>
      </text>
    </comment>
    <comment ref="G16" authorId="4" shapeId="0">
      <text>
        <t>W11: 5.690.000</t>
      </text>
    </comment>
    <comment ref="B17" authorId="3" shapeId="0">
      <text>
        <t>pc:
Was 7,415,000</t>
      </text>
    </comment>
    <comment ref="D17" authorId="1" shapeId="0">
      <text>
        <t>Đặng Thanh Vượng:
Last week was: 7.290,000	`</t>
      </text>
    </comment>
    <comment ref="E17" authorId="0" shapeId="0">
      <text>
        <t>Microsoft Office User:
Last week was: 7.490.000đ</t>
      </text>
    </comment>
    <comment ref="F17" authorId="2" shapeId="0">
      <text>
        <t>Duy Nguyen:
last week was 7,190,000</t>
      </text>
    </comment>
    <comment ref="B18" authorId="3" shapeId="0">
      <text>
        <t>pc:
Was 7,019,000</t>
      </text>
    </comment>
    <comment ref="D18" authorId="1" shapeId="0">
      <text>
        <t xml:space="preserve">Đặng Thanh Vượng:
Last week was: 6.790,000	</t>
      </text>
    </comment>
    <comment ref="E18" authorId="0" shapeId="0">
      <text>
        <t>Microsoft Office User:
Last week was: 6.790.000d</t>
      </text>
    </comment>
    <comment ref="F18" authorId="2" shapeId="0">
      <text>
        <t>Duy Nguyen:
last week was 6,690,000</t>
      </text>
    </comment>
    <comment ref="I18" authorId="0" shapeId="0">
      <text>
        <t>Microsoft Office User:
last week was
6,665k</t>
      </text>
    </comment>
    <comment ref="B19" authorId="3" shapeId="0">
      <text>
        <t>pc:
Was 8,207,000</t>
      </text>
    </comment>
    <comment ref="C19" authorId="1" shapeId="0">
      <text>
        <t>Dang Phuong Nam:
Last week was: 7.990.000</t>
      </text>
    </comment>
    <comment ref="D19" authorId="1" shapeId="0">
      <text>
        <t xml:space="preserve">Đặng Thanh Vượng:
Last week was: 7.990,000	</t>
      </text>
    </comment>
    <comment ref="E19" authorId="0" shapeId="0">
      <text>
        <t>Microsoft Office User:
Last week was: 8.190.000đ</t>
      </text>
    </comment>
    <comment ref="F19" authorId="2" shapeId="0">
      <text>
        <t>Duy Nguyen:
last week was 8,090,000</t>
      </text>
    </comment>
    <comment ref="B20" authorId="3" shapeId="0">
      <text>
        <t>pc:
Was 9,692,000</t>
      </text>
    </comment>
    <comment ref="D20" authorId="1" shapeId="0">
      <text>
        <t xml:space="preserve">Đặng Thanh Vượng:
Last week was: 9.090,000	</t>
      </text>
    </comment>
    <comment ref="E20" authorId="0" shapeId="0">
      <text>
        <t>Microsoft Office User:
Last week was: 9.790.000đ</t>
      </text>
    </comment>
    <comment ref="F20" authorId="2" shapeId="0">
      <text>
        <t>Duy Nguyen:
last week was 8,690,000</t>
      </text>
    </comment>
    <comment ref="H20" authorId="5" shapeId="0">
      <text>
        <t xml:space="preserve">Windows User:
8890000
</t>
      </text>
    </comment>
    <comment ref="I20" authorId="0" shapeId="0">
      <text>
        <t>Microsoft Office User:
last week was
8,899k</t>
      </text>
    </comment>
    <comment ref="B21" authorId="3" shapeId="0">
      <text>
        <t>pc:
Was 12,167,000</t>
      </text>
    </comment>
    <comment ref="D21" authorId="1" shapeId="0">
      <text>
        <t xml:space="preserve">Đặng Thanh Vượng:
Last week was: 12.090,000	</t>
      </text>
    </comment>
    <comment ref="E21" authorId="0" shapeId="0">
      <text>
        <t>Microsoft Office User:
Last week was: 12.490.000đ</t>
      </text>
    </comment>
    <comment ref="F21" authorId="2" shapeId="0">
      <text>
        <t>Duy Nguyen:
last week was 11,890,000</t>
      </text>
    </comment>
    <comment ref="B22" authorId="3" shapeId="0">
      <text>
        <t>pc:
Was 10,781,000</t>
      </text>
    </comment>
    <comment ref="C22" authorId="1" shapeId="0">
      <text>
        <t>Dang Phuong Nam:
Last week was: 10.890.000</t>
      </text>
    </comment>
    <comment ref="D22" authorId="1" shapeId="0">
      <text>
        <t xml:space="preserve">Đặng Thanh Vượng:
Last week was: 10.590,000	</t>
      </text>
    </comment>
    <comment ref="E22" authorId="0" shapeId="0">
      <text>
        <t>Microsoft Office User:
Last week was: 10.590.000đ</t>
      </text>
    </comment>
    <comment ref="F22" authorId="2" shapeId="0">
      <text>
        <t>Duy Nguyen:
last week was 10,190,000</t>
      </text>
    </comment>
    <comment ref="C23" authorId="1" shapeId="0">
      <text>
        <t>Dang Phuong Nam:
Last week was: 13.790.000</t>
      </text>
    </comment>
    <comment ref="D23" authorId="1" shapeId="0">
      <text>
        <t xml:space="preserve">Đặng Thanh Vượng:
Last week was: 13.490,000	</t>
      </text>
    </comment>
    <comment ref="E23" authorId="0" shapeId="0">
      <text>
        <t>Microsoft Office User:
Last week was: 13.190.000đ</t>
      </text>
    </comment>
    <comment ref="F23" authorId="2" shapeId="0">
      <text>
        <t>Duy Nguyen:
last week was 12,990,000</t>
      </text>
    </comment>
    <comment ref="B24" authorId="3" shapeId="0">
      <text>
        <t>pc:
Was 21,090,000</t>
      </text>
    </comment>
    <comment ref="C24" authorId="1" shapeId="0">
      <text>
        <t>Dang Phuong Nam:
Last week was: 21.190.000</t>
      </text>
    </comment>
    <comment ref="D24" authorId="1" shapeId="0">
      <text>
        <t xml:space="preserve">Đặng Thanh Vượng:
Last week was: 20.990,000	</t>
      </text>
    </comment>
    <comment ref="F24" authorId="2" shapeId="0">
      <text>
        <t>Duy Nguyen:
last week was 19,990,000</t>
      </text>
    </comment>
    <comment ref="B25" authorId="3" shapeId="0">
      <text>
        <t>pc:
Was 5,435,000</t>
      </text>
    </comment>
    <comment ref="D25" authorId="1" shapeId="0">
      <text>
        <t xml:space="preserve">Đặng Thanh Vượng:
Last week was: 5.690,000	</t>
      </text>
    </comment>
    <comment ref="F25" authorId="2" shapeId="0">
      <text>
        <t>Duy Nguyen:
last week was 5,450,000</t>
      </text>
    </comment>
    <comment ref="G25" authorId="4" shapeId="0">
      <text>
        <t>W11: 5.450.000</t>
      </text>
    </comment>
    <comment ref="F26" authorId="2" shapeId="0">
      <text>
        <t>Duy Nguyen:
last week was 3,850,000</t>
      </text>
    </comment>
    <comment ref="G26" authorId="4" shapeId="0">
      <text>
        <t>W11: 3.790.000</t>
      </text>
    </comment>
    <comment ref="F27" authorId="2" shapeId="0">
      <text>
        <t>Duy Nguyen:
last week was 2,690,000</t>
      </text>
    </comment>
    <comment ref="I27" authorId="0" shapeId="0">
      <text>
        <t>Microsoft Office User:
last week was
2,623k</t>
      </text>
    </comment>
    <comment ref="B28" authorId="3" shapeId="0">
      <text>
        <t>pc:
Was 19,097,000</t>
      </text>
    </comment>
    <comment ref="C28" authorId="1" shapeId="0">
      <text>
        <t>Dang Phuong Nam:
Last week was: 
19.290.000</t>
      </text>
    </comment>
    <comment ref="D28" authorId="1" shapeId="0">
      <text>
        <t xml:space="preserve">Đặng Thanh Vượng:
Last week was: 18.990,000	</t>
      </text>
    </comment>
    <comment ref="F28" authorId="2" shapeId="0">
      <text>
        <t>Duy Nguyen:
last week was 18,690,000</t>
      </text>
    </comment>
    <comment ref="G28" authorId="4" shapeId="0">
      <text>
        <t>W11: 18.190.000</t>
      </text>
    </comment>
    <comment ref="H28" authorId="6" shapeId="0">
      <text>
        <t xml:space="preserve">Administrator:
18190000
</t>
      </text>
    </comment>
    <comment ref="B29" authorId="3" shapeId="0">
      <text>
        <t>pc:
Was 24,190,000</t>
      </text>
    </comment>
    <comment ref="D29" authorId="1" shapeId="0">
      <text>
        <t xml:space="preserve">Đặng Thanh Vượng:
Last week was: 24.390,000	</t>
      </text>
    </comment>
    <comment ref="F29" authorId="2" shapeId="0">
      <text>
        <t>Duy Nguyen:
last week was 24,190,000</t>
      </text>
    </comment>
    <comment ref="B30" authorId="3" shapeId="0">
      <text>
        <t>pc:
Was 27,590,000</t>
      </text>
    </comment>
    <comment ref="C30" authorId="1" shapeId="0">
      <text>
        <t>Dang Phuong Nam:
Last week was: 27.790.000</t>
      </text>
    </comment>
    <comment ref="D30" authorId="1" shapeId="0">
      <text>
        <t xml:space="preserve">Đặng Thanh Vượng:
Last week was: 27.490,000	</t>
      </text>
    </comment>
    <comment ref="F30" authorId="2" shapeId="0">
      <text>
        <t>Duy Nguyen:
last week was 26,290,000</t>
      </text>
    </comment>
    <comment ref="B31" authorId="3" shapeId="0">
      <text>
        <t>pc:
Was 31,490,000</t>
      </text>
    </comment>
    <comment ref="D31" authorId="1" shapeId="0">
      <text>
        <t xml:space="preserve">Đặng Thanh Vượng:
Last week was: 31.490,000	</t>
      </text>
    </comment>
    <comment ref="F31" authorId="2" shapeId="0">
      <text>
        <t>Duy Nguyen:
last week was 30,790,000</t>
      </text>
    </comment>
    <comment ref="C32" authorId="1" shapeId="0">
      <text>
        <t>Dang Phuong Nam:
Last week was: 38.890.000</t>
      </text>
    </comment>
    <comment ref="D32" authorId="1" shapeId="0">
      <text>
        <t xml:space="preserve">Đặng Thanh Vượng:
Last week was: 38.490,000	</t>
      </text>
    </comment>
    <comment ref="F32" authorId="2" shapeId="0">
      <text>
        <t>Duy Nguyen:
last week was 37,690,000</t>
      </text>
    </comment>
  </commentList>
</comments>
</file>

<file path=xl/comments/comment11.xml><?xml version="1.0" encoding="utf-8"?>
<comments xmlns="http://schemas.openxmlformats.org/spreadsheetml/2006/main">
  <authors>
    <author>Microsoft Office User</author>
    <author>Dang Phuong Nam</author>
    <author>Duy Nguyen</author>
    <author>pc</author>
    <author>Nam Khánh</author>
    <author>Windows User</author>
  </authors>
  <commentList>
    <comment ref="B2" authorId="0" shapeId="0">
      <text>
        <t>Microsoft Office User:
last week was 19,590,000</t>
      </text>
    </comment>
    <comment ref="C2" authorId="1" shapeId="0">
      <text>
        <t>Dang Phuong Nam:
Last week was: 19.590.000</t>
      </text>
    </comment>
    <comment ref="D2" authorId="1" shapeId="0">
      <text>
        <t>Đặng Thanh Vượng:
Last week was: 19.490.000</t>
      </text>
    </comment>
    <comment ref="F2" authorId="2" shapeId="0">
      <text>
        <t>Duy Nguyen:
last week was 18,890,000</t>
      </text>
    </comment>
    <comment ref="I2" authorId="0" shapeId="0">
      <text>
        <t>Microsoft Office User:
last week was 
21,610k</t>
      </text>
    </comment>
    <comment ref="B3" authorId="3" shapeId="0">
      <text>
        <t>pc:
Was 22,590,000</t>
      </text>
    </comment>
    <comment ref="C3" authorId="1" shapeId="0">
      <text>
        <t>Dang Phuong Nam:
Last week was: 
22.590.000</t>
      </text>
    </comment>
    <comment ref="D3" authorId="1" shapeId="0">
      <text>
        <t>Đặng Thanh Vượng:
Last week was: 22.290.000</t>
      </text>
    </comment>
    <comment ref="E3" authorId="0" shapeId="0">
      <text>
        <t>Microsoft Office User:
Last week was: 21.790.000đ</t>
      </text>
    </comment>
    <comment ref="F3" authorId="2" shapeId="0">
      <text>
        <t>Duy Nguyen:
last week was 21,590,000</t>
      </text>
    </comment>
    <comment ref="B4" authorId="0" shapeId="0">
      <text>
        <t>Microsoft Office User:
pc
was 25,490,000</t>
      </text>
    </comment>
    <comment ref="C4" authorId="1" shapeId="0">
      <text>
        <t>Dang Phuong Nam:
Last week was: 25.490.000</t>
      </text>
    </comment>
    <comment ref="D4" authorId="1" shapeId="0">
      <text>
        <t>Đặng Thanh Vượng:
Last week was: 25.190.000</t>
      </text>
    </comment>
    <comment ref="F4" authorId="2" shapeId="0">
      <text>
        <t>Duy Nguyen:
last week was 24,690,000</t>
      </text>
    </comment>
    <comment ref="I4" authorId="0" shapeId="0">
      <text>
        <t>Microsoft Office User:
last week was 
23,773k</t>
      </text>
    </comment>
    <comment ref="B5" authorId="3" shapeId="0">
      <text>
        <t>pc:
Was 29,790,000</t>
      </text>
    </comment>
    <comment ref="C5" authorId="1" shapeId="0">
      <text>
        <t>Dang Phuong Nam:
Last week was: 29.790.000</t>
      </text>
    </comment>
    <comment ref="D5" authorId="1" shapeId="0">
      <text>
        <t>Đặng Thanh Vượng:
Last week was: 29.590.000</t>
      </text>
    </comment>
    <comment ref="E5" authorId="0" shapeId="0">
      <text>
        <t>Microsoft Office User:
Last week was: 28.790.000đ</t>
      </text>
    </comment>
    <comment ref="F5" authorId="2" shapeId="0">
      <text>
        <t>Duy Nguyen:
last week was 29,090,000</t>
      </text>
    </comment>
    <comment ref="G5" authorId="4" shapeId="0">
      <text>
        <t>W12: 28.890.000</t>
      </text>
    </comment>
    <comment ref="I5" authorId="0" shapeId="0">
      <text>
        <t>Microsoft Office User:
last week was 
28,755k</t>
      </text>
    </comment>
    <comment ref="F6" authorId="2" shapeId="0">
      <text>
        <t>Duy Nguyen:
last week was 19,190,000</t>
      </text>
    </comment>
    <comment ref="E7" authorId="0" shapeId="0">
      <text>
        <t>Microsoft Office User:
Last week was: 16.390.000đ</t>
      </text>
    </comment>
    <comment ref="F7" authorId="2" shapeId="0">
      <text>
        <t>Duy Nguyen:
last week was 16,890,000</t>
      </text>
    </comment>
    <comment ref="B8" authorId="3" shapeId="0">
      <text>
        <t>pc:
Was 14,290,000</t>
      </text>
    </comment>
    <comment ref="C8" authorId="1" shapeId="0">
      <text>
        <t>Dang Phuong Nam:
Last week was: 
14.290.000</t>
      </text>
    </comment>
    <comment ref="D8" authorId="1" shapeId="0">
      <text>
        <t>Đặng Thanh Vượng:
Last week was: 13.890.000</t>
      </text>
    </comment>
    <comment ref="E8" authorId="0" shapeId="0">
      <text>
        <t>Microsoft Office User:
Last week was: 13.290.000đ</t>
      </text>
    </comment>
    <comment ref="F8" authorId="2" shapeId="0">
      <text>
        <t>Duy Nguyen:
last week was 13,590,000</t>
      </text>
    </comment>
    <comment ref="I8" authorId="0" shapeId="0">
      <text>
        <t>Microsoft Office User:
last week was
23,490k</t>
      </text>
    </comment>
    <comment ref="F10" authorId="2" shapeId="0">
      <text>
        <t>Duy Nguyen:
last week was 8,490,000</t>
      </text>
    </comment>
    <comment ref="F12" authorId="2" shapeId="0">
      <text>
        <t>Duy Nguyen:
last week was 14,790,000</t>
      </text>
    </comment>
    <comment ref="F13" authorId="2" shapeId="0">
      <text>
        <t>Duy Nguyen:
last week was 12,490,000</t>
      </text>
    </comment>
    <comment ref="F14" authorId="2" shapeId="0">
      <text>
        <t>Duy Nguyen:
last week was 9,590,000</t>
      </text>
    </comment>
    <comment ref="I14" authorId="0" shapeId="0">
      <text>
        <t>Microsoft Office User:
last week was 
10,801k</t>
      </text>
    </comment>
    <comment ref="B15" authorId="3" shapeId="0">
      <text>
        <t>pc:
Was 7,190,000</t>
      </text>
    </comment>
    <comment ref="C15" authorId="1" shapeId="0">
      <text>
        <t>Dang Phuong Nam:
Last week was: 7.190.000</t>
      </text>
    </comment>
    <comment ref="D15" authorId="1" shapeId="0">
      <text>
        <t xml:space="preserve">Đặng Thanh Vượng:
Last week was: 7.040,000	</t>
      </text>
    </comment>
    <comment ref="F15" authorId="2" shapeId="0">
      <text>
        <t>Duy Nguyen:
last week was 6,750,000</t>
      </text>
    </comment>
    <comment ref="G15" authorId="4" shapeId="0">
      <text>
        <t>W12: 6.890.000</t>
      </text>
    </comment>
    <comment ref="I15" authorId="0" shapeId="0">
      <text>
        <t>Microsoft Office User:
last week was 
6,853k</t>
      </text>
    </comment>
    <comment ref="F16" authorId="2" shapeId="0">
      <text>
        <t>Duy Nguyen:
last week was 5,790,000</t>
      </text>
    </comment>
    <comment ref="B17" authorId="3" shapeId="0">
      <text>
        <t>pc:
Was 7,490,000</t>
      </text>
    </comment>
    <comment ref="F17" authorId="2" shapeId="0">
      <text>
        <t>Duy Nguyen:
last week was 7,190,000</t>
      </text>
    </comment>
    <comment ref="F18" authorId="2" shapeId="0">
      <text>
        <t>Duy Nguyen:
last week was 6,690,000</t>
      </text>
    </comment>
    <comment ref="I18" authorId="0" shapeId="0">
      <text>
        <t>Microsoft Office User:
last week was 
7,071k</t>
      </text>
    </comment>
    <comment ref="B19" authorId="3" shapeId="0">
      <text>
        <t>pc:
Was 8,290,000</t>
      </text>
    </comment>
    <comment ref="C19" authorId="1" shapeId="0">
      <text>
        <t>Dang Phuong Nam:
Last week was: 8.290.000</t>
      </text>
    </comment>
    <comment ref="D19" authorId="1" shapeId="0">
      <text>
        <t xml:space="preserve">Đặng Thanh Vượng:
Last week was: 7.590,000	</t>
      </text>
    </comment>
    <comment ref="F19" authorId="2" shapeId="0">
      <text>
        <t>Duy Nguyen:
last week was 8,090,000</t>
      </text>
    </comment>
    <comment ref="B20" authorId="3" shapeId="0">
      <text>
        <t>pc:
Was 9,790,000</t>
      </text>
    </comment>
    <comment ref="F20" authorId="2" shapeId="0">
      <text>
        <t>Duy Nguyen:
last week was 8,690,000</t>
      </text>
    </comment>
    <comment ref="H20" authorId="5" shapeId="0">
      <text>
        <t xml:space="preserve">Windows User:
8890000
</t>
      </text>
    </comment>
    <comment ref="I20" authorId="0" shapeId="0">
      <text>
        <t>Microsoft Office User:
last week was 
9,467k</t>
      </text>
    </comment>
    <comment ref="F21" authorId="2" shapeId="0">
      <text>
        <t>Duy Nguyen:
last week was 11,890,000</t>
      </text>
    </comment>
    <comment ref="G21" authorId="4" shapeId="0">
      <text>
        <t>W12: 11.890.000</t>
      </text>
    </comment>
    <comment ref="F22" authorId="2" shapeId="0">
      <text>
        <t>Duy Nguyen:
last week was 9,990,000</t>
      </text>
    </comment>
    <comment ref="F23" authorId="2" shapeId="0">
      <text>
        <t>Duy Nguyen:
last week was 12,990,000</t>
      </text>
    </comment>
    <comment ref="C24" authorId="1" shapeId="0">
      <text>
        <t>Dang Phuong Nam:
Last week was: 21.290.000</t>
      </text>
    </comment>
    <comment ref="F24" authorId="2" shapeId="0">
      <text>
        <t>Duy Nguyen:
last week was 19,990,000</t>
      </text>
    </comment>
    <comment ref="F25" authorId="2" shapeId="0">
      <text>
        <t>Duy Nguyen:
last week was 5,450,000</t>
      </text>
    </comment>
    <comment ref="F26" authorId="2" shapeId="0">
      <text>
        <t>Duy Nguyen:
last week was 3,890,000</t>
      </text>
    </comment>
    <comment ref="F27" authorId="2" shapeId="0">
      <text>
        <t>Duy Nguyen:
last week was 2,690,000</t>
      </text>
    </comment>
    <comment ref="I27" authorId="0" shapeId="0">
      <text>
        <t>Microsoft Office User:
last week was 
2,790k</t>
      </text>
    </comment>
    <comment ref="F28" authorId="2" shapeId="0">
      <text>
        <t>Duy Nguyen:
last week was 18,690,000</t>
      </text>
    </comment>
    <comment ref="I28" authorId="0" shapeId="0">
      <text>
        <t>Microsoft Office User:
last week was 
27,251k</t>
      </text>
    </comment>
    <comment ref="F29" authorId="2" shapeId="0">
      <text>
        <t>Duy Nguyen:
last week was 24,090,000</t>
      </text>
    </comment>
    <comment ref="I29" authorId="0" shapeId="0">
      <text>
        <t>Microsoft Office User:
last week was 
23,276k</t>
      </text>
    </comment>
    <comment ref="F30" authorId="2" shapeId="0">
      <text>
        <t>Duy Nguyen:
last week was 26,490,000</t>
      </text>
    </comment>
    <comment ref="F31" authorId="2" shapeId="0">
      <text>
        <t>Duy Nguyen:
last week was 31,290,000</t>
      </text>
    </comment>
    <comment ref="F32" authorId="2" shapeId="0">
      <text>
        <t>Duy Nguyen:
last week was 37,590,000</t>
      </text>
    </comment>
  </commentList>
</comments>
</file>

<file path=xl/comments/comment12.xml><?xml version="1.0" encoding="utf-8"?>
<comments xmlns="http://schemas.openxmlformats.org/spreadsheetml/2006/main">
  <authors>
    <author>Microsoft Office User</author>
    <author>Dang Phuong Nam</author>
    <author>Duy Nguyen</author>
    <author>Nam Khánh</author>
    <author>Sơn Nguyễn</author>
    <author>pc</author>
    <author>Windows User</author>
  </authors>
  <commentList>
    <comment ref="B2" authorId="0" shapeId="0">
      <text>
        <t>Microsoft Office User:
last week was 19,190,000</t>
      </text>
    </comment>
    <comment ref="C2" authorId="1" shapeId="0">
      <text>
        <t>Dang Phuong Nam:
Last week was: 19.190.000</t>
      </text>
    </comment>
    <comment ref="D2" authorId="1" shapeId="0">
      <text>
        <t>Đặng Thanh Vượng:
Last week was: 19.190.000</t>
      </text>
    </comment>
    <comment ref="E2" authorId="0" shapeId="0">
      <text>
        <t>Microsoft Office User:
Last week was: 18.490.000đ</t>
      </text>
    </comment>
    <comment ref="F2" authorId="2" shapeId="0">
      <text>
        <t>Duy Nguyen:
last week was 18,690,000</t>
      </text>
    </comment>
    <comment ref="G2" authorId="3" shapeId="0">
      <text>
        <t>W13Q3: 18.690.000</t>
      </text>
    </comment>
    <comment ref="H2" authorId="4" shapeId="0">
      <text>
        <t xml:space="preserve">Sơn Nguyễn:
18740000
</t>
      </text>
    </comment>
    <comment ref="I2" authorId="0" shapeId="0">
      <text>
        <t>Microsoft Office User:
last week was 
21,610k</t>
      </text>
    </comment>
    <comment ref="B3" authorId="5" shapeId="0">
      <text>
        <t>pc:
Was 22,390,000</t>
      </text>
    </comment>
    <comment ref="C3" authorId="1" shapeId="0">
      <text>
        <t>Dang Phuong Nam:
Last week was: 
22.390.000</t>
      </text>
    </comment>
    <comment ref="D3" authorId="1" shapeId="0">
      <text>
        <t>Đặng Thanh Vượng:
Last week was: 22.090.000</t>
      </text>
    </comment>
    <comment ref="F3" authorId="2" shapeId="0">
      <text>
        <t>Duy Nguyen:
last week was 21,590,000</t>
      </text>
    </comment>
    <comment ref="G3" authorId="3" shapeId="0">
      <text>
        <t>W13Q3: 21.790.000</t>
      </text>
    </comment>
    <comment ref="H3" authorId="6" shapeId="0">
      <text>
        <t>Windows User:
21940000</t>
      </text>
    </comment>
    <comment ref="B4" authorId="0" shapeId="0">
      <text>
        <t>Microsoft Office User:
pc
was 24,990,000</t>
      </text>
    </comment>
    <comment ref="C4" authorId="1" shapeId="0">
      <text>
        <t>Dang Phuong Nam:
Last week was: 25.190.000</t>
      </text>
    </comment>
    <comment ref="D4" authorId="1" shapeId="0">
      <text>
        <t>Đặng Thanh Vượng:
Last week was: 24.890.000</t>
      </text>
    </comment>
    <comment ref="F4" authorId="2" shapeId="0">
      <text>
        <t>Duy Nguyen:
last week was 24,490,000</t>
      </text>
    </comment>
    <comment ref="G4" authorId="3" shapeId="0">
      <text>
        <t>W13Q3: 24.090.000</t>
      </text>
    </comment>
    <comment ref="H4" authorId="4" shapeId="0">
      <text>
        <t>Sơn Nguyễn:
24290000</t>
      </text>
    </comment>
    <comment ref="I4" authorId="0" shapeId="0">
      <text>
        <t>Microsoft Office User:
last week was 
23,773k</t>
      </text>
    </comment>
    <comment ref="B5" authorId="5" shapeId="0">
      <text>
        <t>pc:
Was 29,390,000</t>
      </text>
    </comment>
    <comment ref="C5" authorId="1" shapeId="0">
      <text>
        <t>Dang Phuong Nam:
Last week was: 29.390.000</t>
      </text>
    </comment>
    <comment ref="F5" authorId="2" shapeId="0">
      <text>
        <t>Duy Nguyen:
last week was 28,890,000</t>
      </text>
    </comment>
    <comment ref="G5" authorId="3" shapeId="0">
      <text>
        <t>W13Q3: 28.790.000</t>
      </text>
    </comment>
    <comment ref="H5" authorId="4" shapeId="0">
      <text>
        <t xml:space="preserve">Sơn Nguyễn:
28890000
</t>
      </text>
    </comment>
    <comment ref="I5" authorId="0" shapeId="0">
      <text>
        <t>Microsoft Office User:
last week was 
28,755k</t>
      </text>
    </comment>
    <comment ref="C6" authorId="1" shapeId="0">
      <text>
        <t>Dang Phuong Nam:
Last week was: 19.690.000</t>
      </text>
    </comment>
    <comment ref="D6" authorId="1" shapeId="0">
      <text>
        <t>Đặng Thanh Vượng:
Last week was: 19.390.000</t>
      </text>
    </comment>
    <comment ref="E6" authorId="0" shapeId="0">
      <text>
        <t>Microsoft Office User:
Last week was:
19.490.000đ</t>
      </text>
    </comment>
    <comment ref="F6" authorId="2" shapeId="0">
      <text>
        <t>Duy Nguyen:
last week was 19,190,000</t>
      </text>
    </comment>
    <comment ref="G6" authorId="3" shapeId="0">
      <text>
        <t xml:space="preserve">W13Q3: 18.990.000
</t>
      </text>
    </comment>
    <comment ref="E7" authorId="0" shapeId="0">
      <text>
        <t>Microsoft Office User:
Last week was:
17.590.000đ</t>
      </text>
    </comment>
    <comment ref="F7" authorId="2" shapeId="0">
      <text>
        <t>Duy Nguyen:
last week was 16,990,000</t>
      </text>
    </comment>
    <comment ref="G7" authorId="3" shapeId="0">
      <text>
        <t>W13Q3: 16.290.000</t>
      </text>
    </comment>
    <comment ref="H7" authorId="4" shapeId="0">
      <text>
        <t>Sơn Nguyễn:
16290000</t>
      </text>
    </comment>
    <comment ref="B8" authorId="5" shapeId="0">
      <text>
        <t>pc:
Was 13,890,000</t>
      </text>
    </comment>
    <comment ref="C8" authorId="1" shapeId="0">
      <text>
        <t>Dang Phuong Nam:
Last week was: 
13.890.000</t>
      </text>
    </comment>
    <comment ref="D8" authorId="1" shapeId="0">
      <text>
        <t>Đặng Thanh Vượng:
Last week was: 13.590.000</t>
      </text>
    </comment>
    <comment ref="F8" authorId="2" shapeId="0">
      <text>
        <t>Duy Nguyen:
last week was 13,590,000</t>
      </text>
    </comment>
    <comment ref="G8" authorId="3" shapeId="0">
      <text>
        <t>W13Q3: 13.690.000</t>
      </text>
    </comment>
    <comment ref="I8" authorId="0" shapeId="0">
      <text>
        <t>Microsoft Office User:
last week was
23,490k</t>
      </text>
    </comment>
    <comment ref="D9" authorId="1" shapeId="0">
      <text>
        <t>Đặng Thanh Vượng:
Last week was: 11.890.000</t>
      </text>
    </comment>
    <comment ref="F9" authorId="2" shapeId="0">
      <text>
        <t>Duy Nguyen:
last week was OOS</t>
      </text>
    </comment>
    <comment ref="G9" authorId="3" shapeId="0">
      <text>
        <t>W13Q3: 11.790.000</t>
      </text>
    </comment>
    <comment ref="B10" authorId="5" shapeId="0">
      <text>
        <t>pc:
Was 8,590,000</t>
      </text>
    </comment>
    <comment ref="C10" authorId="1" shapeId="0">
      <text>
        <t>Dang Phuong Nam:
Last week was: 8.590.000</t>
      </text>
    </comment>
    <comment ref="D10" authorId="1" shapeId="0">
      <text>
        <t>Đặng Thanh Vượng:
Last week was: 8.540.000</t>
      </text>
    </comment>
    <comment ref="E10" authorId="0" shapeId="0">
      <text>
        <t>Microsoft Office User:
Last week was:
8.590.000đ</t>
      </text>
    </comment>
    <comment ref="F10" authorId="2" shapeId="0">
      <text>
        <t>Duy Nguyen:
last week was 8,490,000</t>
      </text>
    </comment>
    <comment ref="G10" authorId="3" shapeId="0">
      <text>
        <t>W13Q3: 8.390.000</t>
      </text>
    </comment>
    <comment ref="G11" authorId="3" shapeId="0">
      <text>
        <t xml:space="preserve">W13Q3: 19.990.000
</t>
      </text>
    </comment>
    <comment ref="E12" authorId="0" shapeId="0">
      <text>
        <t>Microsoft Office User:
Last week was:
14.290.000đ</t>
      </text>
    </comment>
    <comment ref="F12" authorId="2" shapeId="0">
      <text>
        <t>Duy Nguyen:
last week was 14,590,000</t>
      </text>
    </comment>
    <comment ref="G12" authorId="3" shapeId="0">
      <text>
        <t xml:space="preserve">W13Q3: 13.990.000
</t>
      </text>
    </comment>
    <comment ref="D13" authorId="1" shapeId="0">
      <text>
        <t>Đặng Thanh Vượng:
Last week was: 12.690.000</t>
      </text>
    </comment>
    <comment ref="E13" authorId="0" shapeId="0">
      <text>
        <t>Microsoft Office User:
Last week was:
12.190.000đ</t>
      </text>
    </comment>
    <comment ref="F13" authorId="2" shapeId="0">
      <text>
        <t>Duy Nguyen:
last week was 12,490,000</t>
      </text>
    </comment>
    <comment ref="G13" authorId="3" shapeId="0">
      <text>
        <t xml:space="preserve">W13Q3: 11.690.000
</t>
      </text>
    </comment>
    <comment ref="D14" authorId="1" shapeId="0">
      <text>
        <t xml:space="preserve">Đặng Thanh Vượng:
Last week was: 9.940,000	</t>
      </text>
    </comment>
    <comment ref="E14" authorId="0" shapeId="0">
      <text>
        <t>Microsoft Office User:
Last week was:
9.490.000đ</t>
      </text>
    </comment>
    <comment ref="F14" authorId="2" shapeId="0">
      <text>
        <t>Duy Nguyen:
last week was 9,590,000</t>
      </text>
    </comment>
    <comment ref="G14" authorId="3" shapeId="0">
      <text>
        <t>W13Q3: 9.490.000</t>
      </text>
    </comment>
    <comment ref="I14" authorId="0" shapeId="0">
      <text>
        <t>Microsoft Office User:
last week was 
10,801k</t>
      </text>
    </comment>
    <comment ref="B15" authorId="5" shapeId="0">
      <text>
        <t>pc:
Was 7,090,000</t>
      </text>
    </comment>
    <comment ref="C15" authorId="1" shapeId="0">
      <text>
        <t>Dang Phuong Nam:
Last week was: 7.090.000</t>
      </text>
    </comment>
    <comment ref="D15" authorId="1" shapeId="0">
      <text>
        <t xml:space="preserve">Đặng Thanh Vượng:
Last week was: 7.140,000	</t>
      </text>
    </comment>
    <comment ref="E15" authorId="0" shapeId="0">
      <text>
        <t>Microsoft Office User:
Last week was:
6.790.000đ</t>
      </text>
    </comment>
    <comment ref="F15" authorId="2" shapeId="0">
      <text>
        <t>Duy Nguyen:
last week was 6,790,000</t>
      </text>
    </comment>
    <comment ref="G15" authorId="3" shapeId="0">
      <text>
        <t>W13Q3: 6.850.000</t>
      </text>
    </comment>
    <comment ref="H15" authorId="4" shapeId="0">
      <text>
        <t>Sơn Nguyễn:
6890000</t>
      </text>
    </comment>
    <comment ref="I15" authorId="0" shapeId="0">
      <text>
        <t>Microsoft Office User:
last week was 
6,853k</t>
      </text>
    </comment>
    <comment ref="C20" authorId="1" shapeId="0">
      <text>
        <t>Dang Phuong Nam:
Last week was: 5.990.000</t>
      </text>
    </comment>
    <comment ref="D20" authorId="1" shapeId="0">
      <text>
        <t xml:space="preserve">Đặng Thanh Vượng:
Last week was: 5.740,000	</t>
      </text>
    </comment>
    <comment ref="E20" authorId="0" shapeId="0">
      <text>
        <t>Microsoft Office User:
Last week was:
5.890.000đ</t>
      </text>
    </comment>
    <comment ref="F20" authorId="2" shapeId="0">
      <text>
        <t>Duy Nguyen:
last week was 5,790,000</t>
      </text>
    </comment>
    <comment ref="G20" authorId="3" shapeId="0">
      <text>
        <t>W13Q3: 5.790.000</t>
      </text>
    </comment>
    <comment ref="H20" authorId="4" shapeId="0">
      <text>
        <t>Sơn Nguyễn:
5790000</t>
      </text>
    </comment>
    <comment ref="B21" authorId="5" shapeId="0">
      <text>
        <t>pc:
Was 7,290,000</t>
      </text>
    </comment>
    <comment ref="C21" authorId="1" shapeId="0">
      <text>
        <t>Dang Phuong Nam:
Last week was: 7.490.000</t>
      </text>
    </comment>
    <comment ref="E21" authorId="0" shapeId="0">
      <text>
        <t>Microsoft Office User:
Last week was:
7.390.000đ</t>
      </text>
    </comment>
    <comment ref="F21" authorId="2" shapeId="0">
      <text>
        <t>Duy Nguyen:
last week was 7,190,000</t>
      </text>
    </comment>
    <comment ref="G21" authorId="3" shapeId="0">
      <text>
        <t xml:space="preserve">W13Q3: 7.190.000
</t>
      </text>
    </comment>
    <comment ref="H21" authorId="4" shapeId="0">
      <text>
        <t>Sơn Nguyễn:
7190000</t>
      </text>
    </comment>
    <comment ref="D22" authorId="1" shapeId="0">
      <text>
        <t xml:space="preserve">Đặng Thanh Vượng:
Last week was: 6.740,000	</t>
      </text>
    </comment>
    <comment ref="E22" authorId="0" shapeId="0">
      <text>
        <t>Microsoft Office User:
Last week was:
6.690.000đ</t>
      </text>
    </comment>
    <comment ref="F22" authorId="2" shapeId="0">
      <text>
        <t>Duy Nguyen:
last week was 6,690,000</t>
      </text>
    </comment>
    <comment ref="G22" authorId="3" shapeId="0">
      <text>
        <t xml:space="preserve">W13Q3: 6.590.000
</t>
      </text>
    </comment>
    <comment ref="H22" authorId="4" shapeId="0">
      <text>
        <t xml:space="preserve">Sơn Nguyễn:
6590000
</t>
      </text>
    </comment>
    <comment ref="I22" authorId="0" shapeId="0">
      <text>
        <t>Microsoft Office User:
last week was 
7,071k</t>
      </text>
    </comment>
    <comment ref="B23" authorId="5" shapeId="0">
      <text>
        <t>pc:
Was OOS</t>
      </text>
    </comment>
    <comment ref="D23" authorId="1" shapeId="0">
      <text>
        <t xml:space="preserve">Đặng Thanh Vượng:
Last week was: 7.940,000	</t>
      </text>
    </comment>
    <comment ref="E23" authorId="0" shapeId="0">
      <text>
        <t>Microsoft Office User:
Last week was:
8.090.000đ</t>
      </text>
    </comment>
    <comment ref="F23" authorId="2" shapeId="0">
      <text>
        <t>Duy Nguyen:
last week was 8,090,000</t>
      </text>
    </comment>
    <comment ref="G23" authorId="3" shapeId="0">
      <text>
        <t>W13Q3: 7.890.000</t>
      </text>
    </comment>
    <comment ref="H23" authorId="4" shapeId="0">
      <text>
        <t>Sơn Nguyễn:
7690000</t>
      </text>
    </comment>
    <comment ref="B24" authorId="5" shapeId="0">
      <text>
        <t>pc:
Was 9,890,000</t>
      </text>
    </comment>
    <comment ref="D24" authorId="1" shapeId="0">
      <text>
        <t xml:space="preserve">Đặng Thanh Vượng:
Last week was: 9.440,000	</t>
      </text>
    </comment>
    <comment ref="E24" authorId="0" shapeId="0">
      <text>
        <t>Microsoft Office User:
Last week was:
9.690.000đ</t>
      </text>
    </comment>
    <comment ref="F24" authorId="2" shapeId="0">
      <text>
        <t>Duy Nguyen:
last week was 8,690,000</t>
      </text>
    </comment>
    <comment ref="H24" authorId="6" shapeId="0">
      <text>
        <t xml:space="preserve">Windows User:
8890000
</t>
      </text>
    </comment>
    <comment ref="I24" authorId="0" shapeId="0">
      <text>
        <t>Microsoft Office User:
last week was 
9,467k</t>
      </text>
    </comment>
    <comment ref="B25" authorId="5" shapeId="0">
      <text>
        <t>pc:
Was 12,290,000</t>
      </text>
    </comment>
    <comment ref="C25" authorId="1" shapeId="0">
      <text>
        <t>Dang Phuong Nam:
Last week was: 12.290.000</t>
      </text>
    </comment>
    <comment ref="D25" authorId="1" shapeId="0">
      <text>
        <t xml:space="preserve">Đặng Thanh Vượng:
Last week was: 11.990,000	</t>
      </text>
    </comment>
    <comment ref="E25" authorId="0" shapeId="0">
      <text>
        <t>Microsoft Office User:
Last week was:
12.390.000đ</t>
      </text>
    </comment>
    <comment ref="F25" authorId="2" shapeId="0">
      <text>
        <t>Duy Nguyen:
last week was 11,890,000</t>
      </text>
    </comment>
    <comment ref="G25" authorId="3" shapeId="0">
      <text>
        <t>W13Q3: 10.290.000</t>
      </text>
    </comment>
    <comment ref="H25" authorId="4" shapeId="0">
      <text>
        <t xml:space="preserve">Sơn Nguyễn:
11540000
</t>
      </text>
    </comment>
    <comment ref="C26" authorId="1" shapeId="0">
      <text>
        <t>Dang Phuong Nam:
Last week was: 10.690.000</t>
      </text>
    </comment>
    <comment ref="D26" authorId="1" shapeId="0">
      <text>
        <t xml:space="preserve">Đặng Thanh Vượng:
Last week was: 10.490,000	</t>
      </text>
    </comment>
    <comment ref="E26" authorId="0" shapeId="0">
      <text>
        <t>Microsoft Office User:
Last week was:
10.490.000đ</t>
      </text>
    </comment>
    <comment ref="F26" authorId="2" shapeId="0">
      <text>
        <t>Duy Nguyen:
last week was 9,990,000</t>
      </text>
    </comment>
    <comment ref="G26" authorId="3" shapeId="0">
      <text>
        <t>W13Q3: 9.990.000</t>
      </text>
    </comment>
    <comment ref="H26" authorId="4" shapeId="0">
      <text>
        <t>Sơn Nguyễn:
9940000</t>
      </text>
    </comment>
    <comment ref="B27" authorId="5" shapeId="0">
      <text>
        <t>pc:
Was 13,690,000</t>
      </text>
    </comment>
    <comment ref="C27" authorId="1" shapeId="0">
      <text>
        <t>Dang Phuong Nam:
Last week was: 13.690.000</t>
      </text>
    </comment>
    <comment ref="D27" authorId="1" shapeId="0">
      <text>
        <t xml:space="preserve">Đặng Thanh Vượng:
Last week was: 13.490,000	</t>
      </text>
    </comment>
    <comment ref="E27" authorId="0" shapeId="0">
      <text>
        <t>Microsoft Office User:
Last week was:
13.090.000đ</t>
      </text>
    </comment>
    <comment ref="F27" authorId="2" shapeId="0">
      <text>
        <t>Duy Nguyen:
last week was OOS</t>
      </text>
    </comment>
    <comment ref="G27" authorId="3" shapeId="0">
      <text>
        <t xml:space="preserve">W13Q3: 12.890.000
</t>
      </text>
    </comment>
    <comment ref="H27" authorId="4" shapeId="0">
      <text>
        <t>Sơn Nguyễn:
12640000</t>
      </text>
    </comment>
    <comment ref="C28" authorId="1" shapeId="0">
      <text>
        <t>Dang Phuong Nam:
Last week was: 21.190.000</t>
      </text>
    </comment>
    <comment ref="D28" authorId="1" shapeId="0">
      <text>
        <t xml:space="preserve">Đặng Thanh Vượng:
Last week was: 20.890,000	</t>
      </text>
    </comment>
    <comment ref="E28" authorId="0" shapeId="0">
      <text>
        <t>Microsoft Office User:
Last week was:
19.990.000đ</t>
      </text>
    </comment>
    <comment ref="F28" authorId="2" shapeId="0">
      <text>
        <t>Duy Nguyen:
last week was OOS</t>
      </text>
    </comment>
    <comment ref="G28" authorId="3" shapeId="0">
      <text>
        <t xml:space="preserve">W13Q3: 20.890.000
</t>
      </text>
    </comment>
    <comment ref="C29" authorId="1" shapeId="0">
      <text>
        <t>Dang Phuong Nam:
Last week was: 5.690.000</t>
      </text>
    </comment>
    <comment ref="D29" authorId="1" shapeId="0">
      <text>
        <t xml:space="preserve">Đặng Thanh Vượng:
Last week was: 5.640,000	</t>
      </text>
    </comment>
    <comment ref="E29" authorId="0" shapeId="0">
      <text>
        <t>Microsoft Office User:
Last week was:
5.690.000đ</t>
      </text>
    </comment>
    <comment ref="F29" authorId="2" shapeId="0">
      <text>
        <t>Duy Nguyen:
last week was 5,450,000</t>
      </text>
    </comment>
    <comment ref="G29" authorId="3" shapeId="0">
      <text>
        <t>W13Q3: 5.590.000</t>
      </text>
    </comment>
    <comment ref="H29" authorId="4" shapeId="0">
      <text>
        <t>Sơn Nguyễn:
5450000</t>
      </text>
    </comment>
    <comment ref="I29" authorId="0" shapeId="0">
      <text>
        <t>Microsoft Office User:
last week was 
27,251k</t>
      </text>
    </comment>
    <comment ref="B30" authorId="5" shapeId="0">
      <text>
        <t>pc:
Was 4,090,000</t>
      </text>
    </comment>
    <comment ref="C30" authorId="1" shapeId="0">
      <text>
        <t>Dang Phuong Nam:
Last week was: 4.090.000</t>
      </text>
    </comment>
    <comment ref="D30" authorId="1" shapeId="0">
      <text>
        <t xml:space="preserve">Đặng Thanh Vượng:
Last week was: 4.090,000	</t>
      </text>
    </comment>
    <comment ref="E30" authorId="0" shapeId="0">
      <text>
        <t>Microsoft Office User:
Last week was:
4.090.000đ</t>
      </text>
    </comment>
    <comment ref="F30" authorId="2" shapeId="0">
      <text>
        <t>Duy Nguyen:
last week was 3,890,000</t>
      </text>
    </comment>
    <comment ref="G30" authorId="3" shapeId="0">
      <text>
        <t xml:space="preserve">W13Q3: 3.890.000
</t>
      </text>
    </comment>
    <comment ref="E31" authorId="0" shapeId="0">
      <text>
        <t>Microsoft Office User:
Last week was:
2.690.000đ</t>
      </text>
    </comment>
    <comment ref="F31" authorId="2" shapeId="0">
      <text>
        <t>Duy Nguyen:
last week was 2,690,000</t>
      </text>
    </comment>
    <comment ref="G31" authorId="3" shapeId="0">
      <text>
        <t xml:space="preserve">W13Q3: 2.590.000
</t>
      </text>
    </comment>
    <comment ref="H31" authorId="4" shapeId="0">
      <text>
        <t>Sơn Nguyễn:
2690000</t>
      </text>
    </comment>
    <comment ref="C32" authorId="1" shapeId="0">
      <text>
        <t>Dang Phuong Nam:
Last week was: 19.090.000</t>
      </text>
    </comment>
    <comment ref="F32" authorId="2" shapeId="0">
      <text>
        <t>Duy Nguyen:
last week was 18,590,000</t>
      </text>
    </comment>
    <comment ref="G32" authorId="3" shapeId="0">
      <text>
        <t xml:space="preserve">W13Q3: 18.390.000
</t>
      </text>
    </comment>
    <comment ref="B33" authorId="5" shapeId="0">
      <text>
        <t>pc:
Was 24,390,000</t>
      </text>
    </comment>
    <comment ref="C33" authorId="1" shapeId="0">
      <text>
        <t>Dang Phuong Nam:
Last week was: 24.390.000</t>
      </text>
    </comment>
    <comment ref="D33" authorId="1" shapeId="0">
      <text>
        <t xml:space="preserve">Đặng Thanh Vượng:
Last week was: 24.290,000	</t>
      </text>
    </comment>
    <comment ref="F33" authorId="2" shapeId="0">
      <text>
        <t>Duy Nguyen:
last week was 23,990,000</t>
      </text>
    </comment>
    <comment ref="G33" authorId="3" shapeId="0">
      <text>
        <t xml:space="preserve">W13Q3: 23.990.000
</t>
      </text>
    </comment>
    <comment ref="I33" authorId="0" shapeId="0">
      <text>
        <t>Microsoft Office User:
last week was 
23,276k</t>
      </text>
    </comment>
    <comment ref="D34" authorId="1" shapeId="0">
      <text>
        <t xml:space="preserve">Đặng Thanh Vượng:
Last week was: 27.390,000	</t>
      </text>
    </comment>
    <comment ref="F34" authorId="2" shapeId="0">
      <text>
        <t>Duy Nguyen:
last week was 26,390,000</t>
      </text>
    </comment>
    <comment ref="G34" authorId="3" shapeId="0">
      <text>
        <t xml:space="preserve">W13Q3: 26.890.000
</t>
      </text>
    </comment>
    <comment ref="H34" authorId="4" shapeId="0">
      <text>
        <t>Sơn Nguyễn:
26840000</t>
      </text>
    </comment>
    <comment ref="C35" authorId="1" shapeId="0">
      <text>
        <t>Dang Phuong Nam:
Last week was: 31.690.000</t>
      </text>
    </comment>
    <comment ref="D35" authorId="1" shapeId="0">
      <text>
        <t xml:space="preserve">Đặng Thanh Vượng:
Last week was: 31.190,000	</t>
      </text>
    </comment>
    <comment ref="F35" authorId="2" shapeId="0">
      <text>
        <t>Duy Nguyen:
last week was 31,290,000</t>
      </text>
    </comment>
    <comment ref="G35" authorId="3" shapeId="0">
      <text>
        <t xml:space="preserve">W13Q3: 31.990.000
</t>
      </text>
    </comment>
    <comment ref="H35" authorId="4" shapeId="0">
      <text>
        <t>Sơn Nguyễn:
31490000</t>
      </text>
    </comment>
    <comment ref="C36" authorId="1" shapeId="0">
      <text>
        <t>Dang Phuong Nam:
Last week was: 38.690.000</t>
      </text>
    </comment>
    <comment ref="D36" authorId="1" shapeId="0">
      <text>
        <t xml:space="preserve">Đặng Thanh Vượng:
Last week was: 38.190,000	</t>
      </text>
    </comment>
    <comment ref="F36" authorId="2" shapeId="0">
      <text>
        <t>Duy Nguyen:
last week was 37,590,000</t>
      </text>
    </comment>
    <comment ref="G36" authorId="3" shapeId="0">
      <text>
        <t xml:space="preserve">W13Q3: 36.990.000
</t>
      </text>
    </comment>
    <comment ref="H36" authorId="4" shapeId="0">
      <text>
        <t>Sơn Nguyễn:
37490000</t>
      </text>
    </comment>
  </commentList>
</comments>
</file>

<file path=xl/comments/comment13.xml><?xml version="1.0" encoding="utf-8"?>
<comments xmlns="http://schemas.openxmlformats.org/spreadsheetml/2006/main">
  <authors>
    <author>Dang Phuong Nam</author>
    <author>Duy Nguyen</author>
    <author>Sơn Nguyễn</author>
    <author>Microsoft Office User</author>
    <author>pc</author>
    <author>KHANHVD</author>
    <author>Nam Khánh</author>
  </authors>
  <commentList>
    <comment ref="D2" authorId="0" shapeId="0">
      <text>
        <t>Đặng Thanh Vượng:
Last week was: 19.590.000</t>
      </text>
    </comment>
    <comment ref="F2" authorId="1" shapeId="0">
      <text>
        <t>Duy Nguyen:
last week was 18,290,000</t>
      </text>
    </comment>
    <comment ref="H2" authorId="2" shapeId="0">
      <text>
        <t xml:space="preserve">Sơn Nguyễn:
18890000
</t>
      </text>
    </comment>
    <comment ref="I2" authorId="3" shapeId="0">
      <text>
        <t>Microsoft Office User:
last week was 
21,610k</t>
      </text>
    </comment>
    <comment ref="B3" authorId="4" shapeId="0">
      <text>
        <t>pc:
Was 22,590,000</t>
      </text>
    </comment>
    <comment ref="C3" authorId="0" shapeId="0">
      <text>
        <t>Dang Phuong Nam:
Last week was: 
22.590.000</t>
      </text>
    </comment>
    <comment ref="D3" authorId="0" shapeId="0">
      <text>
        <t>Đặng Thanh Vượng:
Last week was: 22.290.000</t>
      </text>
    </comment>
    <comment ref="F3" authorId="1" shapeId="0">
      <text>
        <t>Duy Nguyen:
last week was 22,190,000</t>
      </text>
    </comment>
    <comment ref="H3" authorId="5" shapeId="0">
      <text>
        <t xml:space="preserve">KHANHVD:
22190000
</t>
      </text>
    </comment>
    <comment ref="B4" authorId="3" shapeId="0">
      <text>
        <t>Microsoft Office User:
pc
was 25,190,000</t>
      </text>
    </comment>
    <comment ref="C4" authorId="0" shapeId="0">
      <text>
        <t>Dang Phuong Nam:
Last week was: 25.290.000</t>
      </text>
    </comment>
    <comment ref="F4" authorId="1" shapeId="0">
      <text>
        <t>Duy Nguyen:
last week was 25,090,000</t>
      </text>
    </comment>
    <comment ref="B5" authorId="4" shapeId="0">
      <text>
        <t>pc:
Was 29,490,000</t>
      </text>
    </comment>
    <comment ref="C5" authorId="0" shapeId="0">
      <text>
        <t>Dang Phuong Nam:
Last week was: 29.490.000</t>
      </text>
    </comment>
    <comment ref="D5" authorId="0" shapeId="0">
      <text>
        <t>Đặng Thanh Vượng:
Last week was: 29.290.000</t>
      </text>
    </comment>
    <comment ref="F5" authorId="1" shapeId="0">
      <text>
        <t>Duy Nguyen:
last week was 29,190,000</t>
      </text>
    </comment>
    <comment ref="I5" authorId="3" shapeId="0">
      <text>
        <t>Microsoft Office User:
last week was 
28,755k</t>
      </text>
    </comment>
    <comment ref="B6" authorId="4" shapeId="0">
      <text>
        <t>pc:
Was 19,890,000</t>
      </text>
    </comment>
    <comment ref="C6" authorId="0" shapeId="0">
      <text>
        <t>Dang Phuong Nam:
Last week was: 19.990.000</t>
      </text>
    </comment>
    <comment ref="F6" authorId="1" shapeId="0">
      <text>
        <t>Duy Nguyen:
last week was 19,590,000</t>
      </text>
    </comment>
    <comment ref="B7" authorId="4" shapeId="0">
      <text>
        <t>pc:
Was 17,790,000</t>
      </text>
    </comment>
    <comment ref="C7" authorId="0" shapeId="0">
      <text>
        <t>Dang Phuong Nam:
Last week was: 17.790.000</t>
      </text>
    </comment>
    <comment ref="D7" authorId="0" shapeId="0">
      <text>
        <t>Đặng Thanh Vượng:
Last week was: 17.490.000</t>
      </text>
    </comment>
    <comment ref="F7" authorId="1" shapeId="0">
      <text>
        <t>Duy Nguyen:
last week was 17,290,000</t>
      </text>
    </comment>
    <comment ref="F8" authorId="1" shapeId="0">
      <text>
        <t>Duy Nguyen:
last week was 13,790,000</t>
      </text>
    </comment>
    <comment ref="G8" authorId="6" shapeId="0">
      <text>
        <t>W1: 13.490.000</t>
      </text>
    </comment>
    <comment ref="I8" authorId="3" shapeId="0">
      <text>
        <t>Microsoft Office User:
last week was
23,490k</t>
      </text>
    </comment>
    <comment ref="B9" authorId="4" shapeId="0">
      <text>
        <t>pc:
Was 11,990,000</t>
      </text>
    </comment>
    <comment ref="C9" authorId="0" shapeId="0">
      <text>
        <t>Dang Phuong Nam:
Last week was: 11.990.000</t>
      </text>
    </comment>
    <comment ref="F9" authorId="1" shapeId="0">
      <text>
        <t>Duy Nguyen:
last week was 11,550,000</t>
      </text>
    </comment>
    <comment ref="B10" authorId="4" shapeId="0">
      <text>
        <t>pc:
Was 8,790,000</t>
      </text>
    </comment>
    <comment ref="C10" authorId="0" shapeId="0">
      <text>
        <t>Dang Phuong Nam:
Last week was: 8.790.000</t>
      </text>
    </comment>
    <comment ref="F10" authorId="1" shapeId="0">
      <text>
        <t>Duy Nguyen:
last week was 8,550,000</t>
      </text>
    </comment>
    <comment ref="H11" authorId="5" shapeId="0">
      <text>
        <t>KHANHVD:
20790000</t>
      </text>
    </comment>
    <comment ref="B12" authorId="4" shapeId="0">
      <text>
        <t>pc:
Was 14,090,000</t>
      </text>
    </comment>
    <comment ref="C12" authorId="0" shapeId="0">
      <text>
        <t>Dang Phuong Nam:
Last week was: 14.090.000</t>
      </text>
    </comment>
    <comment ref="F12" authorId="1" shapeId="0">
      <text>
        <t>Duy Nguyen:
last week was OOS</t>
      </text>
    </comment>
    <comment ref="C13" authorId="0" shapeId="0">
      <text>
        <t>Dang Phuong Nam:
Last week was: 12.390.000</t>
      </text>
    </comment>
    <comment ref="F13" authorId="1" shapeId="0">
      <text>
        <t>Duy Nguyen:
last week was 12,690,000</t>
      </text>
    </comment>
    <comment ref="H13" authorId="5" shapeId="0">
      <text>
        <t xml:space="preserve">KHANHVD:
12190000
</t>
      </text>
    </comment>
    <comment ref="B14" authorId="4" shapeId="0">
      <text>
        <t>pc:
Was 10,290,000</t>
      </text>
    </comment>
    <comment ref="C14" authorId="0" shapeId="0">
      <text>
        <t>Dang Phuong Nam:
Last week was: 10.290.000</t>
      </text>
    </comment>
    <comment ref="F14" authorId="1" shapeId="0">
      <text>
        <t>Duy Nguyen:
last week was 9,690,000</t>
      </text>
    </comment>
    <comment ref="I14" authorId="3" shapeId="0">
      <text>
        <t>Microsoft Office User:
last week was 
10,801k</t>
      </text>
    </comment>
    <comment ref="B15" authorId="4" shapeId="0">
      <text>
        <t>pc:
Was 7,490,000</t>
      </text>
    </comment>
    <comment ref="C15" authorId="0" shapeId="0">
      <text>
        <t>Dang Phuong Nam:
Last week was: 7.490.000</t>
      </text>
    </comment>
    <comment ref="D15" authorId="0" shapeId="0">
      <text>
        <t xml:space="preserve">Đặng Thanh Vượng:
Last week was: 7.290,000	</t>
      </text>
    </comment>
    <comment ref="F15" authorId="1" shapeId="0">
      <text>
        <t>Duy Nguyen:
last week was 7,090,000</t>
      </text>
    </comment>
    <comment ref="H15" authorId="2" shapeId="0">
      <text>
        <t>Sơn Nguyễn:
6990000</t>
      </text>
    </comment>
    <comment ref="I15" authorId="3" shapeId="0">
      <text>
        <t>Microsoft Office User:
last week was 
6,853k</t>
      </text>
    </comment>
    <comment ref="B16" authorId="4" shapeId="0">
      <text>
        <t>pc:
Was OOS</t>
      </text>
    </comment>
    <comment ref="C16" authorId="0" shapeId="0">
      <text>
        <t>Dang Phuong Nam:
Last week was: 16.990.000</t>
      </text>
    </comment>
    <comment ref="B17" authorId="4" shapeId="0">
      <text>
        <t>pc:
Was 22,490,000</t>
      </text>
    </comment>
    <comment ref="C17" authorId="0" shapeId="0">
      <text>
        <t>Dang Phuong Nam:
Last week was: 22.490.000</t>
      </text>
    </comment>
    <comment ref="F17" authorId="1" shapeId="0">
      <text>
        <t>Duy Nguyen:
last week was OOS</t>
      </text>
    </comment>
    <comment ref="B18" authorId="4" shapeId="0">
      <text>
        <t>pc:
Was 28,990,000</t>
      </text>
    </comment>
    <comment ref="C18" authorId="0" shapeId="0">
      <text>
        <t>Dang Phuong Nam:
Last week was: 28.990.000</t>
      </text>
    </comment>
    <comment ref="D18" authorId="0" shapeId="0">
      <text>
        <t xml:space="preserve">Đặng Thanh Vượng:
Last week was: 28.990,000	</t>
      </text>
    </comment>
    <comment ref="H18" authorId="5" shapeId="0">
      <text>
        <t>KHANHVD:
28990000</t>
      </text>
    </comment>
    <comment ref="B19" authorId="4" shapeId="0">
      <text>
        <t>pc:
Was 37,990,000</t>
      </text>
    </comment>
    <comment ref="C19" authorId="0" shapeId="0">
      <text>
        <t>Dang Phuong Nam:
Last week was: 37.990.000</t>
      </text>
    </comment>
    <comment ref="F19" authorId="1" shapeId="0">
      <text>
        <t>Duy Nguyen:
last week was 27,990,000</t>
      </text>
    </comment>
    <comment ref="B20" authorId="4" shapeId="0">
      <text>
        <t>pc:
Was 6,190,000</t>
      </text>
    </comment>
    <comment ref="C20" authorId="0" shapeId="0">
      <text>
        <t>Dang Phuong Nam:
Last week was: 6.190.000</t>
      </text>
    </comment>
    <comment ref="E20" authorId="3" shapeId="0">
      <text>
        <t>Microsoft Office User:
Last week was:
5.930.100đ</t>
      </text>
    </comment>
    <comment ref="F20" authorId="1" shapeId="0">
      <text>
        <t>Duy Nguyen:
last week was 5,890,000</t>
      </text>
    </comment>
    <comment ref="B21" authorId="4" shapeId="0">
      <text>
        <t>pc:
Was OOS</t>
      </text>
    </comment>
    <comment ref="C21" authorId="0" shapeId="0">
      <text>
        <t>Dang Phuong Nam:
Last week was: OOS</t>
      </text>
    </comment>
    <comment ref="E21" authorId="3" shapeId="0">
      <text>
        <t>Microsoft Office User:
Last week was:
7.217.000đ</t>
      </text>
    </comment>
    <comment ref="F21" authorId="1" shapeId="0">
      <text>
        <t>Duy Nguyen:
last week was 7,290,000</t>
      </text>
    </comment>
    <comment ref="B22" authorId="4" shapeId="0">
      <text>
        <t>pc:
Was 7,090,000</t>
      </text>
    </comment>
    <comment ref="C22" authorId="0" shapeId="0">
      <text>
        <t>Dang Phuong Nam:
Last week was: 6.890.000</t>
      </text>
    </comment>
    <comment ref="E22" authorId="3" shapeId="0">
      <text>
        <t>Microsoft Office User:
Last week was:
6.623.100đ</t>
      </text>
    </comment>
    <comment ref="G22" authorId="6" shapeId="0">
      <text>
        <t xml:space="preserve">W1: 6.390.000
</t>
      </text>
    </comment>
    <comment ref="B23" authorId="4" shapeId="0">
      <text>
        <t>pc:
Was 8,290,000</t>
      </text>
    </comment>
    <comment ref="C23" authorId="0" shapeId="0">
      <text>
        <t>Dang Phuong Nam:
Last week was: 8.290.000</t>
      </text>
    </comment>
    <comment ref="D23" authorId="0" shapeId="0">
      <text>
        <t xml:space="preserve">Đặng Thanh Vượng:
Last week was: 7.590,000	</t>
      </text>
    </comment>
    <comment ref="E23" authorId="3" shapeId="0">
      <text>
        <t>Microsoft Office User:
Last week was:
8.009.100đ</t>
      </text>
    </comment>
    <comment ref="H23" authorId="5" shapeId="0">
      <text>
        <t>KHANHVD:
7890000</t>
      </text>
    </comment>
    <comment ref="C24" authorId="0" shapeId="0">
      <text>
        <t>Dang Phuong Nam:
Last week was: 9.890.000</t>
      </text>
    </comment>
    <comment ref="D24" authorId="0" shapeId="0">
      <text>
        <t xml:space="preserve">Đặng Thanh Vượng:
Last week was: 9.590,000	</t>
      </text>
    </comment>
    <comment ref="E24" authorId="3" shapeId="0">
      <text>
        <t>Microsoft Office User:
Last week was:
9.692.100đ</t>
      </text>
    </comment>
    <comment ref="F24" authorId="1" shapeId="0">
      <text>
        <t>Duy Nguyen:
last week was 9,190,000</t>
      </text>
    </comment>
    <comment ref="G24" authorId="6" shapeId="0">
      <text>
        <t>W1: 8.690.000</t>
      </text>
    </comment>
    <comment ref="H24" authorId="5" shapeId="0">
      <text>
        <t>KHANHVD:
9040000</t>
      </text>
    </comment>
    <comment ref="I24" authorId="3" shapeId="0">
      <text>
        <t>Microsoft Office User:
last week was 
9,467k</t>
      </text>
    </comment>
    <comment ref="B25" authorId="4" shapeId="0">
      <text>
        <t>pc:
Was 12,390,000</t>
      </text>
    </comment>
    <comment ref="C25" authorId="0" shapeId="0">
      <text>
        <t>Dang Phuong Nam:
Last week was: OOS</t>
      </text>
    </comment>
    <comment ref="D25" authorId="0" shapeId="0">
      <text>
        <t xml:space="preserve">Đặng Thanh Vượng:
Last week was: 12.390,000	</t>
      </text>
    </comment>
    <comment ref="E25" authorId="3" shapeId="0">
      <text>
        <t>Microsoft Office User:
Last week was:
12.270.000đ</t>
      </text>
    </comment>
    <comment ref="F25" authorId="1" shapeId="0">
      <text>
        <t>Duy Nguyen:
last week was 12,590,000</t>
      </text>
    </comment>
    <comment ref="G25" authorId="6" shapeId="0">
      <text>
        <t>W1: 11.490.000</t>
      </text>
    </comment>
    <comment ref="B26" authorId="4" shapeId="0">
      <text>
        <t>pc:
Was 10,890,000</t>
      </text>
    </comment>
    <comment ref="C26" authorId="0" shapeId="0">
      <text>
        <t>Dang Phuong Nam:
Last week was: 10.890.000</t>
      </text>
    </comment>
    <comment ref="E26" authorId="3" shapeId="0">
      <text>
        <t>Microsoft Office User:
Last week was:
10.385.100đ</t>
      </text>
    </comment>
    <comment ref="G26" authorId="6" shapeId="0">
      <text>
        <t>W1: 9.790.000</t>
      </text>
    </comment>
    <comment ref="H26" authorId="5" shapeId="0">
      <text>
        <t>KHANHVD:
10190000</t>
      </text>
    </comment>
    <comment ref="B27" authorId="4" shapeId="0">
      <text>
        <t>pc:
Was 13,790,000</t>
      </text>
    </comment>
    <comment ref="C27" authorId="0" shapeId="0">
      <text>
        <t>Dang Phuong Nam:
Last week was: 13.790.000</t>
      </text>
    </comment>
    <comment ref="E27" authorId="3" shapeId="0">
      <text>
        <t>Microsoft Office User:
Last week was:
13.070.000đ</t>
      </text>
    </comment>
    <comment ref="G27" authorId="6" shapeId="0">
      <text>
        <t>W1: 12.690.000</t>
      </text>
    </comment>
    <comment ref="B28" authorId="4" shapeId="0">
      <text>
        <t>pc:
Was OOS</t>
      </text>
    </comment>
    <comment ref="C28" authorId="0" shapeId="0">
      <text>
        <t>Dang Phuong Nam:
Last week was: OOS</t>
      </text>
    </comment>
    <comment ref="G28" authorId="6" shapeId="0">
      <text>
        <t>W1: 20.690.000</t>
      </text>
    </comment>
    <comment ref="C29" authorId="0" shapeId="0">
      <text>
        <t>Dang Phuong Nam:
Last week was: 5.790.000</t>
      </text>
    </comment>
    <comment ref="E29" authorId="3" shapeId="0">
      <text>
        <t>Microsoft Office User:
Last week was:
5.663.100đ</t>
      </text>
    </comment>
    <comment ref="I29" authorId="3" shapeId="0">
      <text>
        <t>Microsoft Office User:
last week was 
27,251k</t>
      </text>
    </comment>
    <comment ref="B32" authorId="4" shapeId="0">
      <text>
        <t>pc:
Was 19,090,000</t>
      </text>
    </comment>
    <comment ref="C32" authorId="0" shapeId="0">
      <text>
        <t>Dang Phuong Nam:
Last week was: 18.790.000</t>
      </text>
    </comment>
    <comment ref="D32" authorId="0" shapeId="0">
      <text>
        <t xml:space="preserve">Đặng Thanh Vượng:
Last week was: 18.890,000	</t>
      </text>
    </comment>
    <comment ref="G32" authorId="6" shapeId="0">
      <text>
        <t xml:space="preserve">W1: 18.190.000
</t>
      </text>
    </comment>
    <comment ref="H32" authorId="5" shapeId="0">
      <text>
        <t>KHANHVD:
18390000</t>
      </text>
    </comment>
    <comment ref="B33" authorId="4" shapeId="0">
      <text>
        <t>pc:
Was 24,490,000</t>
      </text>
    </comment>
    <comment ref="C33" authorId="0" shapeId="0">
      <text>
        <t>Dang Phuong Nam:
Last week was: 24.290.000</t>
      </text>
    </comment>
    <comment ref="D33" authorId="0" shapeId="0">
      <text>
        <t xml:space="preserve">Đặng Thanh Vượng:
Last week was: 23.990,000	</t>
      </text>
    </comment>
    <comment ref="G33" authorId="6" shapeId="0">
      <text>
        <t xml:space="preserve">W1: 23.790.000
</t>
      </text>
    </comment>
    <comment ref="I33" authorId="3" shapeId="0">
      <text>
        <t>Microsoft Office User:
last week was 
23,276k</t>
      </text>
    </comment>
    <comment ref="B34" authorId="4" shapeId="0">
      <text>
        <t>pc:
Was 27,690,000</t>
      </text>
    </comment>
    <comment ref="C34" authorId="0" shapeId="0">
      <text>
        <t>Dang Phuong Nam:
Last week was: 27.690.000</t>
      </text>
    </comment>
    <comment ref="D34" authorId="0" shapeId="0">
      <text>
        <t xml:space="preserve">Đặng Thanh Vượng:
Last week was: 27.490,000	</t>
      </text>
    </comment>
    <comment ref="G34" authorId="6" shapeId="0">
      <text>
        <t xml:space="preserve">W1: 26.690.000
</t>
      </text>
    </comment>
    <comment ref="B35" authorId="4" shapeId="0">
      <text>
        <t>pc:
Was 31,690,000</t>
      </text>
    </comment>
    <comment ref="C35" authorId="0" shapeId="0">
      <text>
        <t>Dang Phuong Nam:
Last week was: 31.690.000</t>
      </text>
    </comment>
    <comment ref="G35" authorId="6" shapeId="0">
      <text>
        <t xml:space="preserve">W1: 31.790.000
</t>
      </text>
    </comment>
    <comment ref="B36" authorId="4" shapeId="0">
      <text>
        <t>pc:
Was 38,690,000</t>
      </text>
    </comment>
    <comment ref="C36" authorId="0" shapeId="0">
      <text>
        <t>Dang Phuong Nam:
Last week was: 38.490.000</t>
      </text>
    </comment>
    <comment ref="F36" authorId="1" shapeId="0">
      <text>
        <t>Duy Nguyen:
last week was 38,590,000</t>
      </text>
    </comment>
  </commentList>
</comments>
</file>

<file path=xl/comments/comment14.xml><?xml version="1.0" encoding="utf-8"?>
<comments xmlns="http://schemas.openxmlformats.org/spreadsheetml/2006/main">
  <authors>
    <author>pc</author>
    <author>Dang Phuong Nam</author>
    <author>Microsoft Office User</author>
    <author>Duy Nguyen</author>
    <author>Nam Khánh</author>
    <author>Administrator</author>
  </authors>
  <commentList>
    <comment ref="B2" authorId="0" shapeId="0">
      <text>
        <t>pc:
Was 19,590,000</t>
      </text>
    </comment>
    <comment ref="C2" authorId="1" shapeId="0">
      <text>
        <t>Dang Phuong Nam:
Last week was: 19.590.000</t>
      </text>
    </comment>
    <comment ref="D2" authorId="1" shapeId="0">
      <text>
        <t>Đặng Thanh Vượng:
Last week was: 19.790.000</t>
      </text>
    </comment>
    <comment ref="E2" authorId="2" shapeId="0">
      <text>
        <t>Microsoft Office User:
Last week was:
18.990.000đ</t>
      </text>
    </comment>
    <comment ref="F2" authorId="3" shapeId="0">
      <text>
        <t>Duy Nguyen:
last week was 19,050,000</t>
      </text>
    </comment>
    <comment ref="G2" authorId="4" shapeId="0">
      <text>
        <t>W2: 18.990.000</t>
      </text>
    </comment>
    <comment ref="I2" authorId="2" shapeId="0">
      <text>
        <t>Microsoft Office User:
last week was 
21,610k</t>
      </text>
    </comment>
    <comment ref="B3" authorId="0" shapeId="0">
      <text>
        <t>pc:
Was 22,790,000</t>
      </text>
    </comment>
    <comment ref="C3" authorId="1" shapeId="0">
      <text>
        <t>Dang Phuong Nam:
Last week was: 
22.790.000</t>
      </text>
    </comment>
    <comment ref="D3" authorId="1" shapeId="0">
      <text>
        <t>Đặng Thanh Vượng:
Last week was: 22.590.000</t>
      </text>
    </comment>
    <comment ref="F3" authorId="3" shapeId="0">
      <text>
        <t>Duy Nguyen:
last week was 21,890,000</t>
      </text>
    </comment>
    <comment ref="G3" authorId="4" shapeId="0">
      <text>
        <t>W2: 21.690.000</t>
      </text>
    </comment>
    <comment ref="F4" authorId="3" shapeId="0">
      <text>
        <t>Duy Nguyen:
last week was 24,490,000</t>
      </text>
    </comment>
    <comment ref="D5" authorId="1" shapeId="0">
      <text>
        <t>Đặng Thanh Vượng:
Last week was: 29.390.000</t>
      </text>
    </comment>
    <comment ref="F5" authorId="3" shapeId="0">
      <text>
        <t>Duy Nguyen:
last week was 28,890,000</t>
      </text>
    </comment>
    <comment ref="I5" authorId="2" shapeId="0">
      <text>
        <t>Microsoft Office User:
last week was 
28,755k</t>
      </text>
    </comment>
    <comment ref="F6" authorId="3" shapeId="0">
      <text>
        <t>Duy Nguyen:
last week was 19,690,000</t>
      </text>
    </comment>
    <comment ref="H6" authorId="5" shapeId="0">
      <text>
        <t>Administrator:
18990000</t>
      </text>
    </comment>
    <comment ref="B7" authorId="0" shapeId="0">
      <text>
        <t>pc:
Was 17,490,000</t>
      </text>
    </comment>
    <comment ref="C7" authorId="1" shapeId="0">
      <text>
        <t>Dang Phuong Nam:
Last week was: 17.590.000</t>
      </text>
    </comment>
    <comment ref="D7" authorId="1" shapeId="0">
      <text>
        <t>Đặng Thanh Vượng:
Last week was: 17.590.000</t>
      </text>
    </comment>
    <comment ref="B8" authorId="0" shapeId="0">
      <text>
        <t>pc:
Was 14,090,000</t>
      </text>
    </comment>
    <comment ref="C8" authorId="1" shapeId="0">
      <text>
        <t>Dang Phuong Nam:
Last week was: 14.090.000</t>
      </text>
    </comment>
    <comment ref="D8" authorId="1" shapeId="0">
      <text>
        <t>Đặng Thanh Vượng:
Last week was: 13.990.000</t>
      </text>
    </comment>
    <comment ref="E8" authorId="2" shapeId="0">
      <text>
        <t>Microsoft Office User:
Last week was:
13.490.000đ</t>
      </text>
    </comment>
    <comment ref="I8" authorId="2" shapeId="0">
      <text>
        <t>Microsoft Office User:
last week was
23,490k</t>
      </text>
    </comment>
    <comment ref="D9" authorId="1" shapeId="0">
      <text>
        <t>Đặng Thanh Vượng:
Last week was: 11.990.000</t>
      </text>
    </comment>
    <comment ref="F10" authorId="3" shapeId="0">
      <text>
        <t>Duy Nguyen:
last week was 8,390,000</t>
      </text>
    </comment>
    <comment ref="G10" authorId="4" shapeId="0">
      <text>
        <t>W2: 8.190.000</t>
      </text>
    </comment>
    <comment ref="D12" authorId="1" shapeId="0">
      <text>
        <t xml:space="preserve">Đặng Thanh Vượng:
Last week was: 13.990,000	</t>
      </text>
    </comment>
    <comment ref="D13" authorId="1" shapeId="0">
      <text>
        <t xml:space="preserve">Đặng Thanh Vượng:
Last week was: 12.790,000	</t>
      </text>
    </comment>
    <comment ref="F13" authorId="3" shapeId="0">
      <text>
        <t>Duy Nguyen:
last week was OOS</t>
      </text>
    </comment>
    <comment ref="D14" authorId="1" shapeId="0">
      <text>
        <t xml:space="preserve">Đặng Thanh Vượng:
Last week was: 9.990,000	</t>
      </text>
    </comment>
    <comment ref="F14" authorId="3" shapeId="0">
      <text>
        <t>Duy Nguyen:
last week was 9,750,000</t>
      </text>
    </comment>
    <comment ref="I14" authorId="2" shapeId="0">
      <text>
        <t>Microsoft Office User:
last week was 
10,801k</t>
      </text>
    </comment>
    <comment ref="C15" authorId="1" shapeId="0">
      <text>
        <t>Dang Phuong Nam:
Last week was: 7.440.000</t>
      </text>
    </comment>
    <comment ref="D15" authorId="1" shapeId="0">
      <text>
        <t xml:space="preserve">Đặng Thanh Vượng:
Last week was: 7.390,000	</t>
      </text>
    </comment>
    <comment ref="F15" authorId="3" shapeId="0">
      <text>
        <t>Duy Nguyen:
last week was 7,150,000</t>
      </text>
    </comment>
    <comment ref="D16" authorId="1" shapeId="0">
      <text>
        <t xml:space="preserve">Đặng Thanh Vượng:
Last week was: 16.990,000	</t>
      </text>
    </comment>
    <comment ref="D17" authorId="1" shapeId="0">
      <text>
        <t xml:space="preserve">Đặng Thanh Vượng:
Last week was: 22.490,000	</t>
      </text>
    </comment>
    <comment ref="F17" authorId="3" shapeId="0">
      <text>
        <t>Duy Nguyen:
last week was 16,990,000</t>
      </text>
    </comment>
    <comment ref="D18" authorId="1" shapeId="0">
      <text>
        <t xml:space="preserve">Đặng Thanh Vượng:
Last week was: 28.490,000	</t>
      </text>
    </comment>
    <comment ref="D19" authorId="1" shapeId="0">
      <text>
        <t xml:space="preserve">Đặng Thanh Vượng:
Last week was: 37.990,000	</t>
      </text>
    </comment>
    <comment ref="H19" authorId="5" shapeId="0">
      <text>
        <t xml:space="preserve">Administrator:
37990000
</t>
      </text>
    </comment>
    <comment ref="B20" authorId="0" shapeId="0">
      <text>
        <t>pc:
Was 5,940,000</t>
      </text>
    </comment>
    <comment ref="C20" authorId="1" shapeId="0">
      <text>
        <t>Dang Phuong Nam:
Last week was: 6.140.000</t>
      </text>
    </comment>
    <comment ref="F20" authorId="3" shapeId="0">
      <text>
        <t>Duy Nguyen:
last week was 5,990,000</t>
      </text>
    </comment>
    <comment ref="D22" authorId="1" shapeId="0">
      <text>
        <t xml:space="preserve">Đặng Thanh Vượng:
Last week was: 6.290,000	</t>
      </text>
    </comment>
    <comment ref="C23" authorId="1" shapeId="0">
      <text>
        <t>Dang Phuong Nam:
Last week was: OOS</t>
      </text>
    </comment>
    <comment ref="D23" authorId="1" shapeId="0">
      <text>
        <t xml:space="preserve">Đặng Thanh Vượng:
Last week was: 7.990,000	</t>
      </text>
    </comment>
    <comment ref="B24" authorId="0" shapeId="0">
      <text>
        <t>pc:
Was 9,790,000</t>
      </text>
    </comment>
    <comment ref="D24" authorId="1" shapeId="0">
      <text>
        <t xml:space="preserve">Đặng Thanh Vượng:
Last week was: 9.490,000	</t>
      </text>
    </comment>
    <comment ref="F24" authorId="3" shapeId="0">
      <text>
        <t>Duy Nguyen:
last week was 9,290,000</t>
      </text>
    </comment>
    <comment ref="I24" authorId="2" shapeId="0">
      <text>
        <t>Microsoft Office User:
last week was 
9,467k</t>
      </text>
    </comment>
    <comment ref="C25" authorId="1" shapeId="0">
      <text>
        <t>Dang Phuong Nam:
Last week was: 12.190.000</t>
      </text>
    </comment>
    <comment ref="F25" authorId="3" shapeId="0">
      <text>
        <t>Duy Nguyen:
last week was OOS</t>
      </text>
    </comment>
    <comment ref="C26" authorId="1" shapeId="0">
      <text>
        <t>Dang Phuong Nam:
Last week was: 10.790.000</t>
      </text>
    </comment>
    <comment ref="C27" authorId="1" shapeId="0">
      <text>
        <t>Dang Phuong Nam:
Last week was: 13.690.000</t>
      </text>
    </comment>
    <comment ref="I29" authorId="2" shapeId="0">
      <text>
        <t>Microsoft Office User:
last week was 
27,251k</t>
      </text>
    </comment>
    <comment ref="F31" authorId="3" shapeId="0">
      <text>
        <t>Duy Nguyen:
last week was 2,730,000</t>
      </text>
    </comment>
    <comment ref="G31" authorId="4" shapeId="0">
      <text>
        <t>W2: 2.490.000</t>
      </text>
    </comment>
    <comment ref="B32" authorId="0" shapeId="0">
      <text>
        <t>pc:
Was 18,790,000</t>
      </text>
    </comment>
    <comment ref="C32" authorId="1" shapeId="0">
      <text>
        <t>Dang Phuong Nam:
Last week was: 18.890.000</t>
      </text>
    </comment>
    <comment ref="D32" authorId="1" shapeId="0">
      <text>
        <t xml:space="preserve">Đặng Thanh Vượng:
Last week was: 18.590,000	</t>
      </text>
    </comment>
    <comment ref="B33" authorId="0" shapeId="0">
      <text>
        <t>pc:
Was 23,790,000</t>
      </text>
    </comment>
    <comment ref="C33" authorId="1" shapeId="0">
      <text>
        <t>Dang Phuong Nam:
Last week was: 23.990.000</t>
      </text>
    </comment>
    <comment ref="F33" authorId="3" shapeId="0">
      <text>
        <t>Duy Nguyen:
last week was 23,990,000</t>
      </text>
    </comment>
    <comment ref="H33" authorId="5" shapeId="0">
      <text>
        <t xml:space="preserve">Administrator:
23990000
</t>
      </text>
    </comment>
    <comment ref="I33" authorId="2" shapeId="0">
      <text>
        <t>Microsoft Office User:
last week was 
23,276k</t>
      </text>
    </comment>
    <comment ref="H34" authorId="5" shapeId="0">
      <text>
        <t>Administrator:
27340000</t>
      </text>
    </comment>
    <comment ref="H35" authorId="5" shapeId="0">
      <text>
        <t>Administrator:
31990000</t>
      </text>
    </comment>
    <comment ref="B36" authorId="0" shapeId="0">
      <text>
        <t>pc:
Was 38,490,000</t>
      </text>
    </comment>
  </commentList>
</comments>
</file>

<file path=xl/comments/comment15.xml><?xml version="1.0" encoding="utf-8"?>
<comments xmlns="http://schemas.openxmlformats.org/spreadsheetml/2006/main">
  <authors>
    <author>Dang Phuong Nam</author>
    <author>Microsoft Office User</author>
    <author>Duy Nguyen</author>
    <author>Windows User</author>
    <author>pc</author>
    <author>Administrator</author>
    <author>Nam Khánh</author>
  </authors>
  <commentList>
    <comment ref="D2" authorId="0" shapeId="0">
      <text>
        <t>Đặng Thanh Vượng:
Last week was: 19.890.000</t>
      </text>
    </comment>
    <comment ref="E2" authorId="1" shapeId="0">
      <text>
        <t>Microsoft Office User:
Last week was:
19.290.000đ</t>
      </text>
    </comment>
    <comment ref="F2" authorId="2" shapeId="0">
      <text>
        <t>Duy Nguyen:
last week was 19,190,000</t>
      </text>
    </comment>
    <comment ref="H2" authorId="3" shapeId="0">
      <text>
        <t>Windows User:
19950000</t>
      </text>
    </comment>
    <comment ref="I2" authorId="1" shapeId="0">
      <text>
        <t>Microsoft Office User:
last week was 
21,610k</t>
      </text>
    </comment>
    <comment ref="B3" authorId="4" shapeId="0">
      <text>
        <t>pc:
Was 22,690,000</t>
      </text>
    </comment>
    <comment ref="D3" authorId="0" shapeId="0">
      <text>
        <t>Đặng Thanh Vượng:
Last week was: 22.690.000</t>
      </text>
    </comment>
    <comment ref="E3" authorId="1" shapeId="0">
      <text>
        <t>Microsoft Office User:
Last week was:
21.990.000đ</t>
      </text>
    </comment>
    <comment ref="F3" authorId="2" shapeId="0">
      <text>
        <t>Duy Nguyen:
last week was 22,090,000</t>
      </text>
    </comment>
    <comment ref="H3" authorId="3" shapeId="0">
      <text>
        <t>Windows User:
22550000</t>
      </text>
    </comment>
    <comment ref="B4" authorId="4" shapeId="0">
      <text>
        <t>pc:
Was 24,990,000</t>
      </text>
    </comment>
    <comment ref="F4" authorId="2" shapeId="0">
      <text>
        <t>Duy Nguyen:
last week was 24,390,000</t>
      </text>
    </comment>
    <comment ref="H4" authorId="3" shapeId="0">
      <text>
        <t>Windows User:
24790000</t>
      </text>
    </comment>
    <comment ref="B5" authorId="4" shapeId="0">
      <text>
        <t>pc:
Was 29,190,000</t>
      </text>
    </comment>
    <comment ref="C5" authorId="0" shapeId="0">
      <text>
        <t>Dang Phuong Nam:
Last week was: 29.190.000</t>
      </text>
    </comment>
    <comment ref="D5" authorId="0" shapeId="0">
      <text>
        <t>Đặng Thanh Vượng:
Last week was: 29.290.000</t>
      </text>
    </comment>
    <comment ref="F5" authorId="2" shapeId="0">
      <text>
        <t>Duy Nguyen:
last week was 28,850,000</t>
      </text>
    </comment>
    <comment ref="H5" authorId="3" shapeId="0">
      <text>
        <t>Windows User:
28990000</t>
      </text>
    </comment>
    <comment ref="I5" authorId="1" shapeId="0">
      <text>
        <t>Microsoft Office User:
last week was 
28,755k</t>
      </text>
    </comment>
    <comment ref="B6" authorId="4" shapeId="0">
      <text>
        <t>pc:
Was 19,790,000</t>
      </text>
    </comment>
    <comment ref="C6" authorId="0" shapeId="0">
      <text>
        <t>Dang Phuong Nam:
Last week was: 19.790.000</t>
      </text>
    </comment>
    <comment ref="F6" authorId="2" shapeId="0">
      <text>
        <t>Duy Nguyen:
last week was 19,750,000</t>
      </text>
    </comment>
    <comment ref="D7" authorId="0" shapeId="0">
      <text>
        <t>Đặng Thanh Vượng:
Last week was: 17.590.000</t>
      </text>
    </comment>
    <comment ref="F7" authorId="2" shapeId="0">
      <text>
        <t>Duy Nguyen:
last week was 17,190,000</t>
      </text>
    </comment>
    <comment ref="B8" authorId="4" shapeId="0">
      <text>
        <t>pc:
Was 14,390,000</t>
      </text>
    </comment>
    <comment ref="C8" authorId="0" shapeId="0">
      <text>
        <t>Dang Phuong Nam:
Last week was: 14.390.000</t>
      </text>
    </comment>
    <comment ref="D8" authorId="0" shapeId="0">
      <text>
        <t>Đặng Thanh Vượng:
Last week was: 14.090.000</t>
      </text>
    </comment>
    <comment ref="E8" authorId="1" shapeId="0">
      <text>
        <t>Microsoft Office User:
Last week was:
13.520.000đ</t>
      </text>
    </comment>
    <comment ref="F8" authorId="2" shapeId="0">
      <text>
        <t>Duy Nguyen:
last week was 13,890,000</t>
      </text>
    </comment>
    <comment ref="B9" authorId="4" shapeId="0">
      <text>
        <t>pc:
Was 11,890,000</t>
      </text>
    </comment>
    <comment ref="C9" authorId="0" shapeId="0">
      <text>
        <t>Dang Phuong Nam:
Last week was: 11.890.000</t>
      </text>
    </comment>
    <comment ref="D9" authorId="0" shapeId="0">
      <text>
        <t>Đặng Thanh Vượng:
Last week was: 11.890.000</t>
      </text>
    </comment>
    <comment ref="B10" authorId="4" shapeId="0">
      <text>
        <t>pc:
Was 8,740,000</t>
      </text>
    </comment>
    <comment ref="C10" authorId="0" shapeId="0">
      <text>
        <t>Dang Phuong Nam:
Last week was: 8.740.000</t>
      </text>
    </comment>
    <comment ref="D10" authorId="0" shapeId="0">
      <text>
        <t>Đặng Thanh Vượng:
Last week was: 8.790.000</t>
      </text>
    </comment>
    <comment ref="E10" authorId="1" shapeId="0">
      <text>
        <t>Microsoft Office User:
Last week was:
8.490.000đ</t>
      </text>
    </comment>
    <comment ref="F10" authorId="2" shapeId="0">
      <text>
        <t>Duy Nguyen:
last week was 8,690,000</t>
      </text>
    </comment>
    <comment ref="H11" authorId="3" shapeId="0">
      <text>
        <t>Windows User:
18490000</t>
      </text>
    </comment>
    <comment ref="F12" authorId="2" shapeId="0">
      <text>
        <t>Duy Nguyen:
last week was 14,690,000</t>
      </text>
    </comment>
    <comment ref="C13" authorId="0" shapeId="0">
      <text>
        <t>Dang Phuong Nam:
Last week was: OOS</t>
      </text>
    </comment>
    <comment ref="D14" authorId="0" shapeId="0">
      <text>
        <t xml:space="preserve">Đặng Thanh Vượng:
Last week was: 9.940,000	</t>
      </text>
    </comment>
    <comment ref="F14" authorId="2" shapeId="0">
      <text>
        <t>Duy Nguyen:
last week was 9,650,000</t>
      </text>
    </comment>
    <comment ref="I14" authorId="1" shapeId="0">
      <text>
        <t>Microsoft Office User:
last week was 
10,801k</t>
      </text>
    </comment>
    <comment ref="B15" authorId="4" shapeId="0">
      <text>
        <t>pc:
Was 7,440,000</t>
      </text>
    </comment>
    <comment ref="D15" authorId="0" shapeId="0">
      <text>
        <t xml:space="preserve">Đặng Thanh Vượng:
Last week was: 7.340,000	</t>
      </text>
    </comment>
    <comment ref="F15" authorId="2" shapeId="0">
      <text>
        <t>Duy Nguyen:
last week was 7,090,000</t>
      </text>
    </comment>
    <comment ref="F16" authorId="2" shapeId="0">
      <text>
        <t>Duy Nguyen:
last week was OOS</t>
      </text>
    </comment>
    <comment ref="H16" authorId="3" shapeId="0">
      <text>
        <t>Windows User:
16990000</t>
      </text>
    </comment>
    <comment ref="E17" authorId="1" shapeId="0">
      <text>
        <t>Microsoft Office User:
Last week was:
21.190.000đ</t>
      </text>
    </comment>
    <comment ref="H17" authorId="3" shapeId="0">
      <text>
        <t>Windows User:
21990000</t>
      </text>
    </comment>
    <comment ref="B18" authorId="4" shapeId="0">
      <text>
        <t>pc:
Was 28,790,000</t>
      </text>
    </comment>
    <comment ref="C18" authorId="0" shapeId="0">
      <text>
        <t>Dang Phuong Nam:
Last week was: 28.790.000</t>
      </text>
    </comment>
    <comment ref="D18" authorId="0" shapeId="0">
      <text>
        <t xml:space="preserve">Đặng Thanh Vượng:
Last week was: 28.390,000	</t>
      </text>
    </comment>
    <comment ref="E18" authorId="1" shapeId="0">
      <text>
        <t>Microsoft Office User:
Last week was:
27.690.000đ</t>
      </text>
    </comment>
    <comment ref="F18" authorId="2" shapeId="0">
      <text>
        <t>Duy Nguyen:
last week was 27,790,000</t>
      </text>
    </comment>
    <comment ref="H18" authorId="3" shapeId="0">
      <text>
        <t>Windows User:
27690000</t>
      </text>
    </comment>
    <comment ref="B19" authorId="4" shapeId="0">
      <text>
        <t>pc:
Was 37,790,000</t>
      </text>
    </comment>
    <comment ref="C19" authorId="0" shapeId="0">
      <text>
        <t>Dang Phuong Nam:
Last week was: 37.790.000</t>
      </text>
    </comment>
    <comment ref="H19" authorId="5" shapeId="0">
      <text>
        <t xml:space="preserve">Administrator:
37390000
</t>
      </text>
    </comment>
    <comment ref="E20" authorId="1" shapeId="0">
      <text>
        <t>Microsoft Office User:
Last week was:
5.8310.100đ</t>
      </text>
    </comment>
    <comment ref="F20" authorId="2" shapeId="0">
      <text>
        <t>Duy Nguyen:
last week was 5,950,000</t>
      </text>
    </comment>
    <comment ref="C21" authorId="0" shapeId="0">
      <text>
        <t>Dang Phuong Nam:
Last week was: 7.440.000</t>
      </text>
    </comment>
    <comment ref="E21" authorId="1" shapeId="0">
      <text>
        <t>Microsoft Office User:
Last week was:
7.118.100đ</t>
      </text>
    </comment>
    <comment ref="C22" authorId="0" shapeId="0">
      <text>
        <t>Dang Phuong Nam:
Last week was: 7.040.000</t>
      </text>
    </comment>
    <comment ref="E22" authorId="1" shapeId="0">
      <text>
        <t>Microsoft Office User:
Last week was:
6.524.100đ</t>
      </text>
    </comment>
    <comment ref="E23" authorId="1" shapeId="0">
      <text>
        <t>Microsoft Office User:
Last week was:
7.910.100đ</t>
      </text>
    </comment>
    <comment ref="D24" authorId="0" shapeId="0">
      <text>
        <t xml:space="preserve">Đặng Thanh Vượng:
Last week was: 9.540,000	</t>
      </text>
    </comment>
    <comment ref="F24" authorId="2" shapeId="0">
      <text>
        <t>Duy Nguyen:
last week was 9,490,000</t>
      </text>
    </comment>
    <comment ref="I24" authorId="1" shapeId="0">
      <text>
        <t>Microsoft Office User:
last week was 
9,467k</t>
      </text>
    </comment>
    <comment ref="D25" authorId="0" shapeId="0">
      <text>
        <t xml:space="preserve">Đặng Thanh Vượng:
Last week was: 12.090,000	</t>
      </text>
    </comment>
    <comment ref="F26" authorId="2" shapeId="0">
      <text>
        <t>Duy Nguyen:
last week was 10,390,000</t>
      </text>
    </comment>
    <comment ref="D28" authorId="0" shapeId="0">
      <text>
        <t xml:space="preserve">Đặng Thanh Vượng:
Last week was: 20.890,000	</t>
      </text>
    </comment>
    <comment ref="C29" authorId="0" shapeId="0">
      <text>
        <t>Dang Phuong Nam:
Last week was: 5.740.000</t>
      </text>
    </comment>
    <comment ref="D29" authorId="0" shapeId="0">
      <text>
        <t xml:space="preserve">Đặng Thanh Vượng:
Last week was: 5.640,000	</t>
      </text>
    </comment>
    <comment ref="E29" authorId="1" shapeId="0">
      <text>
        <t>Microsoft Office User:
Last week was:
5.435.100đ</t>
      </text>
    </comment>
    <comment ref="G29" authorId="6" shapeId="0">
      <text>
        <t>W3: 5.390.000</t>
      </text>
    </comment>
    <comment ref="I29" authorId="1" shapeId="0">
      <text>
        <t>Microsoft Office User:
last week was 
27,251k</t>
      </text>
    </comment>
    <comment ref="E30" authorId="1" shapeId="0">
      <text>
        <t>Microsoft Office User:
Last week was:
4.148.100đ</t>
      </text>
    </comment>
    <comment ref="H30" authorId="3" shapeId="0">
      <text>
        <t>Windows User:
3950000</t>
      </text>
    </comment>
    <comment ref="E31" authorId="1" shapeId="0">
      <text>
        <t>Microsoft Office User:
Last week was:
2.890.000đ</t>
      </text>
    </comment>
    <comment ref="G31" authorId="6" shapeId="0">
      <text>
        <t>W3: 2.590.000</t>
      </text>
    </comment>
    <comment ref="H31" authorId="3" shapeId="0">
      <text>
        <t>Windows User:
2790000</t>
      </text>
    </comment>
    <comment ref="C32" authorId="0" shapeId="0">
      <text>
        <t>Dang Phuong Nam:
Last week was: 18.890.000</t>
      </text>
    </comment>
    <comment ref="D32" authorId="0" shapeId="0">
      <text>
        <t xml:space="preserve">Đặng Thanh Vượng:
Last week was: 18.590,000	</t>
      </text>
    </comment>
    <comment ref="G32" authorId="6" shapeId="0">
      <text>
        <t>W3: 18.390.000</t>
      </text>
    </comment>
    <comment ref="H32" authorId="3" shapeId="0">
      <text>
        <t>Windows User:
18590000</t>
      </text>
    </comment>
    <comment ref="B33" authorId="4" shapeId="0">
      <text>
        <t>pc:
Was 23,690,000</t>
      </text>
    </comment>
    <comment ref="C33" authorId="0" shapeId="0">
      <text>
        <t>Dang Phuong Nam:
Last week was: 23.690.000</t>
      </text>
    </comment>
    <comment ref="D33" authorId="0" shapeId="0">
      <text>
        <t xml:space="preserve">Đặng Thanh Vượng:
Last week was: 23.690,000	</t>
      </text>
    </comment>
    <comment ref="F33" authorId="2" shapeId="0">
      <text>
        <t>Duy Nguyen:
last week was 23,850,000</t>
      </text>
    </comment>
    <comment ref="H33" authorId="5" shapeId="0">
      <text>
        <t xml:space="preserve">Administrator:
23690000
</t>
      </text>
    </comment>
    <comment ref="I33" authorId="1" shapeId="0">
      <text>
        <t>Microsoft Office User:
last week was 
23,276k</t>
      </text>
    </comment>
    <comment ref="B34" authorId="4" shapeId="0">
      <text>
        <t>pc:
Was 27,290,000</t>
      </text>
    </comment>
    <comment ref="C34" authorId="0" shapeId="0">
      <text>
        <t>Dang Phuong Nam:
Last week was: 27.290.000</t>
      </text>
    </comment>
    <comment ref="D34" authorId="0" shapeId="0">
      <text>
        <t xml:space="preserve">Đặng Thanh Vượng:
Last week was: 27.090,000	</t>
      </text>
    </comment>
    <comment ref="F34" authorId="2" shapeId="0">
      <text>
        <t>Duy Nguyen:
last week was 27,190,000</t>
      </text>
    </comment>
    <comment ref="H34" authorId="5" shapeId="0">
      <text>
        <t>Administrator:
26890000</t>
      </text>
    </comment>
    <comment ref="B35" authorId="4" shapeId="0">
      <text>
        <t>pc:
Was 31,490,000</t>
      </text>
    </comment>
    <comment ref="C35" authorId="0" shapeId="0">
      <text>
        <t>Dang Phuong Nam:
Last week was: 31.490.000</t>
      </text>
    </comment>
    <comment ref="D35" authorId="0" shapeId="0">
      <text>
        <t xml:space="preserve">Đặng Thanh Vượng:
Last week was: 31.290,000	</t>
      </text>
    </comment>
    <comment ref="H35" authorId="5" shapeId="0">
      <text>
        <t>Administrator:
31390000</t>
      </text>
    </comment>
    <comment ref="B36" authorId="4" shapeId="0">
      <text>
        <t>pc:
Was 38,690,000</t>
      </text>
    </comment>
    <comment ref="C36" authorId="0" shapeId="0">
      <text>
        <t>Dang Phuong Nam:
Last week was: 38.690.000</t>
      </text>
    </comment>
    <comment ref="H36" authorId="3" shapeId="0">
      <text>
        <t>Windows User:
37990000</t>
      </text>
    </comment>
  </commentList>
</comments>
</file>

<file path=xl/comments/comment16.xml><?xml version="1.0" encoding="utf-8"?>
<comments xmlns="http://schemas.openxmlformats.org/spreadsheetml/2006/main">
  <authors>
    <author>Microsoft Office User</author>
    <author>Dang Phuong Nam</author>
    <author>Duy Nguyen</author>
    <author>Windows User</author>
    <author>pc</author>
    <author>Duy</author>
    <author>Sheva Son</author>
    <author>Administrator</author>
    <author>Việt Hoàng</author>
  </authors>
  <commentList>
    <comment ref="B2" authorId="0" shapeId="0">
      <text>
        <t>Microsoft Office User:
was 20,090,000
VNP200</t>
      </text>
    </comment>
    <comment ref="C2" authorId="0" shapeId="0">
      <text>
        <t>Microsoft Office User:
was 20,090,000
VNP200</t>
      </text>
    </comment>
    <comment ref="D2" authorId="1" shapeId="0">
      <text>
        <t>Hoàng Đức Việt
Last week was: 19.990.000</t>
      </text>
    </comment>
    <comment ref="E2" authorId="0" shapeId="0">
      <text>
        <t>Son Nguyen:
Last week was:
19.390.000đ</t>
      </text>
    </comment>
    <comment ref="F2" authorId="2" shapeId="0">
      <text>
        <t>Duy Nguyen:
last week was 19,190,000</t>
      </text>
    </comment>
    <comment ref="G2" authorId="3" shapeId="0">
      <text>
        <t>Windows User:
19950000</t>
      </text>
    </comment>
    <comment ref="B3" authorId="0" shapeId="0">
      <text>
        <t>Microsoft Office User:
was 22,690,000
VNP200</t>
      </text>
    </comment>
    <comment ref="C3" authorId="0" shapeId="0">
      <text>
        <t>Microsoft Office User:
was 22,690,000
VNP200</t>
      </text>
    </comment>
    <comment ref="D3" authorId="1" shapeId="0">
      <text>
        <t>Đặng Thanh Vượng:
Last week was: 22.690.000</t>
      </text>
    </comment>
    <comment ref="E3" authorId="0" shapeId="0">
      <text>
        <t>Son Nguyen:
Last week was:
22.290.000đ</t>
      </text>
    </comment>
    <comment ref="F3" authorId="2" shapeId="0">
      <text>
        <t>Duy Nguyen:
last week was 22,090,000</t>
      </text>
    </comment>
    <comment ref="G3" authorId="3" shapeId="0">
      <text>
        <t>Windows User:
22550000</t>
      </text>
    </comment>
    <comment ref="B4" authorId="4" shapeId="0">
      <text>
        <t>pc:
Was 25,090,000</t>
      </text>
    </comment>
    <comment ref="F4" authorId="2" shapeId="0">
      <text>
        <t>Duy Nguyen:
last week was 24,390,000</t>
      </text>
    </comment>
    <comment ref="G4" authorId="3" shapeId="0">
      <text>
        <t>Windows User:
24790000</t>
      </text>
    </comment>
    <comment ref="B5" authorId="4" shapeId="0">
      <text>
        <t>pc:
Was 29,090,000</t>
      </text>
    </comment>
    <comment ref="C5" authorId="1" shapeId="0">
      <text>
        <t>Dang Phuong Nam:
Last week was: 29,090,000
VNP200</t>
      </text>
    </comment>
    <comment ref="D5" authorId="1" shapeId="0">
      <text>
        <t>Hoàng Đức Việt:
Last week was: 29.190.000</t>
      </text>
    </comment>
    <comment ref="F5" authorId="2" shapeId="0">
      <text>
        <t>Duy Nguyen:
last week was 28,850,000</t>
      </text>
    </comment>
    <comment ref="G5" authorId="3" shapeId="0">
      <text>
        <t>Windows User:
28990000</t>
      </text>
    </comment>
    <comment ref="C6" authorId="1" shapeId="0">
      <text>
        <t>Dang Phuong Nam:
Last week was: 21,190,000
VNP200</t>
      </text>
    </comment>
    <comment ref="F6" authorId="2" shapeId="0">
      <text>
        <t>Duy Nguyen:
last week was 19,750,000</t>
      </text>
    </comment>
    <comment ref="B7" authorId="5" shapeId="0">
      <text>
        <t xml:space="preserve">Was:17.690
</t>
      </text>
    </comment>
    <comment ref="C7" authorId="0" shapeId="0">
      <text>
        <t>Microsoft Office User:
was 17,690,000
VNP200</t>
      </text>
    </comment>
    <comment ref="F7" authorId="2" shapeId="0">
      <text>
        <t>Duy Nguyen:
last week was 17,190,000</t>
      </text>
    </comment>
    <comment ref="B8" authorId="4" shapeId="0">
      <text>
        <t>pc:
Was 14,490,000</t>
      </text>
    </comment>
    <comment ref="C8" authorId="1" shapeId="0">
      <text>
        <t>Dang Phuong Nam:
Last week was: 14.490.000
VNP100K</t>
      </text>
    </comment>
    <comment ref="D8" authorId="1" shapeId="0">
      <text>
        <t>Hoàng Đức Việt:
Last week was: 14.190.000</t>
      </text>
    </comment>
    <comment ref="F8" authorId="2" shapeId="0">
      <text>
        <t>Duy Nguyen:
last week was 13,890,000</t>
      </text>
    </comment>
    <comment ref="B9" authorId="4" shapeId="0">
      <text>
        <t>pc:
Was 11,490,000</t>
      </text>
    </comment>
    <comment ref="E9" authorId="6" shapeId="0">
      <text>
        <t>Sheva Son:
Last Week was: 11.290.000</t>
      </text>
    </comment>
    <comment ref="D10" authorId="1" shapeId="0">
      <text>
        <t>Hoàng Đức Việt:
Last week was: 8.490.000</t>
      </text>
    </comment>
    <comment ref="E10" authorId="1" shapeId="0">
      <text>
        <t>Đặng Thanh Vượng:
Last week was: 8.840.000</t>
      </text>
    </comment>
    <comment ref="F10" authorId="2" shapeId="0">
      <text>
        <t>Duy Nguyen:
last week was 8,690,000</t>
      </text>
    </comment>
    <comment ref="F11" authorId="2" shapeId="0">
      <text>
        <t>Duy Nguyen:
last week was 14,690,000</t>
      </text>
    </comment>
    <comment ref="C12" authorId="1" shapeId="0">
      <text>
        <t>was 12,290,000
VNP100</t>
      </text>
    </comment>
    <comment ref="B13" authorId="5" shapeId="0">
      <text>
        <t>Duy:
10.190.000</t>
      </text>
    </comment>
    <comment ref="D13" authorId="1" shapeId="0">
      <text>
        <t>Hoàng Đức Việt:
Last week was: 9.490.000đ</t>
      </text>
    </comment>
    <comment ref="F13" authorId="2" shapeId="0">
      <text>
        <t>Duy Nguyen:
last week was 9,650,000</t>
      </text>
    </comment>
    <comment ref="B14" authorId="4" shapeId="0">
      <text>
        <t>pc:
Was 7,340,000</t>
      </text>
    </comment>
    <comment ref="C14" authorId="0" shapeId="0">
      <text>
        <t>Microsoft Office User:
was 7,340,000
VNP50</t>
      </text>
    </comment>
    <comment ref="D14" authorId="1" shapeId="0">
      <text>
        <t xml:space="preserve">Hoàng Đức Việt
Last week was: 7.040,000	</t>
      </text>
    </comment>
    <comment ref="F14" authorId="2" shapeId="0">
      <text>
        <t>Duy Nguyen:
last week was 7,090,000</t>
      </text>
    </comment>
    <comment ref="F15" authorId="2" shapeId="0">
      <text>
        <t>Duy Nguyen:
last week was OOS</t>
      </text>
    </comment>
    <comment ref="G15" authorId="3" shapeId="0">
      <text>
        <t>Windows User:
16990000</t>
      </text>
    </comment>
    <comment ref="E16" authorId="0" shapeId="0">
      <text>
        <t>Son Nguyen:
Last week was:
20.990.000 đ</t>
      </text>
    </comment>
    <comment ref="G16" authorId="3" shapeId="0">
      <text>
        <t>Windows User:
21990000</t>
      </text>
    </comment>
    <comment ref="B17" authorId="4" shapeId="0">
      <text>
        <t>pc:
Was 28,290,000</t>
      </text>
    </comment>
    <comment ref="C17" authorId="1" shapeId="0">
      <text>
        <t>was 28,290,000
VNP200</t>
      </text>
    </comment>
    <comment ref="E17" authorId="0" shapeId="0">
      <text>
        <t>Microsoft Office User:
Last week was:
27.390.000đ</t>
      </text>
    </comment>
    <comment ref="F17" authorId="2" shapeId="0">
      <text>
        <t>Duy Nguyen:
last week was 27,790,000</t>
      </text>
    </comment>
    <comment ref="G17" authorId="3" shapeId="0">
      <text>
        <t>Windows User:
27690000</t>
      </text>
    </comment>
    <comment ref="E18" authorId="6" shapeId="0">
      <text>
        <t>Sheva Son:
Last Week Was: 36.190.000 đ</t>
      </text>
    </comment>
    <comment ref="G18" authorId="7" shapeId="0">
      <text>
        <t xml:space="preserve">Administrator:
37390000
</t>
      </text>
    </comment>
    <comment ref="B19" authorId="5" shapeId="0">
      <text>
        <t>Duy:
6.140.000</t>
      </text>
    </comment>
    <comment ref="C19" authorId="0" shapeId="0">
      <text>
        <t>was 5,940,000
VNP50</t>
      </text>
    </comment>
    <comment ref="D19" authorId="8" shapeId="0">
      <text>
        <t>Việt Hoàng:
Last week was
5.690.000</t>
      </text>
    </comment>
    <comment ref="E19" authorId="0" shapeId="0">
      <text>
        <t>Son Sheva:
Last week was:
5.731.100đ</t>
      </text>
    </comment>
    <comment ref="F19" authorId="2" shapeId="0">
      <text>
        <t>Duy Nguyen:
last week was 5,950,000</t>
      </text>
    </comment>
    <comment ref="B20" authorId="5" shapeId="0">
      <text>
        <t>Duy:
Was: 7.440.000</t>
      </text>
    </comment>
    <comment ref="C20" authorId="1" shapeId="0">
      <text>
        <t>was 7,240,000
VNP50</t>
      </text>
    </comment>
    <comment ref="D20" authorId="8" shapeId="0">
      <text>
        <t>Việt Hoàng:
Last week was:
6.790.000</t>
      </text>
    </comment>
    <comment ref="E20" authorId="0" shapeId="0">
      <text>
        <t>Son Sheva:
Last week was:
6.870.600đ</t>
      </text>
    </comment>
    <comment ref="B21" authorId="5" shapeId="0">
      <text>
        <t>Duy:
Was: 7.040.000</t>
      </text>
    </comment>
    <comment ref="D21" authorId="8" shapeId="0">
      <text>
        <t>Việt Hoàng:
Last week was
6.240.000</t>
      </text>
    </comment>
    <comment ref="E21" authorId="0" shapeId="0">
      <text>
        <t>Son Sheva:
Last week was:
6.425.100đ</t>
      </text>
    </comment>
    <comment ref="C22" authorId="0" shapeId="0">
      <text>
        <t>was 7,940,000
VNP50</t>
      </text>
    </comment>
    <comment ref="D22" authorId="8" shapeId="0">
      <text>
        <t>Việt Hoàng:
Last week was:
7.540.000</t>
      </text>
    </comment>
    <comment ref="E22" authorId="0" shapeId="0">
      <text>
        <t>Son Sheva:
Last week was:
7.662.600đ</t>
      </text>
    </comment>
    <comment ref="B23" authorId="5" shapeId="0">
      <text>
        <t>Duy:
Was: 9.690.000</t>
      </text>
    </comment>
    <comment ref="E23" authorId="6" shapeId="0">
      <text>
        <t xml:space="preserve">Sheva Son:
Last Week was: 8.900.100đ
</t>
      </text>
    </comment>
    <comment ref="F23" authorId="2" shapeId="0">
      <text>
        <t>Duy Nguyen:
last week was 9,490,000</t>
      </text>
    </comment>
    <comment ref="D24" authorId="1" shapeId="0">
      <text>
        <t xml:space="preserve">Last week was: 11.690.000đ	</t>
      </text>
    </comment>
    <comment ref="E24" authorId="1" shapeId="0">
      <text>
        <t xml:space="preserve">Son Sheva:
Last week was: 12.190.000đ	</t>
      </text>
    </comment>
    <comment ref="B25" authorId="5" shapeId="0">
      <text>
        <t>Duy:
Was: 10.790.000</t>
      </text>
    </comment>
    <comment ref="C25" authorId="0" shapeId="0">
      <text>
        <t>was 10,590,000
VNP100</t>
      </text>
    </comment>
    <comment ref="E25" authorId="6" shapeId="0">
      <text>
        <t>Sheva Son:
Last Week was: 9.692.100đ</t>
      </text>
    </comment>
    <comment ref="F25" authorId="2" shapeId="0">
      <text>
        <t>Duy Nguyen:
last week was 10,390,000</t>
      </text>
    </comment>
    <comment ref="D26" authorId="6" shapeId="0">
      <text>
        <t>Hoàng Đức Việt
Last Week was: 12.690.000</t>
      </text>
    </comment>
    <comment ref="E26" authorId="6" shapeId="0">
      <text>
        <t>Sheva Son:
Last Week was: 12.570.000đ</t>
      </text>
    </comment>
    <comment ref="B27" authorId="5" shapeId="0">
      <text>
        <t>Duy:
Was: 20.990.000</t>
      </text>
    </comment>
    <comment ref="E27" authorId="6" shapeId="0">
      <text>
        <t>Sheva Son:
Last Week was: 19.690.000đ</t>
      </text>
    </comment>
    <comment ref="B28" authorId="5" shapeId="0">
      <text>
        <t>Duy:
Was: 5.790.000</t>
      </text>
    </comment>
    <comment ref="C28" authorId="1" shapeId="0">
      <text>
        <t>was 5,790,000</t>
      </text>
    </comment>
    <comment ref="D28" authorId="1" shapeId="0">
      <text>
        <t xml:space="preserve">Hoàng Đức Việt
Last week was: 5.740,000	</t>
      </text>
    </comment>
    <comment ref="E28" authorId="0" shapeId="0">
      <text>
        <t>Microsoft Office User:
Last week was:
5.435.100đ</t>
      </text>
    </comment>
    <comment ref="B29" authorId="5" shapeId="0">
      <text>
        <t>Duy:
Was: 3.990.000</t>
      </text>
    </comment>
    <comment ref="C29" authorId="0" shapeId="0">
      <text>
        <t>was 3,990,000</t>
      </text>
    </comment>
    <comment ref="D29" authorId="8" shapeId="0">
      <text>
        <t>Việt Hoàng:
Last week was
3.990.000</t>
      </text>
    </comment>
    <comment ref="E29" authorId="0" shapeId="0">
      <text>
        <t>Microsoft Office User:
Last week was:
4.148.100đ</t>
      </text>
    </comment>
    <comment ref="G29" authorId="3" shapeId="0">
      <text>
        <t>Windows User:
3950000</t>
      </text>
    </comment>
    <comment ref="B30" authorId="5" shapeId="0">
      <text>
        <t>Duy:
Was: 2.790.000</t>
      </text>
    </comment>
    <comment ref="C30" authorId="0" shapeId="0">
      <text>
        <t>was 2,790,000</t>
      </text>
    </comment>
    <comment ref="D30" authorId="8" shapeId="0">
      <text>
        <t>Việt Hoàng:
Last week was
2.790.000</t>
      </text>
    </comment>
    <comment ref="E30" authorId="0" shapeId="0">
      <text>
        <t>Microsoft Office User:
Last week was:
2.890.000đ</t>
      </text>
    </comment>
    <comment ref="G30" authorId="3" shapeId="0">
      <text>
        <t>Windows User:
2790000</t>
      </text>
    </comment>
    <comment ref="D31" authorId="1" shapeId="0">
      <text>
        <t xml:space="preserve">Hoàng Đức Việt
Last week was: 18.490,000	</t>
      </text>
    </comment>
    <comment ref="G31" authorId="3" shapeId="0">
      <text>
        <t>Windows User:
18490000</t>
      </text>
    </comment>
    <comment ref="B32" authorId="4" shapeId="0">
      <text>
        <t>pc:
Was 23,390,000</t>
      </text>
    </comment>
    <comment ref="C32" authorId="1" shapeId="0">
      <text>
        <t>was 23,290,000
VNP200</t>
      </text>
    </comment>
    <comment ref="D32" authorId="1" shapeId="0">
      <text>
        <t xml:space="preserve">Hoàng Đức Việt:
Last week was: 23.090,000	</t>
      </text>
    </comment>
    <comment ref="F32" authorId="2" shapeId="0">
      <text>
        <t>Duy Nguyen:
last week was 23,850,000</t>
      </text>
    </comment>
    <comment ref="G32" authorId="7" shapeId="0">
      <text>
        <t xml:space="preserve">Administrator:
23690000
</t>
      </text>
    </comment>
    <comment ref="B33" authorId="4" shapeId="0">
      <text>
        <t>pc:
Was 27,090,000</t>
      </text>
    </comment>
    <comment ref="C33" authorId="1" shapeId="0">
      <text>
        <t>was 27,090,000
VNP200</t>
      </text>
    </comment>
    <comment ref="D33" authorId="1" shapeId="0">
      <text>
        <t xml:space="preserve">Hoàng Đức Việt
Last week was: 26.790,000	</t>
      </text>
    </comment>
    <comment ref="F33" authorId="2" shapeId="0">
      <text>
        <t>Duy Nguyen:
last week was 27,190,000</t>
      </text>
    </comment>
    <comment ref="G33" authorId="7" shapeId="0">
      <text>
        <t>Administrator:
26890000</t>
      </text>
    </comment>
    <comment ref="G34" authorId="7" shapeId="0">
      <text>
        <t>Administrator:
31390000</t>
      </text>
    </comment>
    <comment ref="B35" authorId="4" shapeId="0">
      <text>
        <t>pc:
Was 38,590,000</t>
      </text>
    </comment>
    <comment ref="C35" authorId="1" shapeId="0">
      <text>
        <t>was 38,590,000
VNP200</t>
      </text>
    </comment>
    <comment ref="G35" authorId="3" shapeId="0">
      <text>
        <t>Windows User:
37990000</t>
      </text>
    </comment>
  </commentList>
</comments>
</file>

<file path=xl/comments/comment17.xml><?xml version="1.0" encoding="utf-8"?>
<comments xmlns="http://schemas.openxmlformats.org/spreadsheetml/2006/main">
  <authors>
    <author>Microsoft Office User</author>
    <author>Duy</author>
    <author>chit trang</author>
    <author>Sheva Son</author>
    <author>Tran Dat</author>
    <author>Việt Hoàng</author>
    <author>Duy Ha Minh</author>
  </authors>
  <commentList>
    <comment ref="B2" authorId="0" shapeId="0">
      <text>
        <t>was 19890000
VNP200</t>
      </text>
    </comment>
    <comment ref="C2" authorId="1" shapeId="0">
      <text>
        <t>Duy:
Last Week: 19,890,000</t>
      </text>
    </comment>
    <comment ref="F2" authorId="2" shapeId="0">
      <text>
        <t>chit trang:
 Was 19.450.000
VNP 500k</t>
      </text>
    </comment>
    <comment ref="B3" authorId="0" shapeId="0">
      <text>
        <t>was 22990000
VNP200</t>
      </text>
    </comment>
    <comment ref="C3" authorId="1" shapeId="0">
      <text>
        <t>Duy:
Last Week: 22,990,000</t>
      </text>
    </comment>
    <comment ref="B4" authorId="0" shapeId="0">
      <text>
        <t>was 24990000
VNP200</t>
      </text>
    </comment>
    <comment ref="C4" authorId="1" shapeId="0">
      <text>
        <t>Duy:
Last Week: 24,990,000</t>
      </text>
    </comment>
    <comment ref="E4" authorId="3" shapeId="0">
      <text>
        <t>Last week was: 23.990.000
CTKM W6Q4FY24:
Giảm 500K mua Online (đã trừ vào giá)
Giảm 500K màu Blue titanium</t>
      </text>
    </comment>
    <comment ref="F4" authorId="2" shapeId="0">
      <text>
        <t xml:space="preserve">chit trang:
24.290.000
Was VNP 500 </t>
      </text>
    </comment>
    <comment ref="G4" authorId="4" shapeId="0">
      <text>
        <t xml:space="preserve">Tran Dat:
24.290.000
</t>
      </text>
    </comment>
    <comment ref="E5" authorId="3" shapeId="0">
      <text>
        <t>Last week was: 28.890.000
CTKM W6:
Giảm 1.000K mua hàng Online (đã trừ vào giá)
Giá bản base màu Black titanium 28.490K trong ngày 07/8/2024 (100 slot)</t>
      </text>
    </comment>
    <comment ref="F5" authorId="2" shapeId="0">
      <text>
        <t>chit trang:
     Was 28.890.000
VNP 500</t>
      </text>
    </comment>
    <comment ref="B6" authorId="0" shapeId="0">
      <text>
        <t>was 19990000
VNP200</t>
      </text>
    </comment>
    <comment ref="C6" authorId="1" shapeId="0">
      <text>
        <t>Duy:
Last Week: 19,990,000</t>
      </text>
    </comment>
    <comment ref="F6" authorId="2" shapeId="0">
      <text>
        <t>chit trang:
Was 19.790.000</t>
      </text>
    </comment>
    <comment ref="B7" authorId="0" shapeId="0">
      <text>
        <t>was 17490000
VNP200</t>
      </text>
    </comment>
    <comment ref="D7" authorId="5" shapeId="0">
      <text>
        <t>Việt Hoàng:
Last week was:
17.490.000</t>
      </text>
    </comment>
    <comment ref="F7" authorId="2" shapeId="0">
      <text>
        <t>chit trang:
Wass 17.290.000</t>
      </text>
    </comment>
    <comment ref="B8" authorId="0" shapeId="0">
      <text>
        <t>was 1439000
VNP100</t>
      </text>
    </comment>
    <comment ref="C8" authorId="1" shapeId="0">
      <text>
        <t>Duy:
Last Week: 14,290,000</t>
      </text>
    </comment>
    <comment ref="D8" authorId="5" shapeId="0">
      <text>
        <t>Việt Hoàng:
Last week was:
14.090.000</t>
      </text>
    </comment>
    <comment ref="F8" authorId="2" shapeId="0">
      <text>
        <t>chit trang:
Wass 13.990.000</t>
      </text>
    </comment>
    <comment ref="F10" authorId="2" shapeId="0">
      <text>
        <t>chit trang:
Wass 8.750.000</t>
      </text>
    </comment>
    <comment ref="E13" authorId="3" shapeId="0">
      <text>
        <t>Last week was: 9.593.100
CTKM W6Q4FY24:
Giảm 200K mua Online (đã trừ vào giá)</t>
      </text>
    </comment>
    <comment ref="F13" authorId="2" shapeId="0">
      <text>
        <t>chit trang:
9.750.000</t>
      </text>
    </comment>
    <comment ref="E14" authorId="3" shapeId="0">
      <text>
        <t>Last week was: 6.920.100</t>
      </text>
    </comment>
    <comment ref="F14" authorId="2" shapeId="0">
      <text>
        <t>chit trang:
7.190.000</t>
      </text>
    </comment>
    <comment ref="B15" authorId="0" shapeId="0">
      <text>
        <t>was 16890000</t>
      </text>
    </comment>
    <comment ref="E15" authorId="3" shapeId="0">
      <text>
        <t>Last week was: 16.090.000</t>
      </text>
    </comment>
    <comment ref="F16" authorId="2" shapeId="0">
      <text>
        <t>chit trang:
21.690.000</t>
      </text>
    </comment>
    <comment ref="F17" authorId="2" shapeId="0">
      <text>
        <t>chit trang:
27.690.000</t>
      </text>
    </comment>
    <comment ref="F18" authorId="2" shapeId="0">
      <text>
        <t>chit trang:
37.390.000</t>
      </text>
    </comment>
    <comment ref="F19" authorId="2" shapeId="0">
      <text>
        <t>chit trang:
6.090.000</t>
      </text>
    </comment>
    <comment ref="B21" authorId="0" shapeId="0">
      <text>
        <t>was 6840000
VNP50</t>
      </text>
    </comment>
    <comment ref="E21" authorId="3" shapeId="0">
      <text>
        <t>CTKM W6: Giảm 100K khi đổi 10.000 điểm VIettel++ nhưng khó có đủ điểm</t>
      </text>
    </comment>
    <comment ref="G21" authorId="4" shapeId="0">
      <text>
        <t>Tran Dat:
6.790.000</t>
      </text>
    </comment>
    <comment ref="B22" authorId="0" shapeId="0">
      <text>
        <t>was 8140000
VNP50</t>
      </text>
    </comment>
    <comment ref="F23" authorId="2" shapeId="0">
      <text>
        <t>chit trang:
9.690.000</t>
      </text>
    </comment>
    <comment ref="G23" authorId="4" shapeId="0">
      <text>
        <t>Tran Dat:
9.290.000</t>
      </text>
    </comment>
    <comment ref="F24" authorId="2" shapeId="0">
      <text>
        <t>chit trang:
12.590.000</t>
      </text>
    </comment>
    <comment ref="G24" authorId="4" shapeId="0">
      <text>
        <t>Tran Dat:
11.790.000</t>
      </text>
    </comment>
    <comment ref="G25" authorId="4" shapeId="0">
      <text>
        <t>Tran Dat:
10.390.000</t>
      </text>
    </comment>
    <comment ref="G26" authorId="4" shapeId="0">
      <text>
        <t>Tran Dat:
12.890.000</t>
      </text>
    </comment>
    <comment ref="D28" authorId="5" shapeId="0">
      <text>
        <t>Việt Hoàng:
Last week was:
5.638.000</t>
      </text>
    </comment>
    <comment ref="G28" authorId="4" shapeId="0">
      <text>
        <t>Tran Dat:
5.750.000</t>
      </text>
    </comment>
    <comment ref="E29" authorId="3" shapeId="0">
      <text>
        <t xml:space="preserve">Last week was: </t>
      </text>
    </comment>
    <comment ref="F29" authorId="2" shapeId="0">
      <text>
        <t>chit trang:
3.950.000</t>
      </text>
    </comment>
    <comment ref="G29" authorId="4" shapeId="0">
      <text>
        <t>Tran Dat:
4.290.000</t>
      </text>
    </comment>
    <comment ref="D30" authorId="5" shapeId="0">
      <text>
        <t>Việt Hoàng:
Last week was:
2.738.000</t>
      </text>
    </comment>
    <comment ref="F30" authorId="2" shapeId="0">
      <text>
        <t>chit trang:
2.790.000</t>
      </text>
    </comment>
    <comment ref="G30" authorId="4" shapeId="0">
      <text>
        <t>Tran Dat:
2.900.000</t>
      </text>
    </comment>
    <comment ref="B31" authorId="0" shapeId="0">
      <text>
        <t>was 18590000
VNP100</t>
      </text>
    </comment>
    <comment ref="C31" authorId="6" shapeId="0">
      <text>
        <t>Duy Ha Minh:
Last Week: 18,590,000</t>
      </text>
    </comment>
    <comment ref="D31" authorId="5" shapeId="0">
      <text>
        <t>Việt Hoàng:
Last week was:
18.590.000</t>
      </text>
    </comment>
    <comment ref="G31" authorId="4" shapeId="0">
      <text>
        <t xml:space="preserve">Tran Dat:
17.990.000
</t>
      </text>
    </comment>
    <comment ref="B32" authorId="0" shapeId="0">
      <text>
        <t>was 23790000
VNP200</t>
      </text>
    </comment>
    <comment ref="C32" authorId="6" shapeId="0">
      <text>
        <t>Duy Ha Minh:
Last Week: 26,790,000</t>
      </text>
    </comment>
    <comment ref="F32" authorId="2" shapeId="0">
      <text>
        <t>chit trang:
23.690.000</t>
      </text>
    </comment>
    <comment ref="B33" authorId="0" shapeId="0">
      <text>
        <t>was 27290000
VNP200</t>
      </text>
    </comment>
    <comment ref="C33" authorId="6" shapeId="0">
      <text>
        <t>Duy Ha Minh:
Last Week: 27,290,000</t>
      </text>
    </comment>
    <comment ref="D33" authorId="5" shapeId="0">
      <text>
        <t>Việt Hoàng:
Last week was:
27.290.000</t>
      </text>
    </comment>
    <comment ref="F33" authorId="2" shapeId="0">
      <text>
        <t>chit trang:
26.990.000</t>
      </text>
    </comment>
    <comment ref="F34" authorId="2" shapeId="0">
      <text>
        <t>chit trang:
32.290.000</t>
      </text>
    </comment>
    <comment ref="B35" authorId="0" shapeId="0">
      <text>
        <t>was 38490000
VNP200</t>
      </text>
    </comment>
    <comment ref="C35" authorId="6" shapeId="0">
      <text>
        <t>Duy Ha Minh:
LW: 38,490,000</t>
      </text>
    </comment>
    <comment ref="F35" authorId="2" shapeId="0">
      <text>
        <t>chit trang:
38.290.000</t>
      </text>
    </comment>
  </commentList>
</comments>
</file>

<file path=xl/comments/comment18.xml><?xml version="1.0" encoding="utf-8"?>
<comments xmlns="http://schemas.openxmlformats.org/spreadsheetml/2006/main">
  <authors>
    <author>Microsoft Office User</author>
    <author>Duy</author>
    <author>chit trang</author>
    <author>Tran Dat</author>
    <author>Sheva Son</author>
    <author>Việt Hoàng</author>
    <author>Duy Ha Minh</author>
  </authors>
  <commentList>
    <comment ref="B2" authorId="0" shapeId="0">
      <text>
        <t>was 19790000
VNP200</t>
      </text>
    </comment>
    <comment ref="C2" authorId="1" shapeId="0">
      <text>
        <t>Duy:
Last Week: 19,790,000</t>
      </text>
    </comment>
    <comment ref="F2" authorId="2" shapeId="0">
      <text>
        <t>chit trang:
 Was 19.250.000
VNP 500k</t>
      </text>
    </comment>
    <comment ref="G2" authorId="3" shapeId="0">
      <text>
        <t>Tran Dat:
19.450</t>
      </text>
    </comment>
    <comment ref="B3" authorId="0" shapeId="0">
      <text>
        <t>was 22790000
VNP200</t>
      </text>
    </comment>
    <comment ref="C3" authorId="1" shapeId="0">
      <text>
        <t>Duy:
Last Week: 22,790,000</t>
      </text>
    </comment>
    <comment ref="F3" authorId="2" shapeId="0">
      <text>
        <t xml:space="preserve">chit trang:
wass 22.290k
vnpay 500k
</t>
      </text>
    </comment>
    <comment ref="B4" authorId="0" shapeId="0">
      <text>
        <t>was 24790000
VNP200</t>
      </text>
    </comment>
    <comment ref="C4" authorId="1" shapeId="0">
      <text>
        <t>Duy:
Last Week: 24,790,000</t>
      </text>
    </comment>
    <comment ref="E4" authorId="4" shapeId="0">
      <text>
        <t xml:space="preserve">
CTKM W6Q4FY24:
Giảm 500K mua Online (đã trừ vào giá)
Giảm 500K màu Blue titanium</t>
      </text>
    </comment>
    <comment ref="F4" authorId="2" shapeId="0">
      <text>
        <t xml:space="preserve">chit trang:
24.390.000
Was VNP 500 </t>
      </text>
    </comment>
    <comment ref="E5" authorId="4" shapeId="0">
      <text>
        <t>Last week was: 28.890.000
CTKM W7:
Giảm 1.000K mua hàng Online (đã trừ vào giá)
VNP 1% tối đa 300K</t>
      </text>
    </comment>
    <comment ref="E6" authorId="4" shapeId="0">
      <text>
        <t>Stock: chỉ còn màu Blue</t>
      </text>
    </comment>
    <comment ref="B7" authorId="0" shapeId="0">
      <text>
        <t>was 17290000
VNP200</t>
      </text>
    </comment>
    <comment ref="C7" authorId="1" shapeId="0">
      <text>
        <t>Duy:
last week: 17,290,000</t>
      </text>
    </comment>
    <comment ref="F8" authorId="2" shapeId="0">
      <text>
        <t>chit trang:
Wass 13.890.000</t>
      </text>
    </comment>
    <comment ref="F9" authorId="2" shapeId="0">
      <text>
        <t>chit trang:
11.490.000</t>
      </text>
    </comment>
    <comment ref="F10" authorId="2" shapeId="0">
      <text>
        <t>chit trang:
Wass 8.790.000</t>
      </text>
    </comment>
    <comment ref="G10" authorId="3" shapeId="0">
      <text>
        <t xml:space="preserve">Tran Dat:
8490000
</t>
      </text>
    </comment>
    <comment ref="F11" authorId="2" shapeId="0">
      <text>
        <t>chit trang:
14.590.000</t>
      </text>
    </comment>
    <comment ref="F13" authorId="2" shapeId="0">
      <text>
        <t>chit trang:
9.750.000</t>
      </text>
    </comment>
    <comment ref="G13" authorId="3" shapeId="0">
      <text>
        <t xml:space="preserve">Tran Dat:
9690
</t>
      </text>
    </comment>
    <comment ref="B15" authorId="0" shapeId="0">
      <text>
        <t>was OOS</t>
      </text>
    </comment>
    <comment ref="E15" authorId="4" shapeId="0">
      <text>
        <t>Last week was: 16.790.000
VNPAY: 1% tối đa 300K</t>
      </text>
    </comment>
    <comment ref="G15" authorId="3" shapeId="0">
      <text>
        <t>Tran Dat:
16390000</t>
      </text>
    </comment>
    <comment ref="N16" authorId="4" shapeId="0">
      <text>
        <t>Last week was: 28.890.000
CTKM W7:
Giảm 1.000K mua hàng Online (đã trừ vào giá)
VNP 1% tối đa 300K</t>
      </text>
    </comment>
    <comment ref="B17" authorId="0" shapeId="0">
      <text>
        <t>was 27990000
VNP200</t>
      </text>
    </comment>
    <comment ref="C17" authorId="1" shapeId="0">
      <text>
        <t>Duy:
last week: 27,990,000</t>
      </text>
    </comment>
    <comment ref="E17" authorId="4" shapeId="0">
      <text>
        <t>Last week was: 27.690K
VNPAY 1% tối đa 300K</t>
      </text>
    </comment>
    <comment ref="F17" authorId="2" shapeId="0">
      <text>
        <t>chit trang:
27.490.000</t>
      </text>
    </comment>
    <comment ref="F18" authorId="2" shapeId="0">
      <text>
        <t>chit trang:
37.490.000</t>
      </text>
    </comment>
    <comment ref="E19" authorId="4" shapeId="0">
      <text>
        <t>Last week was: 5.890K
Giảm thêm 100K đổi 10.000 điểm Viettel++</t>
      </text>
    </comment>
    <comment ref="E20" authorId="4" shapeId="0">
      <text>
        <t>Giảm thêm 100K đổi 10.000 điểm Viettel++</t>
      </text>
    </comment>
    <comment ref="E21" authorId="4" shapeId="0">
      <text>
        <t>CTKM W6: Giảm 100K khi đổi 10.000 điểm VIettel++ nhưng khó có đủ điểm</t>
      </text>
    </comment>
    <comment ref="F21" authorId="2" shapeId="0">
      <text>
        <t>chit trang:
wass 6.990.000</t>
      </text>
    </comment>
    <comment ref="G21" authorId="3" shapeId="0">
      <text>
        <t>Tran Dat:
6.390.000</t>
      </text>
    </comment>
    <comment ref="E22" authorId="4" shapeId="0">
      <text>
        <t xml:space="preserve">Last week was: 7.790K
Giảm thêm 100K đổi 10.000 điểm Viettel++
</t>
      </text>
    </comment>
    <comment ref="E23" authorId="4" shapeId="0">
      <text>
        <t xml:space="preserve">Last week was: 8.990K
Giảm VNPAY 10% tối đa 120K
</t>
      </text>
    </comment>
    <comment ref="F23" authorId="2" shapeId="0">
      <text>
        <t>chit trang:
9.690.000</t>
      </text>
    </comment>
    <comment ref="G23" authorId="3" shapeId="0">
      <text>
        <t>Tran Dat:
9.190.000</t>
      </text>
    </comment>
    <comment ref="B24" authorId="0" shapeId="0">
      <text>
        <t>was 12490000
VNP100</t>
      </text>
    </comment>
    <comment ref="E24" authorId="4" shapeId="0">
      <text>
        <t>Last week was: 11.690K
Giảm thêm 100K đổi 10.000 điểm Viettel++
VNP 10% tối đa 120K</t>
      </text>
    </comment>
    <comment ref="F24" authorId="2" shapeId="0">
      <text>
        <t>chit trang:
12.390.000</t>
      </text>
    </comment>
    <comment ref="G24" authorId="3" shapeId="0">
      <text>
        <t>Tran Dat:
11.690.000</t>
      </text>
    </comment>
    <comment ref="E25" authorId="4" shapeId="0">
      <text>
        <t xml:space="preserve">Last week was: 9.790K
Giảm thêm 100K đổi 10.000 điểm Viettel++
VNP 10% tối đa 120K
</t>
      </text>
    </comment>
    <comment ref="F25" authorId="2" shapeId="0">
      <text>
        <t>chit trang:
10.590.000</t>
      </text>
    </comment>
    <comment ref="G25" authorId="3" shapeId="0">
      <text>
        <t>Tran Dat:
10.190.000</t>
      </text>
    </comment>
    <comment ref="E26" authorId="4" shapeId="0">
      <text>
        <t>Last week was: 11.690K
VNPAY 10% tối đa 120K
Giảm tiếp 100K nếu đổi 10.000 điểm Viettel++</t>
      </text>
    </comment>
    <comment ref="G26" authorId="3" shapeId="0">
      <text>
        <t>Tran Dat:
12.690.000</t>
      </text>
    </comment>
    <comment ref="E27" authorId="4" shapeId="0">
      <text>
        <t>Last week was: 19.990K
VNPay giảm 1% tối đa 300K
Đổi 30.000 điểm Viettel++
VNP 10% tối đa 300K</t>
      </text>
    </comment>
    <comment ref="F27" authorId="2" shapeId="0">
      <text>
        <t>chit trang:
21.390.000</t>
      </text>
    </comment>
    <comment ref="E28" authorId="4" shapeId="0">
      <text>
        <t>Last week was: 5.390K
VNP 10% tối đa 120K</t>
      </text>
    </comment>
    <comment ref="B29" authorId="0" shapeId="0">
      <text>
        <t xml:space="preserve">was 4090000
</t>
      </text>
    </comment>
    <comment ref="C29" authorId="1" shapeId="0">
      <text>
        <t xml:space="preserve">Duy:
last week: 4,090,000 </t>
      </text>
    </comment>
    <comment ref="D29" authorId="5" shapeId="0">
      <text>
        <t>Việt Hoàng:
Last week was
4.040.000</t>
      </text>
    </comment>
    <comment ref="E29" authorId="4" shapeId="0">
      <text>
        <t>Last week was: 4.049K
VNP 10% tối đa 120K</t>
      </text>
    </comment>
    <comment ref="F29" authorId="2" shapeId="0">
      <text>
        <t>chit trang:
4.090.000</t>
      </text>
    </comment>
    <comment ref="E30" authorId="4" shapeId="0">
      <text>
        <t>Last week was: 2.861K
VNP 10% tối đa 120K</t>
      </text>
    </comment>
    <comment ref="B31" authorId="0" shapeId="0">
      <text>
        <t>was 18490000
VNP200
Giảm thêm 300K cho HSSV</t>
      </text>
    </comment>
    <comment ref="C31" authorId="6" shapeId="0">
      <text>
        <t>Duy Ha Minh:
Last Week: 18,490,000</t>
      </text>
    </comment>
    <comment ref="D31" authorId="5" shapeId="0">
      <text>
        <t>Việt Hoàng:
Last week was:
18.490.000</t>
      </text>
    </comment>
    <comment ref="F31" authorId="2" shapeId="0">
      <text>
        <t xml:space="preserve">chit trang:18.590.000
</t>
      </text>
    </comment>
    <comment ref="B32" authorId="0" shapeId="0">
      <text>
        <t>was 23690000
VNP200</t>
      </text>
    </comment>
    <comment ref="C32" authorId="6" shapeId="0">
      <text>
        <t>Duy Ha Minh:
Last Week: 23,690,000</t>
      </text>
    </comment>
    <comment ref="D32" authorId="5" shapeId="0">
      <text>
        <t>Việt Hoàng:
Last week was
23.590.000</t>
      </text>
    </comment>
    <comment ref="F32" authorId="2" shapeId="0">
      <text>
        <t>chit trang:
23.490.000</t>
      </text>
    </comment>
    <comment ref="G32" authorId="3" shapeId="0">
      <text>
        <t>Tran Dat:
23190000</t>
      </text>
    </comment>
    <comment ref="B33" authorId="0" shapeId="0">
      <text>
        <t>was 27290000
VNP200</t>
      </text>
    </comment>
    <comment ref="D33" authorId="5" shapeId="0">
      <text>
        <t>Việt Hoàng:
Last week was:
27.090.000</t>
      </text>
    </comment>
    <comment ref="F33" authorId="2" shapeId="0">
      <text>
        <t>chit trang:
26.890.000</t>
      </text>
    </comment>
    <comment ref="G33" authorId="3" shapeId="0">
      <text>
        <t>Tran Dat:
26690000</t>
      </text>
    </comment>
    <comment ref="B34" authorId="0" shapeId="0">
      <text>
        <t>was 31290000
VNP200
Giảm thêm 500K cho HSSV</t>
      </text>
    </comment>
    <comment ref="C34" authorId="6" shapeId="0">
      <text>
        <t>Duy Ha Minh:
last week: 31,290,000</t>
      </text>
    </comment>
    <comment ref="F34" authorId="2" shapeId="0">
      <text>
        <t>chit trang:
32.290.000</t>
      </text>
    </comment>
    <comment ref="G34" authorId="3" shapeId="0">
      <text>
        <t xml:space="preserve">Tran Dat:
30990000
</t>
      </text>
    </comment>
    <comment ref="F35" authorId="2" shapeId="0">
      <text>
        <t>chit trang:
38.390.000</t>
      </text>
    </comment>
  </commentList>
</comments>
</file>

<file path=xl/comments/comment19.xml><?xml version="1.0" encoding="utf-8"?>
<comments xmlns="http://schemas.openxmlformats.org/spreadsheetml/2006/main">
  <authors>
    <author>Việt Hoàng</author>
    <author>Sheva Son</author>
    <author>chit trang</author>
    <author>Microsoft Office User</author>
    <author>Duy</author>
    <author>Tran Dat</author>
    <author>Duy Ha Minh</author>
  </authors>
  <commentList>
    <comment ref="D2" authorId="0" shapeId="0">
      <text>
        <t>Việt Hoàng:
Last week was:
19.890.000</t>
      </text>
    </comment>
    <comment ref="E2" authorId="1" shapeId="0">
      <text>
        <t xml:space="preserve">
CTKM W8Q4FY24:
Cơ hội bốc thăm trúng xe Wave Alpha 110cc đỏ.
Săn táo chớp nhoáng iPhone 15 128GB Pink: 19.190K</t>
      </text>
    </comment>
    <comment ref="D3" authorId="0" shapeId="0">
      <text>
        <t>Việt Hoàng:
Last week was:
22.890.000</t>
      </text>
    </comment>
    <comment ref="E3" authorId="1" shapeId="0">
      <text>
        <t xml:space="preserve">
CTKM W8Q4FY24:
Back to school, cơ hội trúng xe Wave Alpha 110cc đỏ.
Săn táo hớp nhoáng:
iPhone 15 Plus 128GB Pink: 21.990K
iPhone 15 Plus 256GB Pink: 24.790K</t>
      </text>
    </comment>
    <comment ref="F3" authorId="2" shapeId="0">
      <text>
        <t xml:space="preserve">chit trang:
wass 22.290k
vnpay 500k
</t>
      </text>
    </comment>
    <comment ref="B4" authorId="3" shapeId="0">
      <text>
        <t>was 24690000</t>
      </text>
    </comment>
    <comment ref="C4" authorId="4" shapeId="0">
      <text>
        <t>Duy:
Last Week: 24,690,000</t>
      </text>
    </comment>
    <comment ref="D4" authorId="0" shapeId="0">
      <text>
        <t>Việt Hoàng:
Last week was:
24.890.000</t>
      </text>
    </comment>
    <comment ref="E4" authorId="1" shapeId="0">
      <text>
        <t xml:space="preserve">
CTKM W8Q4FY24:
Giảm 500K mua Online (đã trừ vào giá)
Giảm 500K màu Blue titanium
Săn táo chớp nhoáng iPhone 15 Pro 1T GB Blue Titanium: 37.490K</t>
      </text>
    </comment>
    <comment ref="G4" authorId="5" shapeId="0">
      <text>
        <t>Tran Dat:
24.390.000</t>
      </text>
    </comment>
    <comment ref="B5" authorId="3" shapeId="0">
      <text>
        <t>was 29,390,000</t>
      </text>
    </comment>
    <comment ref="C5" authorId="4" shapeId="0">
      <text>
        <t>Duy:
Last week: 29,390,000</t>
      </text>
    </comment>
    <comment ref="D5" authorId="0" shapeId="0">
      <text>
        <t>Việt Hoàng:
Last week was:
29.390.000</t>
      </text>
    </comment>
    <comment ref="E5" authorId="1" shapeId="0">
      <text>
        <t>Last week was: 28.700K
CTKM W7:
Giảm 1.000K mua hàng Online (đã trừ vào giá)
VNP 1% tối đa 300K
Săn táo chớp nhoáng (màu đen): 28.490K</t>
      </text>
    </comment>
    <comment ref="B6" authorId="3" shapeId="0">
      <text>
        <t>was 19790000</t>
      </text>
    </comment>
    <comment ref="C6" authorId="4" shapeId="0">
      <text>
        <t>Duy:
Last week: 
19,790,000</t>
      </text>
    </comment>
    <comment ref="E6" authorId="1" shapeId="0">
      <text>
        <t>Stock: chỉ còn màu Blue</t>
      </text>
    </comment>
    <comment ref="B7" authorId="3" shapeId="0">
      <text>
        <t>was 16890000</t>
      </text>
    </comment>
    <comment ref="C7" authorId="4" shapeId="0">
      <text>
        <t>Duy:
last week: 16,890,000</t>
      </text>
    </comment>
    <comment ref="D7" authorId="0" shapeId="0">
      <text>
        <t>Việt Hoàng:
Last week was:
17.390.000</t>
      </text>
    </comment>
    <comment ref="F8" authorId="2" shapeId="0">
      <text>
        <t>chit trang:
Wass 13.790.000</t>
      </text>
    </comment>
    <comment ref="B9" authorId="3" shapeId="0">
      <text>
        <t>was 11490000
màu Green 10990000</t>
      </text>
    </comment>
    <comment ref="C9" authorId="4" shapeId="0">
      <text>
        <t>Duy:
Last week: 
11,490,000</t>
      </text>
    </comment>
    <comment ref="D9" authorId="0" shapeId="0">
      <text>
        <t>Việt Hoàng:
Last week was:
11.490.000</t>
      </text>
    </comment>
    <comment ref="F9" authorId="2" shapeId="0">
      <text>
        <t>chit trang:
11.290.000</t>
      </text>
    </comment>
    <comment ref="B10" authorId="3" shapeId="0">
      <text>
        <t>was 8940000</t>
      </text>
    </comment>
    <comment ref="C10" authorId="4" shapeId="0">
      <text>
        <t>Duy:
Last week: 
8,940,000</t>
      </text>
    </comment>
    <comment ref="G10" authorId="5" shapeId="0">
      <text>
        <t xml:space="preserve">Tran Dat:
8590000
</t>
      </text>
    </comment>
    <comment ref="B11" authorId="3" shapeId="0">
      <text>
        <t>was 13990000</t>
      </text>
    </comment>
    <comment ref="E11" authorId="1" shapeId="0">
      <text>
        <t xml:space="preserve">
CTKM W8Q4FY24:
Giảm 10% tối đa 120K khi mở ví VNPAY</t>
      </text>
    </comment>
    <comment ref="B12" authorId="3" shapeId="0">
      <text>
        <t>was 12790000</t>
      </text>
    </comment>
    <comment ref="F12" authorId="2" shapeId="0">
      <text>
        <t>chit trang:
Wass 12.790.000</t>
      </text>
    </comment>
    <comment ref="B13" authorId="3" shapeId="0">
      <text>
        <t xml:space="preserve">was 10190000
</t>
      </text>
    </comment>
    <comment ref="C13" authorId="4" shapeId="0">
      <text>
        <t>Duy:
Last week: 
10,190,000</t>
      </text>
    </comment>
    <comment ref="D13" authorId="0" shapeId="0">
      <text>
        <t>Việt Hoàng:
Last week was:
9.840.000</t>
      </text>
    </comment>
    <comment ref="E13" authorId="1" shapeId="0">
      <text>
        <t xml:space="preserve">
CTKM W7Q4FY24:
Giảm 10% tối đa 120K khi mở ví VNPAY</t>
      </text>
    </comment>
    <comment ref="F13" authorId="2" shapeId="0">
      <text>
        <t>chit trang:
Wass 9.790.000</t>
      </text>
    </comment>
    <comment ref="B14" authorId="3" shapeId="0">
      <text>
        <t>was 7140000</t>
      </text>
    </comment>
    <comment ref="C14" authorId="4" shapeId="0">
      <text>
        <t>Duy:
Last week: 
7,140,000</t>
      </text>
    </comment>
    <comment ref="E14" authorId="1" shapeId="0">
      <text>
        <t xml:space="preserve">
CTKM W8Q4FY24:
Giảm 10% tối đa 120K khi mở ví VNPAY</t>
      </text>
    </comment>
    <comment ref="B15" authorId="3" shapeId="0">
      <text>
        <t>was 16890000</t>
      </text>
    </comment>
    <comment ref="E15" authorId="1" shapeId="0">
      <text>
        <t xml:space="preserve">
CTKM W7Q4FY24
Giảm 1% tối đa 300K thanh tóan VNPAY</t>
      </text>
    </comment>
    <comment ref="F15" authorId="2" shapeId="0">
      <text>
        <t>chit trang:
Wass 16.990.000</t>
      </text>
    </comment>
    <comment ref="G15" authorId="5" shapeId="0">
      <text>
        <t>Tran Dat:
16490000</t>
      </text>
    </comment>
    <comment ref="B16" authorId="3" shapeId="0">
      <text>
        <t>was 22290000</t>
      </text>
    </comment>
    <comment ref="C16" authorId="4" shapeId="0">
      <text>
        <t>Duy:
Last week: 
22,290,000</t>
      </text>
    </comment>
    <comment ref="E16" authorId="1" shapeId="0">
      <text>
        <t>Last week was: 21.490K
CTKM W8Q4FY24:
Giảm 1% tối đa 300K thanh toán VNPAY</t>
      </text>
    </comment>
    <comment ref="D17" authorId="0" shapeId="0">
      <text>
        <t>Việt Hoàng:
Last week was:
27.890.000</t>
      </text>
    </comment>
    <comment ref="E17" authorId="1" shapeId="0">
      <text>
        <t xml:space="preserve">
CTKM W7Q4FY24:
Giảm 1% tối đa 300K thanh toán VNPAY</t>
      </text>
    </comment>
    <comment ref="B18" authorId="3" shapeId="0">
      <text>
        <t>was 37490000</t>
      </text>
    </comment>
    <comment ref="C18" authorId="3" shapeId="0">
      <text>
        <t>Duy
Last week: 
37,490,000</t>
      </text>
    </comment>
    <comment ref="B19" authorId="3" shapeId="0">
      <text>
        <t>was 6040000</t>
      </text>
    </comment>
    <comment ref="C19" authorId="3" shapeId="0">
      <text>
        <t xml:space="preserve">Duy
Last week: 6,040,000 
</t>
      </text>
    </comment>
    <comment ref="E19" authorId="1" shapeId="0">
      <text>
        <t xml:space="preserve">
CTKM W8Q4FY24:
Giảm 1% tối đa 120K khi mở ví VNPAY
</t>
      </text>
    </comment>
    <comment ref="B20" authorId="3" shapeId="0">
      <text>
        <t>was 7440000</t>
      </text>
    </comment>
    <comment ref="C20" authorId="3" shapeId="0">
      <text>
        <t>Duy Last week: 
 7,440,000</t>
      </text>
    </comment>
    <comment ref="E20" authorId="1" shapeId="0">
      <text>
        <t>Giảm thêm 100K đổi 10.000 điểm Viettel++</t>
      </text>
    </comment>
    <comment ref="B21" authorId="3" shapeId="0">
      <text>
        <t>was 6940000</t>
      </text>
    </comment>
    <comment ref="C21" authorId="3" shapeId="0">
      <text>
        <t>Duy
Last week: 
 6,940,000</t>
      </text>
    </comment>
    <comment ref="E21" authorId="1" shapeId="0">
      <text>
        <t>CTKM W6: Giảm 100K khi đổi 10.000 điểm VIettel++ nhưng khó có đủ điểm</t>
      </text>
    </comment>
    <comment ref="F21" authorId="2" shapeId="0">
      <text>
        <t>chit trang:
wass 7.190.000</t>
      </text>
    </comment>
    <comment ref="B22" authorId="3" shapeId="0">
      <text>
        <t>was 8240000</t>
      </text>
    </comment>
    <comment ref="E22" authorId="1" shapeId="0">
      <text>
        <t xml:space="preserve">Last week was: 7.790K
Giảm thêm 100K đổi 10.000 điểm Viettel++
</t>
      </text>
    </comment>
    <comment ref="B23" authorId="3" shapeId="0">
      <text>
        <t>was 9790000</t>
      </text>
    </comment>
    <comment ref="C23" authorId="3" shapeId="0">
      <text>
        <t>Duy
Last Week: 9,790,000</t>
      </text>
    </comment>
    <comment ref="E23" authorId="1" shapeId="0">
      <text>
        <t xml:space="preserve">
Giảm 1% tối đa 120K khi mở ví VNPAY
</t>
      </text>
    </comment>
    <comment ref="F23" authorId="2" shapeId="0">
      <text>
        <t>chit trang:
9.490.000</t>
      </text>
    </comment>
    <comment ref="B24" authorId="3" shapeId="0">
      <text>
        <t xml:space="preserve">was 12390000
</t>
      </text>
    </comment>
    <comment ref="E24" authorId="1" shapeId="0">
      <text>
        <t xml:space="preserve">
Giảm thêm 100K đổi 10.000 điểm Viettel++</t>
      </text>
    </comment>
    <comment ref="B25" authorId="3" shapeId="0">
      <text>
        <t>was 10790000</t>
      </text>
    </comment>
    <comment ref="C25" authorId="3" shapeId="0">
      <text>
        <t>Duy
Last week 10,790,000</t>
      </text>
    </comment>
    <comment ref="E25" authorId="1" shapeId="0">
      <text>
        <t xml:space="preserve">
Giảm thêm 100K đổi 10.000 điểm Viettel++
</t>
      </text>
    </comment>
    <comment ref="F25" authorId="2" shapeId="0">
      <text>
        <t>chit trang:
10.890.000</t>
      </text>
    </comment>
    <comment ref="B26" authorId="3" shapeId="0">
      <text>
        <t>was 13590000</t>
      </text>
    </comment>
    <comment ref="E26" authorId="1" shapeId="0">
      <text>
        <t xml:space="preserve">
Giảm tiếp 100K nếu đổi 10.000 điểm Viettel++</t>
      </text>
    </comment>
    <comment ref="B27" authorId="3" shapeId="0">
      <text>
        <t>was 20990000</t>
      </text>
    </comment>
    <comment ref="C27" authorId="3" shapeId="0">
      <text>
        <t>Duy
Last week 20,990,000</t>
      </text>
    </comment>
    <comment ref="E27" authorId="1" shapeId="0">
      <text>
        <t xml:space="preserve">
Đổi 30.000 điểm Viettel++
VNP 10% tối đa 300K</t>
      </text>
    </comment>
    <comment ref="E28" authorId="1" shapeId="0">
      <text>
        <t>Last week was: 5.270K
CTKM W8Q4FY:
Giảm 10% tối đa 120K khi mở ví VNPAY</t>
      </text>
    </comment>
    <comment ref="E29" authorId="1" shapeId="0">
      <text>
        <t xml:space="preserve">
CTKM W8Q4FY24:
Giảm 10% tối đa 120K khi mở ví VNPAY
</t>
      </text>
    </comment>
    <comment ref="E30" authorId="1" shapeId="0">
      <text>
        <t>Last week was: 2.570K
VNP 10% tối đa 120K</t>
      </text>
    </comment>
    <comment ref="B31" authorId="3" shapeId="0">
      <text>
        <t>was 18190000
Giảm thêm 300K cho HSSV</t>
      </text>
    </comment>
    <comment ref="C31" authorId="6" shapeId="0">
      <text>
        <t>Duy Ha Minh:
Last Week: 18,190,000</t>
      </text>
    </comment>
    <comment ref="B32" authorId="3" shapeId="0">
      <text>
        <t>was 23190000
Giảm thêm 300K HSSV và upto 3M tân SV</t>
      </text>
    </comment>
    <comment ref="C32" authorId="6" shapeId="0">
      <text>
        <t>Duy Ha Minh:
Last Week: 23,190,000</t>
      </text>
    </comment>
    <comment ref="D32" authorId="0" shapeId="0">
      <text>
        <t>Việt Hoàng:
Last week was
23.190.000</t>
      </text>
    </comment>
    <comment ref="B33" authorId="3" shapeId="0">
      <text>
        <t>was 26890000
giảm thêm 500K SV upto 3M tân SV</t>
      </text>
    </comment>
    <comment ref="C33" authorId="4" shapeId="0">
      <text>
        <t>Duy:
Last week: 26,890,000</t>
      </text>
    </comment>
    <comment ref="D33" authorId="0" shapeId="0">
      <text>
        <t>Việt Hoàng:
Last week was:
26.590.000</t>
      </text>
    </comment>
    <comment ref="F33" authorId="2" shapeId="0">
      <text>
        <t>chit trang:
26.990.000</t>
      </text>
    </comment>
    <comment ref="B34" authorId="3" shapeId="0">
      <text>
        <t>was 31190000
Giảm thêm 500K cho HSSV</t>
      </text>
    </comment>
    <comment ref="C34" authorId="6" shapeId="0">
      <text>
        <t>Duy Ha Minh:
last week: 31,190,000</t>
      </text>
    </comment>
  </commentList>
</comments>
</file>

<file path=xl/comments/comment20.xml><?xml version="1.0" encoding="utf-8"?>
<comments xmlns="http://schemas.openxmlformats.org/spreadsheetml/2006/main">
  <authors>
    <author>Microsoft Office User</author>
    <author>Duy</author>
    <author>Việt Hoàng</author>
    <author>Sheva Son</author>
    <author>Tran Dat</author>
    <author>chit trang</author>
  </authors>
  <commentList>
    <comment ref="B2" authorId="0" shapeId="0">
      <text>
        <t>was 19690000</t>
      </text>
    </comment>
    <comment ref="C2" authorId="1" shapeId="0">
      <text>
        <t>Duy:
Last Week: 19,690,000</t>
      </text>
    </comment>
    <comment ref="D2" authorId="2" shapeId="0">
      <text>
        <t>Việt Hoàng:
Last week was:
19.690.000</t>
      </text>
    </comment>
    <comment ref="E2" authorId="3" shapeId="0">
      <text>
        <t xml:space="preserve">
CTKM W8Q4FY24:
Cơ hội bốc thăm trúng xe Wave Alpha 110cc đỏ.
Săn táo chớp nhoáng iPhone 15 128GB Pink: 19.190K</t>
      </text>
    </comment>
    <comment ref="G2" authorId="4" shapeId="0">
      <text>
        <t>Tran Dat:
19.490.000</t>
      </text>
    </comment>
    <comment ref="B3" authorId="0" shapeId="0">
      <text>
        <t>was	 22690000</t>
      </text>
    </comment>
    <comment ref="C3" authorId="1" shapeId="0">
      <text>
        <t>Duy:
Last Week: 22,690,000</t>
      </text>
    </comment>
    <comment ref="D3" authorId="2" shapeId="0">
      <text>
        <t>Việt Hoàng:
Last week was:
22.590.000</t>
      </text>
    </comment>
    <comment ref="E3" authorId="3" shapeId="0">
      <text>
        <t xml:space="preserve">
CTKM W8Q4FY24:
Back to school, cơ hội trúng xe Wave Alpha 110cc đỏ.
Săn táo hớp nhoáng:
iPhone 15 Plus 128GB Pink: 21.990K
iPhone 15 Plus 256GB Pink: 24.790K</t>
      </text>
    </comment>
    <comment ref="E4" authorId="3" shapeId="0">
      <text>
        <t xml:space="preserve">
CTKM W8Q4FY24:
Giảm 500K mua Online (đã trừ vào giá)
Giảm thêm 500K màu Blue titanium
Săn táo chớp nhoáng iPhone 15 Pro 1T GB Blue Titanium: 37.490K</t>
      </text>
    </comment>
    <comment ref="G4" authorId="4" shapeId="0">
      <text>
        <t>Tran Dat:
24.390.000</t>
      </text>
    </comment>
    <comment ref="B5" authorId="0" shapeId="0">
      <text>
        <t>was 29,490,000</t>
      </text>
    </comment>
    <comment ref="C5" authorId="1" shapeId="0">
      <text>
        <t>Duy:
Last week: 29,490,000</t>
      </text>
    </comment>
    <comment ref="E5" authorId="3" shapeId="0">
      <text>
        <t>Last week was: 28.700K
CTKM W7:
Giảm 1.000K mua hàng Online (đã trừ vào giá)
VNP 1% tối đa 300K
Săn táo chớp nhoáng (màu đen): 28.490K</t>
      </text>
    </comment>
    <comment ref="D6" authorId="2" shapeId="0">
      <text>
        <t>Việt Hoàng:
Last week was:
19.890.000</t>
      </text>
    </comment>
    <comment ref="E6" authorId="3" shapeId="0">
      <text>
        <t>Stock: chỉ còn màu Blue</t>
      </text>
    </comment>
    <comment ref="D8" authorId="2" shapeId="0">
      <text>
        <t>Việt Hoàng:
Last week was:
13.890.000</t>
      </text>
    </comment>
    <comment ref="D9" authorId="2" shapeId="0">
      <text>
        <t>Việt Hoàng:
Last week was:
10.890.000</t>
      </text>
    </comment>
    <comment ref="G10" authorId="4" shapeId="0">
      <text>
        <t xml:space="preserve">Tran Dat:
8690000
</t>
      </text>
    </comment>
    <comment ref="E11" authorId="3" shapeId="0">
      <text>
        <t xml:space="preserve">
CTKM W8Q4FY24:
Giảm 10% tối đa 120K khi mở ví VNPAY</t>
      </text>
    </comment>
    <comment ref="E13" authorId="3" shapeId="0">
      <text>
        <t xml:space="preserve">
CTKM W7Q4FY24:
Giảm 10% tối đa 120K khi mở ví VNPAY</t>
      </text>
    </comment>
    <comment ref="E14" authorId="3" shapeId="0">
      <text>
        <t xml:space="preserve">
CTKM W8Q4FY24:
Giảm 10% tối đa 120K khi mở ví VNPAY</t>
      </text>
    </comment>
    <comment ref="E15" authorId="3" shapeId="0">
      <text>
        <t xml:space="preserve">
CTKM W7Q4FY24
Giảm 1% tối đa 300K thanh tóan VNPAY</t>
      </text>
    </comment>
    <comment ref="F15" authorId="5" shapeId="0">
      <text>
        <t>chit trang:
Wass 16.990.000</t>
      </text>
    </comment>
    <comment ref="D16" authorId="2" shapeId="0">
      <text>
        <t>Việt Hoàng:
Last week was
22.390.000</t>
      </text>
    </comment>
    <comment ref="E16" authorId="3" shapeId="0">
      <text>
        <t>Last week was: 21.490K
CTKM W8Q4FY24:
Giảm 1% tối đa 300K thanh toán VNPAY</t>
      </text>
    </comment>
    <comment ref="G16" authorId="4" shapeId="0">
      <text>
        <t>Tran Dat:
21.490.000</t>
      </text>
    </comment>
    <comment ref="E17" authorId="3" shapeId="0">
      <text>
        <t xml:space="preserve">
CTKM W7Q4FY24:
Giảm 1% tối đa 300K thanh toán VNPAY</t>
      </text>
    </comment>
    <comment ref="D18" authorId="2" shapeId="0">
      <text>
        <t>Việt Hoàng:
Last week was
37.690.000</t>
      </text>
    </comment>
    <comment ref="E19" authorId="3" shapeId="0">
      <text>
        <t xml:space="preserve">
CTKM W8Q4FY24:
Giảm 1% tối đa 120K khi mở ví VNPAY
</t>
      </text>
    </comment>
    <comment ref="F19" authorId="5" shapeId="0">
      <text>
        <t>chit trang:
Wass 5.990.000</t>
      </text>
    </comment>
    <comment ref="E20" authorId="3" shapeId="0">
      <text>
        <t>Giảm thêm 100K đổi 10.000 điểm Viettel++</t>
      </text>
    </comment>
    <comment ref="E21" authorId="3" shapeId="0">
      <text>
        <t>CTKM W6: Giảm 100K khi đổi 10.000 điểm VIettel++ nhưng khó có đủ điểm</t>
      </text>
    </comment>
    <comment ref="G21" authorId="4" shapeId="0">
      <text>
        <t>Tran Dat:
6.790.000</t>
      </text>
    </comment>
    <comment ref="E22" authorId="3" shapeId="0">
      <text>
        <t xml:space="preserve">Last week was: 7.790K
Giảm thêm 100K đổi 10.000 điểm Viettel++
</t>
      </text>
    </comment>
    <comment ref="E23" authorId="3" shapeId="0">
      <text>
        <t xml:space="preserve">
Giảm 1% tối đa 120K khi mở ví VNPAY
</t>
      </text>
    </comment>
    <comment ref="E24" authorId="3" shapeId="0">
      <text>
        <t xml:space="preserve">
Giảm thêm 100K đổi 10.000 điểm Viettel++</t>
      </text>
    </comment>
    <comment ref="E25" authorId="3" shapeId="0">
      <text>
        <t xml:space="preserve">
Giảm thêm 100K đổi 10.000 điểm Viettel++
</t>
      </text>
    </comment>
    <comment ref="E26" authorId="3" shapeId="0">
      <text>
        <t xml:space="preserve">
Giảm tiếp 100K nếu đổi 10.000 điểm Viettel++</t>
      </text>
    </comment>
    <comment ref="E27" authorId="3" shapeId="0">
      <text>
        <t xml:space="preserve">
Đổi 30.000 điểm Viettel++
VNP 10% tối đa 300K</t>
      </text>
    </comment>
    <comment ref="E28" authorId="3" shapeId="0">
      <text>
        <t>Last week was: 5.290K
CTKM W9Q4FY:
Giảm 10% tối đa 120K khi mở ví VNPAY</t>
      </text>
    </comment>
    <comment ref="B29" authorId="0" shapeId="0">
      <text>
        <t>was 3990000</t>
      </text>
    </comment>
    <comment ref="C29" authorId="1" shapeId="0">
      <text>
        <t>Duy:
Last Week: 3,990,000</t>
      </text>
    </comment>
    <comment ref="E29" authorId="3" shapeId="0">
      <text>
        <t xml:space="preserve">
CTKM W8Q4FY24:
Giảm 10% tối đa 120K khi mở ví VNPAY
</t>
      </text>
    </comment>
    <comment ref="E30" authorId="3" shapeId="0">
      <text>
        <t>Last week was: 2.570K
VNP 10% tối đa 120K</t>
      </text>
    </comment>
    <comment ref="G33" authorId="4" shapeId="0">
      <text>
        <t>Tran Dat:
26.190.000</t>
      </text>
    </comment>
    <comment ref="D35" authorId="2" shapeId="0">
      <text>
        <t>Việt Hoàng:
Last week was
38.290.000</t>
      </text>
    </comment>
  </commentList>
</comments>
</file>

<file path=xl/comments/comment21.xml><?xml version="1.0" encoding="utf-8"?>
<comments xmlns="http://schemas.openxmlformats.org/spreadsheetml/2006/main">
  <authors>
    <author>Sheva Son</author>
    <author>chit trang</author>
    <author>Tran Dat</author>
    <author>Việt Hoàng</author>
    <author>Microsoft Office User</author>
    <author>Duy</author>
  </authors>
  <commentList>
    <comment ref="E2" authorId="0" shapeId="0">
      <text>
        <t xml:space="preserve">
CTKM đến 15/9:
Cơ hội bốc thăm trúng xe Wave Alpha 110cc đỏ.
Săn táo chớp nhoáng iPhone 15 128GB </t>
      </text>
    </comment>
    <comment ref="F2" authorId="1" shapeId="0">
      <text>
        <t>chit trang:
Wass 19.190.000</t>
      </text>
    </comment>
    <comment ref="G2" authorId="2" shapeId="0">
      <text>
        <t>Tran Dat:
18.990.000</t>
      </text>
    </comment>
    <comment ref="E3" authorId="0" shapeId="0">
      <text>
        <t xml:space="preserve">
CTKM đến 15/9:
Back to school, cơ hội trúng xe Wave Alpha 110cc đỏ.
Săn táo hớp nhoáng:
iPhone 15 Plus 128GB Pink: 21.990K
iPhone 15 Plus 256GB Pink: 24.790K</t>
      </text>
    </comment>
    <comment ref="E4" authorId="0" shapeId="0">
      <text>
        <t xml:space="preserve">
CTKM đến 15/9:
Giảm 500K mua Online (đã trừ vào giá)
Last week: 24,490,000</t>
      </text>
    </comment>
    <comment ref="F4" authorId="1" shapeId="0">
      <text>
        <t>chit trang:
24.290.000</t>
      </text>
    </comment>
    <comment ref="G4" authorId="2" shapeId="0">
      <text>
        <t>Tran Dat:
24.290.000</t>
      </text>
    </comment>
    <comment ref="E5" authorId="0" shapeId="0">
      <text>
        <t xml:space="preserve">Last week was: 28.700.000
</t>
      </text>
    </comment>
    <comment ref="F5" authorId="1" shapeId="0">
      <text>
        <t>chit trang:
27.890.000</t>
      </text>
    </comment>
    <comment ref="F6" authorId="1" shapeId="0">
      <text>
        <t>chit trang:
19.890.000</t>
      </text>
    </comment>
    <comment ref="D9" authorId="3" shapeId="0">
      <text>
        <t>Việt Hoàng:
Last week was:
10.990.000</t>
      </text>
    </comment>
    <comment ref="F15" authorId="1" shapeId="0">
      <text>
        <t>chit trang:
Wass 16.790.000</t>
      </text>
    </comment>
    <comment ref="F16" authorId="1" shapeId="0">
      <text>
        <t>chit trang:
21.690.000</t>
      </text>
    </comment>
    <comment ref="D18" authorId="3" shapeId="0">
      <text>
        <t>Việt Hoàng:
Last week was
37.790.000</t>
      </text>
    </comment>
    <comment ref="E19" authorId="0" shapeId="0">
      <text>
        <t>Last week: 5.690.000</t>
      </text>
    </comment>
    <comment ref="E20" authorId="0" shapeId="0">
      <text>
        <t>Last week: 7.190.000</t>
      </text>
    </comment>
    <comment ref="E21" authorId="0" shapeId="0">
      <text>
        <t>Last week: 6.590.000</t>
      </text>
    </comment>
    <comment ref="G21" authorId="2" shapeId="0">
      <text>
        <t>Tran Dat:
6.390.000</t>
      </text>
    </comment>
    <comment ref="E22" authorId="0" shapeId="0">
      <text>
        <t>Last week was: 7.990.000</t>
      </text>
    </comment>
    <comment ref="E23" authorId="0" shapeId="0">
      <text>
        <t>Last week: 8.990.000</t>
      </text>
    </comment>
    <comment ref="F23" authorId="1" shapeId="0">
      <text>
        <t>chit trang:
9.590.000</t>
      </text>
    </comment>
    <comment ref="G23" authorId="2" shapeId="0">
      <text>
        <t>Tran Dat:
9.390.000</t>
      </text>
    </comment>
    <comment ref="B24" authorId="4" shapeId="0">
      <text>
        <t>was 12490000</t>
      </text>
    </comment>
    <comment ref="E24" authorId="0" shapeId="0">
      <text>
        <t>Last Week: 11.690.000</t>
      </text>
    </comment>
    <comment ref="G24" authorId="2" shapeId="0">
      <text>
        <t>Tran Dat:
11.890.000</t>
      </text>
    </comment>
    <comment ref="E25" authorId="0" shapeId="0">
      <text>
        <t xml:space="preserve">Last week: 9.790.000
</t>
      </text>
    </comment>
    <comment ref="F25" authorId="1" shapeId="0">
      <text>
        <t>chit trang:
10.690.000</t>
      </text>
    </comment>
    <comment ref="G25" authorId="2" shapeId="0">
      <text>
        <t>Tran Dat:
10.390.000</t>
      </text>
    </comment>
    <comment ref="E26" authorId="0" shapeId="0">
      <text>
        <t xml:space="preserve">
Last week: 12.690.000</t>
      </text>
    </comment>
    <comment ref="G26" authorId="2" shapeId="0">
      <text>
        <t>Tran Dat:
10.890.000</t>
      </text>
    </comment>
    <comment ref="D27" authorId="3" shapeId="0">
      <text>
        <t>Việt Hoàng:
Last week was
20.590.000</t>
      </text>
    </comment>
    <comment ref="D28" authorId="3" shapeId="0">
      <text>
        <t>Việt Hoàng:
Last week was:
5.640.000</t>
      </text>
    </comment>
    <comment ref="E28" authorId="0" shapeId="0">
      <text>
        <t xml:space="preserve">Last week was: 5.390K
</t>
      </text>
    </comment>
    <comment ref="B29" authorId="4" shapeId="0">
      <text>
        <t>was 3990000</t>
      </text>
    </comment>
    <comment ref="C29" authorId="5" shapeId="0">
      <text>
        <t>Duy:
Last Week: 3,990,000</t>
      </text>
    </comment>
    <comment ref="D29" authorId="3" shapeId="0">
      <text>
        <t>Việt Hoàng:
Last week was:
3.790.000</t>
      </text>
    </comment>
    <comment ref="E29" authorId="0" shapeId="0">
      <text>
        <t xml:space="preserve">
Last week: 3.890.000</t>
      </text>
    </comment>
    <comment ref="F29" authorId="1" shapeId="0">
      <text>
        <t>chit trang:
3.850.000</t>
      </text>
    </comment>
    <comment ref="D30" authorId="3" shapeId="0">
      <text>
        <t>Việt Hoàng:
Last week was:
2.690.000</t>
      </text>
    </comment>
    <comment ref="F30" authorId="1" shapeId="0">
      <text>
        <t>chit trang:
2.690.000</t>
      </text>
    </comment>
    <comment ref="D31" authorId="3" shapeId="0">
      <text>
        <t>Việt Hoàng:
Last week was:
18.290.000</t>
      </text>
    </comment>
    <comment ref="F31" authorId="1" shapeId="0">
      <text>
        <t>chit trang:
18.490.000</t>
      </text>
    </comment>
    <comment ref="B32" authorId="4" shapeId="0">
      <text>
        <t>was 23090</t>
      </text>
    </comment>
    <comment ref="C32" authorId="5" shapeId="0">
      <text>
        <t>Duy:
Last week: 23.090.000</t>
      </text>
    </comment>
    <comment ref="D32" authorId="3" shapeId="0">
      <text>
        <t>Việt Hoàng:
Last week was:
22.790.000</t>
      </text>
    </comment>
    <comment ref="F32" authorId="1" shapeId="0">
      <text>
        <t>chit trang:
23.290.000</t>
      </text>
    </comment>
    <comment ref="B33" authorId="4" shapeId="0">
      <text>
        <t>was 26490</t>
      </text>
    </comment>
    <comment ref="C33" authorId="5" shapeId="0">
      <text>
        <t>Duy:
Last week: 26,490,000</t>
      </text>
    </comment>
    <comment ref="D33" authorId="3" shapeId="0">
      <text>
        <t>Việt Hoàng:
Last week was
26.190.000</t>
      </text>
    </comment>
    <comment ref="F33" authorId="1" shapeId="0">
      <text>
        <t>chit trang:
26.690.000</t>
      </text>
    </comment>
    <comment ref="F34" authorId="1" shapeId="0">
      <text>
        <t>chit trang:
31.590.000</t>
      </text>
    </comment>
    <comment ref="D35" authorId="3" shapeId="0">
      <text>
        <t>Việt Hoàng:
Last week was
37.890.000</t>
      </text>
    </comment>
    <comment ref="F35" authorId="1" shapeId="0">
      <text>
        <t>chit trang:
38.490.000</t>
      </text>
    </comment>
  </commentList>
</comments>
</file>

<file path=xl/comments/comment22.xml><?xml version="1.0" encoding="utf-8"?>
<comments xmlns="http://schemas.openxmlformats.org/spreadsheetml/2006/main">
  <authors>
    <author>Microsoft Office User</author>
    <author>Duy</author>
    <author>Việt Hoàng</author>
    <author>Sheva Son</author>
    <author>Tran Dat</author>
    <author>chit trang</author>
  </authors>
  <commentList>
    <comment ref="B2" authorId="0" shapeId="0">
      <text>
        <t>was 19590000</t>
      </text>
    </comment>
    <comment ref="C2" authorId="1" shapeId="0">
      <text>
        <t>Duy:
lw: 19.590</t>
      </text>
    </comment>
    <comment ref="D2" authorId="2" shapeId="0">
      <text>
        <t>Việt Hoàng:
Last week was
19.490.000</t>
      </text>
    </comment>
    <comment ref="E2" authorId="3" shapeId="0">
      <text>
        <t xml:space="preserve">
CTKM đến 15/9:
Cơ hội bốc thăm trúng xe Wave Alpha 110cc đỏ.
Săn táo chớp nhoáng iPhone 15 128GB </t>
      </text>
    </comment>
    <comment ref="G2" authorId="4" shapeId="0">
      <text>
        <t>Tran Dat:
18.990.000</t>
      </text>
    </comment>
    <comment ref="B3" authorId="0" shapeId="0">
      <text>
        <t>was 22590000</t>
      </text>
    </comment>
    <comment ref="C3" authorId="1" shapeId="0">
      <text>
        <t>Duy:
lw: 22.590</t>
      </text>
    </comment>
    <comment ref="D3" authorId="2" shapeId="0">
      <text>
        <t>Việt Hoàng:
Last week was
22.490.000</t>
      </text>
    </comment>
    <comment ref="E3" authorId="3" shapeId="0">
      <text>
        <t xml:space="preserve">
CTKM đến 15/9:
Back to school, cơ hội trúng xe Wave Alpha 110cc đỏ.
Săn táo hớp nhoáng:
iPhone 15 Plus 128GB Pink: 21.990K
iPhone 15 Plus 256GB Pink: 24.790K</t>
      </text>
    </comment>
    <comment ref="B4" authorId="0" shapeId="0">
      <text>
        <t>was 24890000</t>
      </text>
    </comment>
    <comment ref="C4" authorId="1" shapeId="0">
      <text>
        <t>Duy:
24.890</t>
      </text>
    </comment>
    <comment ref="D4" authorId="2" shapeId="0">
      <text>
        <t>Việt Hoàng:
Last week was
24.790.000</t>
      </text>
    </comment>
    <comment ref="E4" authorId="3" shapeId="0">
      <text>
        <t xml:space="preserve">
CTKM đến 15/9:
Giảm 500K mua Online (đã trừ vào giá)
Giảm 500K màu Blue titanium</t>
      </text>
    </comment>
    <comment ref="G4" authorId="4" shapeId="0">
      <text>
        <t>Tran Dat:
24.290.000</t>
      </text>
    </comment>
    <comment ref="B5" authorId="0" shapeId="0">
      <text>
        <t>was 29390000</t>
      </text>
    </comment>
    <comment ref="C5" authorId="1" shapeId="0">
      <text>
        <t>Duy:
lw: 29.390</t>
      </text>
    </comment>
    <comment ref="E5" authorId="3" shapeId="0">
      <text>
        <t>Last week was: 28.690.000
Giảm 1.000.000VND (Đã trừ vào giá)
Giảm 1% tối đa 300K khi mở ví VNPAY</t>
      </text>
    </comment>
    <comment ref="D6" authorId="2" shapeId="0">
      <text>
        <t>Việt Hoàng:
Last week was
19.690.000</t>
      </text>
    </comment>
    <comment ref="B7" authorId="0" shapeId="0">
      <text>
        <t>was 17090000</t>
      </text>
    </comment>
    <comment ref="C7" authorId="1" shapeId="0">
      <text>
        <t>Duy:
lw: 17.090</t>
      </text>
    </comment>
    <comment ref="B8" authorId="0" shapeId="0">
      <text>
        <t>was 13890000</t>
      </text>
    </comment>
    <comment ref="C8" authorId="1" shapeId="0">
      <text>
        <t>Duy:
lw: 13.890</t>
      </text>
    </comment>
    <comment ref="D8" authorId="2" shapeId="0">
      <text>
        <t>Việt Hoàng:
Last week was
13.790.000</t>
      </text>
    </comment>
    <comment ref="F8" authorId="5" shapeId="0">
      <text>
        <t>chit trang:
Wass 13.850</t>
      </text>
    </comment>
    <comment ref="E9" authorId="3" shapeId="0">
      <text>
        <t xml:space="preserve">Last week is: 11.390K
</t>
      </text>
    </comment>
    <comment ref="B10" authorId="0" shapeId="0">
      <text>
        <t>was 8990000</t>
      </text>
    </comment>
    <comment ref="C10" authorId="1" shapeId="0">
      <text>
        <t>Duy:
lw: 8.990</t>
      </text>
    </comment>
    <comment ref="F10" authorId="5" shapeId="0">
      <text>
        <t>chit trang:
Wass 8.690.000</t>
      </text>
    </comment>
    <comment ref="F12" authorId="5" shapeId="0">
      <text>
        <t>chit trang:
Wass 12.650.000</t>
      </text>
    </comment>
    <comment ref="D13" authorId="2" shapeId="0">
      <text>
        <t>Việt Hoàng:
Last week was
9.740.000</t>
      </text>
    </comment>
    <comment ref="E13" authorId="3" shapeId="0">
      <text>
        <t>Last week is: 9.490K
Giảm 200K mua Online
Giảm 10% tối đa 120K khi mở ví VNPAY</t>
      </text>
    </comment>
    <comment ref="F13" authorId="5" shapeId="0">
      <text>
        <t>chit trang:
9.690.000</t>
      </text>
    </comment>
    <comment ref="E14" authorId="3" shapeId="0">
      <text>
        <t>Giảm 10% tối đa 120K khi mở ví VNPAY</t>
      </text>
    </comment>
    <comment ref="F14" authorId="5" shapeId="0">
      <text>
        <t>chit trang:
7.090.000</t>
      </text>
    </comment>
    <comment ref="E15" authorId="3" shapeId="0">
      <text>
        <t>Last week is: 16.325K
Giảm 10% tối đa 300K khi mở ví VNPAY</t>
      </text>
    </comment>
    <comment ref="F15" authorId="5" shapeId="0">
      <text>
        <t>chit trang:
Wass 16.690.000</t>
      </text>
    </comment>
    <comment ref="E16" authorId="3" shapeId="0">
      <text>
        <t>Last week is: 21,275K
Giảm 10% tối đa 300K khi mở ví VNPAY</t>
      </text>
    </comment>
    <comment ref="F16" authorId="5" shapeId="0">
      <text>
        <t>chit trang:
21.490.000</t>
      </text>
    </comment>
    <comment ref="E17" authorId="3" shapeId="0">
      <text>
        <t>Last week is: 27.215K
Giảm 10% tối đa 300K khi mở ví VNPAY</t>
      </text>
    </comment>
    <comment ref="F17" authorId="5" shapeId="0">
      <text>
        <t>chit trang:
Wass 27.590.000</t>
      </text>
    </comment>
    <comment ref="F18" authorId="5" shapeId="0">
      <text>
        <t>chit trang:
36.990.000</t>
      </text>
    </comment>
    <comment ref="E19" authorId="3" shapeId="0">
      <text>
        <t>Last week: 5.870.000</t>
      </text>
    </comment>
    <comment ref="F19" authorId="5" shapeId="0">
      <text>
        <t>chit trang:
6.190.000</t>
      </text>
    </comment>
    <comment ref="E20" authorId="3" shapeId="0">
      <text>
        <t>Last week: 7.190.000</t>
      </text>
    </comment>
    <comment ref="B21" authorId="0" shapeId="0">
      <text>
        <t xml:space="preserve">was 6990000
</t>
      </text>
    </comment>
    <comment ref="C21" authorId="1" shapeId="0">
      <text>
        <t>Duy:
lw: 6.990</t>
      </text>
    </comment>
    <comment ref="E21" authorId="3" shapeId="0">
      <text>
        <t>Last week: 6.470.000</t>
      </text>
    </comment>
    <comment ref="G21" authorId="4" shapeId="0">
      <text>
        <t>Tran Dat:
6.390.000</t>
      </text>
    </comment>
    <comment ref="E22" authorId="3" shapeId="0">
      <text>
        <t>Last week was: 7.870.000</t>
      </text>
    </comment>
    <comment ref="E23" authorId="3" shapeId="0">
      <text>
        <t>Last week: 8.990.000</t>
      </text>
    </comment>
    <comment ref="F23" authorId="5" shapeId="0">
      <text>
        <t>chit trang:
9.490.000</t>
      </text>
    </comment>
    <comment ref="G23" authorId="4" shapeId="0">
      <text>
        <t>Tran Dat:
9.390.000</t>
      </text>
    </comment>
    <comment ref="B24" authorId="0" shapeId="0">
      <text>
        <t>was 12590000</t>
      </text>
    </comment>
    <comment ref="E24" authorId="3" shapeId="0">
      <text>
        <t>Last Week: 12.070.000</t>
      </text>
    </comment>
    <comment ref="G24" authorId="4" shapeId="0">
      <text>
        <t>Tran Dat:
11.890.000</t>
      </text>
    </comment>
    <comment ref="E25" authorId="3" shapeId="0">
      <text>
        <t xml:space="preserve">Last week: 10.370.000
</t>
      </text>
    </comment>
    <comment ref="F25" authorId="5" shapeId="0">
      <text>
        <t>chit trang:
10.390.000</t>
      </text>
    </comment>
    <comment ref="G25" authorId="4" shapeId="0">
      <text>
        <t>Tran Dat:
10.390.000</t>
      </text>
    </comment>
    <comment ref="E26" authorId="3" shapeId="0">
      <text>
        <t xml:space="preserve">
Last week: 12.870.000</t>
      </text>
    </comment>
    <comment ref="G26" authorId="4" shapeId="0">
      <text>
        <t>Tran Dat:
10.890.000</t>
      </text>
    </comment>
    <comment ref="F27" authorId="5" shapeId="0">
      <text>
        <t>chit trang:
21.290.000</t>
      </text>
    </comment>
    <comment ref="B28" authorId="0" shapeId="0">
      <text>
        <t>was 5690000</t>
      </text>
    </comment>
    <comment ref="C28" authorId="1" shapeId="0">
      <text>
        <t>Duy:
lw: 5.690</t>
      </text>
    </comment>
    <comment ref="E28" authorId="3" shapeId="0">
      <text>
        <t xml:space="preserve">Last week was: 5.370K
</t>
      </text>
    </comment>
    <comment ref="F28" authorId="5" shapeId="0">
      <text>
        <t>chit trang:
5.550.000</t>
      </text>
    </comment>
    <comment ref="B29" authorId="0" shapeId="0">
      <text>
        <t>was 3990000</t>
      </text>
    </comment>
    <comment ref="C29" authorId="1" shapeId="0">
      <text>
        <t>Duy:
Last Week: 3,790,000</t>
      </text>
    </comment>
    <comment ref="E29" authorId="3" shapeId="0">
      <text>
        <t xml:space="preserve">
Last week: 3.770.000</t>
      </text>
    </comment>
    <comment ref="F29" authorId="5" shapeId="0">
      <text>
        <t>chit trang:
3.950.000</t>
      </text>
    </comment>
    <comment ref="B30" authorId="0" shapeId="0">
      <text>
        <t>was 2690000</t>
      </text>
    </comment>
    <comment ref="C30" authorId="1" shapeId="0">
      <text>
        <t>Duy:
lw: 2.690</t>
      </text>
    </comment>
    <comment ref="F30" authorId="5" shapeId="0">
      <text>
        <t>chit trang:
2.690.000</t>
      </text>
    </comment>
    <comment ref="B31" authorId="0" shapeId="0">
      <text>
        <t>was 18290000</t>
      </text>
    </comment>
    <comment ref="D31" authorId="2" shapeId="0">
      <text>
        <t>Việt Hoàng:
Last week was:
18.390.000</t>
      </text>
    </comment>
    <comment ref="F31" authorId="5" shapeId="0">
      <text>
        <t>chit trang:
18.390.000</t>
      </text>
    </comment>
    <comment ref="D32" authorId="2" shapeId="0">
      <text>
        <t>Việt Hoàng:
Last week was:
23.590.000</t>
      </text>
    </comment>
    <comment ref="F32" authorId="5" shapeId="0">
      <text>
        <t>chit trang:
23.490.000</t>
      </text>
    </comment>
    <comment ref="B34" authorId="0" shapeId="0">
      <text>
        <t>was 31390000</t>
      </text>
    </comment>
    <comment ref="C34" authorId="1" shapeId="0">
      <text>
        <t>Duy:
lw: 31.390</t>
      </text>
    </comment>
  </commentList>
</comments>
</file>

<file path=xl/comments/comment23.xml><?xml version="1.0" encoding="utf-8"?>
<comments xmlns="http://schemas.openxmlformats.org/spreadsheetml/2006/main">
  <authors>
    <author>Sheva Son</author>
    <author>Microsoft Office User</author>
    <author>Việt Hoàng</author>
    <author>chit trang</author>
    <author>Duy Ha Minh</author>
    <author>Duy</author>
    <author>Tran Dat</author>
  </authors>
  <commentList>
    <comment ref="E2" authorId="0" shapeId="0">
      <text>
        <t xml:space="preserve">
CTKM đến 15/9:
Cơ hội bốc thăm trúng xe Wave Alpha 110cc đỏ.
Săn táo chớp nhoáng iPhone 15 128GB </t>
      </text>
    </comment>
    <comment ref="E3" authorId="0" shapeId="0">
      <text>
        <t xml:space="preserve">
CTKM đến 15/9:
Back to school, cơ hội trúng xe Wave Alpha 110cc đỏ.
Săn táo hớp nhoáng:
iPhone 15 Plus 128GB Pink: 21.990K
iPhone 15 Plus 256GB Pink: 24.790K</t>
      </text>
    </comment>
    <comment ref="B4" authorId="1" shapeId="0">
      <text>
        <t>was 24990000</t>
      </text>
    </comment>
    <comment ref="D4" authorId="2" shapeId="0">
      <text>
        <t>Việt Hoàng:
Last week was
24.890.000</t>
      </text>
    </comment>
    <comment ref="E4" authorId="0" shapeId="0">
      <text>
        <t xml:space="preserve">
CTKM đến 15/9:
Giảm 500K mua Online (đã trừ vào giá)
Giảm 500K màu Blue titanium</t>
      </text>
    </comment>
    <comment ref="F4" authorId="3" shapeId="0">
      <text>
        <t>chit trang:
24.390.000</t>
      </text>
    </comment>
    <comment ref="B5" authorId="1" shapeId="0">
      <text>
        <t>was 29490000</t>
      </text>
    </comment>
    <comment ref="C5" authorId="4" shapeId="0">
      <text>
        <t>Duy Ha Minh:
lw: 29.490</t>
      </text>
    </comment>
    <comment ref="E5" authorId="0" shapeId="0">
      <text>
        <t>Last week was: 28.690.000
Giảm 1.000.000VND (Đã trừ vào giá)
Giảm 1% tối đa 300K khi mở ví VNPAY</t>
      </text>
    </comment>
    <comment ref="B6" authorId="1" shapeId="0">
      <text>
        <t>was 19890000</t>
      </text>
    </comment>
    <comment ref="C6" authorId="4" shapeId="0">
      <text>
        <t>Duy Ha Minh:
lw: 19.890</t>
      </text>
    </comment>
    <comment ref="D6" authorId="2" shapeId="0">
      <text>
        <t>Việt Hoàng:
Last week was
19.790.000</t>
      </text>
    </comment>
    <comment ref="F6" authorId="3" shapeId="0">
      <text>
        <t>chit trang:
19.790.000</t>
      </text>
    </comment>
    <comment ref="B7" authorId="1" shapeId="0">
      <text>
        <t>was 16990000</t>
      </text>
    </comment>
    <comment ref="C7" authorId="5" shapeId="0">
      <text>
        <t>Duy:
lw: 16.990</t>
      </text>
    </comment>
    <comment ref="D7" authorId="2" shapeId="0">
      <text>
        <t>Việt Hoàng:
Last week was
16.890.000</t>
      </text>
    </comment>
    <comment ref="B8" authorId="1" shapeId="0">
      <text>
        <t>was 13990000</t>
      </text>
    </comment>
    <comment ref="C8" authorId="5" shapeId="0">
      <text>
        <t>Duy:
lw: 13.990</t>
      </text>
    </comment>
    <comment ref="D8" authorId="2" shapeId="0">
      <text>
        <t>Việt Hoàng:
Last week was
13.790.000</t>
      </text>
    </comment>
    <comment ref="F8" authorId="3" shapeId="0">
      <text>
        <t>chit trang:
Wass 13.950.000</t>
      </text>
    </comment>
    <comment ref="G8" authorId="6" shapeId="0">
      <text>
        <t>Tran Dat:
13.690.000</t>
      </text>
    </comment>
    <comment ref="C9" authorId="4" shapeId="0">
      <text>
        <t>Duy Ha Minh:
lw: 11.590</t>
      </text>
    </comment>
    <comment ref="E9" authorId="0" shapeId="0">
      <text>
        <t xml:space="preserve">Last week is: 11.390K
</t>
      </text>
    </comment>
    <comment ref="B10" authorId="1" shapeId="0">
      <text>
        <t>was 8890000</t>
      </text>
    </comment>
    <comment ref="D10" authorId="2" shapeId="0">
      <text>
        <t>Việt Hoàng:
Last wekk was
8.840.000</t>
      </text>
    </comment>
    <comment ref="E10" authorId="0" shapeId="0">
      <text>
        <t>Giảm 200K khi mua Online (đã trừ vào giá)</t>
      </text>
    </comment>
    <comment ref="F12" authorId="3" shapeId="0">
      <text>
        <t>chit trang:
Wass 12.790.000</t>
      </text>
    </comment>
    <comment ref="E13" authorId="0" shapeId="0">
      <text>
        <t>Last week is: 9.690K
Giảm 200K mua Online
Giảm 10% tối đa 120K khi mở ví VNPAY</t>
      </text>
    </comment>
    <comment ref="F13" authorId="3" shapeId="0">
      <text>
        <t>chit trang:
9.790.000</t>
      </text>
    </comment>
    <comment ref="B14" authorId="1" shapeId="0">
      <text>
        <t>was 7190000</t>
      </text>
    </comment>
    <comment ref="C14" authorId="1" shapeId="0">
      <text>
        <t>lw: 7.190</t>
      </text>
    </comment>
    <comment ref="E14" authorId="0" shapeId="0">
      <text>
        <t>Giảm 10% tối đa 120K khi mở ví VNPAY</t>
      </text>
    </comment>
    <comment ref="F14" authorId="3" shapeId="0">
      <text>
        <t>chit trang:
7.150.000</t>
      </text>
    </comment>
    <comment ref="E15" authorId="0" shapeId="0">
      <text>
        <t>Last week is: 16.325K
Giảm 10% tối đa 300K khi mở ví VNPAY</t>
      </text>
    </comment>
    <comment ref="F15" authorId="3" shapeId="0">
      <text>
        <t>chit trang:
Wass 16.990.000</t>
      </text>
    </comment>
    <comment ref="G15" authorId="6" shapeId="0">
      <text>
        <t>Tran Dat:
16.390.000</t>
      </text>
    </comment>
    <comment ref="E16" authorId="0" shapeId="0">
      <text>
        <t>Last week is: 21,290K
Giảm 10% tối đa 300K khi mở ví VNPAY</t>
      </text>
    </comment>
    <comment ref="F16" authorId="3" shapeId="0">
      <text>
        <t>chit trang:
21.790.000</t>
      </text>
    </comment>
    <comment ref="E17" authorId="0" shapeId="0">
      <text>
        <t>Last week is: 27.215K
Giảm 10% tối đa 300K khi mở ví VNPAY</t>
      </text>
    </comment>
    <comment ref="F17" authorId="3" shapeId="0">
      <text>
        <t>chit trang:
Wass 27.490.000</t>
      </text>
    </comment>
    <comment ref="F18" authorId="3" shapeId="0">
      <text>
        <t>chit trang:
36.790.000</t>
      </text>
    </comment>
    <comment ref="E19" authorId="0" shapeId="0">
      <text>
        <t>Last week: 5.870.000</t>
      </text>
    </comment>
    <comment ref="F19" authorId="3" shapeId="0">
      <text>
        <t>chit trang:
6.190.000</t>
      </text>
    </comment>
    <comment ref="E20" authorId="0" shapeId="0">
      <text>
        <t>Last week: 7.190.000</t>
      </text>
    </comment>
    <comment ref="B21" authorId="1" shapeId="0">
      <text>
        <t>was 6890000</t>
      </text>
    </comment>
    <comment ref="C21" authorId="5" shapeId="0">
      <text>
        <t>Duy:
lw: 6.890</t>
      </text>
    </comment>
    <comment ref="E21" authorId="0" shapeId="0">
      <text>
        <t>Last week: 6.470.000</t>
      </text>
    </comment>
    <comment ref="B22" authorId="1" shapeId="0">
      <text>
        <t>was 8290000</t>
      </text>
    </comment>
    <comment ref="E22" authorId="0" shapeId="0">
      <text>
        <t>Last week was: 7.870.000</t>
      </text>
    </comment>
    <comment ref="B23" authorId="1" shapeId="0">
      <text>
        <t>was 9890000</t>
      </text>
    </comment>
    <comment ref="C23" authorId="1" shapeId="0">
      <text>
        <t>lw 9890000</t>
      </text>
    </comment>
    <comment ref="E23" authorId="0" shapeId="0">
      <text>
        <t>Last week: 9.670K</t>
      </text>
    </comment>
    <comment ref="F23" authorId="3" shapeId="0">
      <text>
        <t>chit trang:
9.790.000</t>
      </text>
    </comment>
    <comment ref="B24" authorId="1" shapeId="0">
      <text>
        <t>was 12490000</t>
      </text>
    </comment>
    <comment ref="E24" authorId="0" shapeId="0">
      <text>
        <t>Last Week: 12.070.000</t>
      </text>
    </comment>
    <comment ref="B25" authorId="1" shapeId="0">
      <text>
        <t>was 10890000</t>
      </text>
    </comment>
    <comment ref="C25" authorId="1" shapeId="0">
      <text>
        <t>lw 10.8900</t>
      </text>
    </comment>
    <comment ref="E25" authorId="0" shapeId="0">
      <text>
        <t xml:space="preserve">Last week: 10.370.000
</t>
      </text>
    </comment>
    <comment ref="F25" authorId="3" shapeId="0">
      <text>
        <t>chit trang:
10.790.000</t>
      </text>
    </comment>
    <comment ref="B26" authorId="1" shapeId="0">
      <text>
        <t>was 13690000</t>
      </text>
    </comment>
    <comment ref="E26" authorId="0" shapeId="0">
      <text>
        <t xml:space="preserve">
Last week: 12.870.000</t>
      </text>
    </comment>
    <comment ref="B27" authorId="1" shapeId="0">
      <text>
        <t>was 21190000</t>
      </text>
    </comment>
    <comment ref="F27" authorId="3" shapeId="0">
      <text>
        <t>chit trang:
21.190.000</t>
      </text>
    </comment>
    <comment ref="E28" authorId="0" shapeId="0">
      <text>
        <t xml:space="preserve">Last week was: 5.520K
Giảm 10% tối đa 120K khi mở ví VNPAY
</t>
      </text>
    </comment>
    <comment ref="F28" authorId="3" shapeId="0">
      <text>
        <t>chit trang:
5.550.000</t>
      </text>
    </comment>
    <comment ref="E29" authorId="0" shapeId="0">
      <text>
        <t xml:space="preserve">
Last week: 3.770.000</t>
      </text>
    </comment>
    <comment ref="F29" authorId="3" shapeId="0">
      <text>
        <t>chit trang:
3.950.000</t>
      </text>
    </comment>
    <comment ref="B30" authorId="1" shapeId="0">
      <text>
        <t>was 2790000</t>
      </text>
    </comment>
    <comment ref="C30" authorId="1" shapeId="0">
      <text>
        <t>was 2.790</t>
      </text>
    </comment>
    <comment ref="D30" authorId="2" shapeId="0">
      <text>
        <t>Việt Hoàng:
Last week was
2.790.000</t>
      </text>
    </comment>
    <comment ref="F30" authorId="3" shapeId="0">
      <text>
        <t>chit trang:
2.790.000</t>
      </text>
    </comment>
    <comment ref="B31" authorId="1" shapeId="0">
      <text>
        <t>was 18490000</t>
      </text>
    </comment>
    <comment ref="C31" authorId="1" shapeId="0">
      <text>
        <t>lw 18.490</t>
      </text>
    </comment>
    <comment ref="D31" authorId="2" shapeId="0">
      <text>
        <t>Việt Hoàng:
Last week was:
18.290.000</t>
      </text>
    </comment>
    <comment ref="F31" authorId="3" shapeId="0">
      <text>
        <t>chit trang:
18.290.000</t>
      </text>
    </comment>
    <comment ref="B32" authorId="1" shapeId="0">
      <text>
        <t>was 23890000</t>
      </text>
    </comment>
    <comment ref="C32" authorId="1" shapeId="0">
      <text>
        <t>lw 23.890</t>
      </text>
    </comment>
    <comment ref="F32" authorId="3" shapeId="0">
      <text>
        <t>chit trang:
23.790.000</t>
      </text>
    </comment>
    <comment ref="F33" authorId="3" shapeId="0">
      <text>
        <t>chit trang:
26.990.000</t>
      </text>
    </comment>
    <comment ref="B34" authorId="1" shapeId="0">
      <text>
        <t>was 31390000</t>
      </text>
    </comment>
    <comment ref="C34" authorId="1" shapeId="0">
      <text>
        <t>lw 31.390</t>
      </text>
    </comment>
    <comment ref="B35" authorId="1" shapeId="0">
      <text>
        <t xml:space="preserve">was 38290000
</t>
      </text>
    </comment>
    <comment ref="C35" authorId="1" shapeId="0">
      <text>
        <t xml:space="preserve">lw 38.290
</t>
      </text>
    </comment>
  </commentList>
</comments>
</file>

<file path=xl/comments/comment24.xml><?xml version="1.0" encoding="utf-8"?>
<comments xmlns="http://schemas.openxmlformats.org/spreadsheetml/2006/main">
  <authors>
    <author>Sheva Son</author>
    <author>Microsoft Office User</author>
    <author>chit trang</author>
    <author>Duy Ha Minh</author>
    <author>Người dùng Khách</author>
    <author>Tran Dat</author>
    <author>Việt Hoàng</author>
  </authors>
  <commentList>
    <comment ref="E2" authorId="0" shapeId="0">
      <text>
        <t>Giảm 500K cho khách Pre-order (trừ màu titan sa mạc).
Giảm 300K VNPAY
Giảm 500K khi thanh toán qua Zalo Pay (160 suất)
Giảm VPBank 2000K (200 suất mua iPhone 16 series)
Đổi điểm Viettel++ lên tới 6000K</t>
      </text>
    </comment>
    <comment ref="E3" authorId="0" shapeId="0">
      <text>
        <t>Giảm 500K cho khách Pre-order (trừ màu titan sa mạc).
Giảm 300K VNPAY
Giảm 500K khi thanh toán qua Zalo Pay (160 suất)
Giảm VPBank 2000K (200 suất mua iPhone 16 series)
Đổi điểm Viettel++ lên tới 6000K</t>
      </text>
    </comment>
    <comment ref="E4" authorId="0" shapeId="0">
      <text>
        <t xml:space="preserve">Giảm 500K cho khách Pre-order (trừ màu titan sa mạc).
Giảm VPBank 2000K (200 suất mua iPhone 16 series)
Đổi điểm Viettel++ lên tới 6000K
Hoặc giảm ngay 1.500K ap dụng cho cả titan sa mạc
</t>
      </text>
    </comment>
    <comment ref="E5" authorId="0" shapeId="0">
      <text>
        <t>Giảm 500K cho khách Pre-order (trừ màu titan sa mạc).
Giảm 500K khi thanh toán qua Zalo Pay (160 suất)
Giảm VPBank 2000K (200 suất mua iPhone 16 series)
Đổi điểm Viettel++ lên tới 6000K</t>
      </text>
    </comment>
    <comment ref="B6" authorId="1" shapeId="0">
      <text>
        <t>was 19690000
VNP100</t>
      </text>
    </comment>
    <comment ref="C6" authorId="1" shapeId="0">
      <text>
        <t xml:space="preserve">w12 19.690
</t>
      </text>
    </comment>
    <comment ref="E6" authorId="0" shapeId="0">
      <text>
        <t xml:space="preserve">
CTKM đến 15/9:
Cơ hội bốc thăm trúng xe Wave Alpha 110cc đỏ.
Săn táo chớp nhoáng iPhone 15 128GB </t>
      </text>
    </comment>
    <comment ref="B7" authorId="1" shapeId="0">
      <text>
        <t>was 22690000
VNP100</t>
      </text>
    </comment>
    <comment ref="C7" authorId="1" shapeId="0">
      <text>
        <t>w12 22690</t>
      </text>
    </comment>
    <comment ref="E7" authorId="0" shapeId="0">
      <text>
        <t xml:space="preserve">
CTKM đến 15/9:
Back to school, cơ hội trúng xe Wave Alpha 110cc đỏ.
Săn táo hớp nhoáng:
iPhone 15 Plus 128GB Pink: 21.990K
iPhone 15 Plus 256GB Pink: 24.790K</t>
      </text>
    </comment>
    <comment ref="E8" authorId="0" shapeId="0">
      <text>
        <t xml:space="preserve">Last week is: 23.990K
Giảm 500K mua Online (đã trừ vào giá)
Giảm 500K màu Blue titanium
Giảm 300K VNPAY
</t>
      </text>
    </comment>
    <comment ref="F8" authorId="2" shapeId="0">
      <text>
        <t>chit trang:
24.490.000</t>
      </text>
    </comment>
    <comment ref="B9" authorId="1" shapeId="0">
      <text>
        <t>was 29590000
VNP100</t>
      </text>
    </comment>
    <comment ref="C9" authorId="3" shapeId="0">
      <text>
        <t>Duy Ha Minh:
lw: 29.590</t>
      </text>
    </comment>
    <comment ref="E9" authorId="0" shapeId="0">
      <text>
        <t>Last week was: 28.690.000
Giảm 1.000.000VND (Đã trừ vào giá)
Giảm 300K VNPAY</t>
      </text>
    </comment>
    <comment ref="F9" authorId="4" shapeId="0">
      <text>
        <t xml:space="preserve">Người dùng Không xác định:
</t>
      </text>
    </comment>
    <comment ref="G9" authorId="5" shapeId="0">
      <text>
        <t xml:space="preserve">Tran Dat:
28850000
</t>
      </text>
    </comment>
    <comment ref="B10" authorId="1" shapeId="0">
      <text>
        <t>was 20590000
VNP100</t>
      </text>
    </comment>
    <comment ref="C10" authorId="1" shapeId="0">
      <text>
        <t>w12 20.590</t>
      </text>
    </comment>
    <comment ref="F10" authorId="2" shapeId="0">
      <text>
        <t>chit trang:
19.790.000</t>
      </text>
    </comment>
    <comment ref="D12" authorId="6" shapeId="0">
      <text>
        <t>Việt Hoàng:
Last week was
13.890.000</t>
      </text>
    </comment>
    <comment ref="B13" authorId="1" shapeId="0">
      <text>
        <t>was 11590000
VNP100</t>
      </text>
    </comment>
    <comment ref="C13" authorId="3" shapeId="0">
      <text>
        <t>Duy Ha Minh:
lw: 10.990</t>
      </text>
    </comment>
    <comment ref="E13" authorId="0" shapeId="0">
      <text>
        <t xml:space="preserve">Last week is: 11.390K
</t>
      </text>
    </comment>
    <comment ref="B14" authorId="1" shapeId="0">
      <text>
        <t>was 8990000
VNP50</t>
      </text>
    </comment>
    <comment ref="C14" authorId="1" shapeId="0">
      <text>
        <t>w12 8990</t>
      </text>
    </comment>
    <comment ref="E14" authorId="0" shapeId="0">
      <text>
        <t>Giảm 200K khi mua Online (đã trừ vào giá)</t>
      </text>
    </comment>
    <comment ref="B16" authorId="1" shapeId="0">
      <text>
        <t xml:space="preserve">Microsoft Office User:
</t>
      </text>
    </comment>
    <comment ref="F16" authorId="2" shapeId="0">
      <text>
        <t>chit trang:
Wass 12.790.000</t>
      </text>
    </comment>
    <comment ref="B17" authorId="1" shapeId="0">
      <text>
        <t xml:space="preserve">was 9990000
</t>
      </text>
    </comment>
    <comment ref="C17" authorId="1" shapeId="0">
      <text>
        <t xml:space="preserve">w12 8990
</t>
      </text>
    </comment>
    <comment ref="E17" authorId="0" shapeId="0">
      <text>
        <t>Last week is: 9.690K
Giảm 200K mua Online
Giảm 10% tối đa 120K khi mở ví VNPAY</t>
      </text>
    </comment>
    <comment ref="F17" authorId="2" shapeId="0">
      <text>
        <t>chit trang:
9.790.000</t>
      </text>
    </comment>
    <comment ref="B18" authorId="1" shapeId="0">
      <text>
        <t>was 7690000
VNP50</t>
      </text>
    </comment>
    <comment ref="C18" authorId="1" shapeId="0">
      <text>
        <t>w12 7690</t>
      </text>
    </comment>
    <comment ref="E18" authorId="0" shapeId="0">
      <text>
        <t>Giảm 10% tối đa 120K khi mở ví VNPAY</t>
      </text>
    </comment>
    <comment ref="F18" authorId="2" shapeId="0">
      <text>
        <t>chit trang:
7.090.000</t>
      </text>
    </comment>
    <comment ref="B19" authorId="1" shapeId="0">
      <text>
        <t>was 16990000
VNP100</t>
      </text>
    </comment>
    <comment ref="E19" authorId="0" shapeId="0">
      <text>
        <t>Last week is: 16.325K
Giảm 10% tối đa 300K khi mở ví VNPAY</t>
      </text>
    </comment>
    <comment ref="F19" authorId="2" shapeId="0">
      <text>
        <t>chit trang:
Wass 16.590.000</t>
      </text>
    </comment>
    <comment ref="B20" authorId="1" shapeId="0">
      <text>
        <t>was 22490000
VNP100</t>
      </text>
    </comment>
    <comment ref="E20" authorId="0" shapeId="0">
      <text>
        <t>Last week is: 21,290K
Giảm 10% tối đa 300K khi mở ví VNPAY</t>
      </text>
    </comment>
    <comment ref="B21" authorId="1" shapeId="0">
      <text>
        <t>was 27790000
VNP100</t>
      </text>
    </comment>
    <comment ref="E21" authorId="0" shapeId="0">
      <text>
        <t>Last week is: 27.215K
Giảm 10% tối đa 300K khi mở ví VNPAY</t>
      </text>
    </comment>
    <comment ref="F21" authorId="2" shapeId="0">
      <text>
        <t>chit trang:
Wass 27.790.000</t>
      </text>
    </comment>
    <comment ref="B22" authorId="1" shapeId="0">
      <text>
        <t>was 37290000
VNP100</t>
      </text>
    </comment>
    <comment ref="B23" authorId="1" shapeId="0">
      <text>
        <t xml:space="preserve">was 6090000
VNP50
</t>
      </text>
    </comment>
    <comment ref="E23" authorId="0" shapeId="0">
      <text>
        <t>Last week: 5.870.000</t>
      </text>
    </comment>
    <comment ref="B24" authorId="1" shapeId="0">
      <text>
        <t>was 7490000
VNP50</t>
      </text>
    </comment>
    <comment ref="D24" authorId="6" shapeId="0">
      <text>
        <t>Việt Hoàng:
Last week: 7.340;000</t>
      </text>
    </comment>
    <comment ref="E24" authorId="0" shapeId="0">
      <text>
        <t>Last week: 7.190.000</t>
      </text>
    </comment>
    <comment ref="B25" authorId="1" shapeId="0">
      <text>
        <t>was 6990000
VNP50</t>
      </text>
    </comment>
    <comment ref="C25" authorId="1" shapeId="0">
      <text>
        <t>w12 6990</t>
      </text>
    </comment>
    <comment ref="D25" authorId="6" shapeId="0">
      <text>
        <t>Việt Hoàng:
Last week: 6.940.000</t>
      </text>
    </comment>
    <comment ref="E25" authorId="0" shapeId="0">
      <text>
        <t>Last week: 6.470.000</t>
      </text>
    </comment>
    <comment ref="B26" authorId="1" shapeId="0">
      <text>
        <t>was 7990000
VNP50</t>
      </text>
    </comment>
    <comment ref="D26" authorId="6" shapeId="0">
      <text>
        <t>Việt Hoàng:
Last week: 8.140.000</t>
      </text>
    </comment>
    <comment ref="E26" authorId="0" shapeId="0">
      <text>
        <t>Last week was: 7.870.000</t>
      </text>
    </comment>
    <comment ref="G26" authorId="5" shapeId="0">
      <text>
        <t>Tran Dat:
8090000</t>
      </text>
    </comment>
    <comment ref="B27" authorId="1" shapeId="0">
      <text>
        <t>was 8990000
VNP50</t>
      </text>
    </comment>
    <comment ref="C27" authorId="1" shapeId="0">
      <text>
        <t>w12 8990</t>
      </text>
    </comment>
    <comment ref="D27" authorId="6" shapeId="0">
      <text>
        <t>Việt Hoàng:
Last week: 9.440.000</t>
      </text>
    </comment>
    <comment ref="E27" authorId="0" shapeId="0">
      <text>
        <t>Last week: 9.670K</t>
      </text>
    </comment>
    <comment ref="B28" authorId="1" shapeId="0">
      <text>
        <t>was 12790000
VNP100</t>
      </text>
    </comment>
    <comment ref="E28" authorId="0" shapeId="0">
      <text>
        <t>Last Week: 12.070.000</t>
      </text>
    </comment>
    <comment ref="B29" authorId="1" shapeId="0">
      <text>
        <t>was 9790000
VNP100</t>
      </text>
    </comment>
    <comment ref="C29" authorId="1" shapeId="0">
      <text>
        <t>w12 9790</t>
      </text>
    </comment>
    <comment ref="E29" authorId="0" shapeId="0">
      <text>
        <t xml:space="preserve">Last week: 10.370.000
</t>
      </text>
    </comment>
    <comment ref="B30" authorId="1" shapeId="0">
      <text>
        <t>was 13590000
VNP100</t>
      </text>
    </comment>
    <comment ref="E30" authorId="0" shapeId="0">
      <text>
        <t xml:space="preserve">
Last week: 12.870.000</t>
      </text>
    </comment>
    <comment ref="B31" authorId="1" shapeId="0">
      <text>
        <t>was 21190000</t>
      </text>
    </comment>
    <comment ref="F31" authorId="2" shapeId="0">
      <text>
        <t>chit trang:
21.190.000</t>
      </text>
    </comment>
    <comment ref="B32" authorId="1" shapeId="0">
      <text>
        <t>was 5790000
VNP50</t>
      </text>
    </comment>
    <comment ref="E32" authorId="0" shapeId="0">
      <text>
        <t xml:space="preserve">Last week was: 5.520K
Giảm 10% tối đa 120K khi mở ví VNPAY
</t>
      </text>
    </comment>
    <comment ref="B33" authorId="1" shapeId="0">
      <text>
        <t>was 4090000
VNP50</t>
      </text>
    </comment>
    <comment ref="E33" authorId="0" shapeId="0">
      <text>
        <t xml:space="preserve">
Last week: 3.770.000</t>
      </text>
    </comment>
    <comment ref="F35" authorId="2" shapeId="0">
      <text>
        <t>chit trang:
18.390.000</t>
      </text>
    </comment>
    <comment ref="B36" authorId="1" shapeId="0">
      <text>
        <t>was 24790000
VNP100</t>
      </text>
    </comment>
    <comment ref="C36" authorId="1" shapeId="0">
      <text>
        <t>w12 24790</t>
      </text>
    </comment>
    <comment ref="F36" authorId="2" shapeId="0">
      <text>
        <t>chit trang:
23.390.000</t>
      </text>
    </comment>
    <comment ref="B37" authorId="1" shapeId="0">
      <text>
        <t>was 27090000
VNP100</t>
      </text>
    </comment>
    <comment ref="C37" authorId="1" shapeId="0">
      <text>
        <t>w12 27090</t>
      </text>
    </comment>
    <comment ref="F37" authorId="2" shapeId="0">
      <text>
        <t>chit trang:
26.790.000</t>
      </text>
    </comment>
    <comment ref="B38" authorId="1" shapeId="0">
      <text>
        <t>was 31290000
VNP100</t>
      </text>
    </comment>
    <comment ref="C38" authorId="1" shapeId="0">
      <text>
        <t xml:space="preserve">w12: 31290
</t>
      </text>
    </comment>
    <comment ref="F38" authorId="4" shapeId="0">
      <text>
        <t>Người dùng Không xác định:
31.190.000</t>
      </text>
    </comment>
    <comment ref="B39" authorId="1" shapeId="0">
      <text>
        <t>was 38190000
VNP100</t>
      </text>
    </comment>
    <comment ref="C39" authorId="1" shapeId="0">
      <text>
        <t>w12: 38190</t>
      </text>
    </comment>
  </commentList>
</comments>
</file>

<file path=xl/comments/comment25.xml><?xml version="1.0" encoding="utf-8"?>
<comments xmlns="http://schemas.openxmlformats.org/spreadsheetml/2006/main">
  <authors>
    <author>Microsoft Office User</author>
    <author>Sheva Son</author>
    <author>Người dùng Khách</author>
    <author>Tran Dat</author>
    <author>Việt Hoàng</author>
    <author>chit trang</author>
  </authors>
  <commentList>
    <comment ref="B2" authorId="0" shapeId="0">
      <text>
        <t>was 22990000
VNP100</t>
      </text>
    </comment>
    <comment ref="C2" authorId="0" shapeId="0">
      <text>
        <t xml:space="preserve">w13 22.990
</t>
      </text>
    </comment>
    <comment ref="E2" authorId="1" shapeId="0">
      <text>
        <t>Giảm 500K cho khách Pre-order (trừ màu titan sa mạc).
Giảm 300K VNPAY
Giảm 500K khi thanh toán qua Zalo Pay (160 suất)
Giảm VPBank 2000K (200 suất mua iPhone 16 series)
Đổi điểm Viettel++ lên tới 6000K</t>
      </text>
    </comment>
    <comment ref="F2" authorId="2" shapeId="0">
      <text>
        <t>Người dùng Không xác định:
22.990.000</t>
      </text>
    </comment>
    <comment ref="G2" authorId="3" shapeId="0">
      <text>
        <t xml:space="preserve">Tran Dat:
21.990.000
</t>
      </text>
    </comment>
    <comment ref="B3" authorId="0" shapeId="0">
      <text>
        <t xml:space="preserve">was 25990000
VNP100
</t>
      </text>
    </comment>
    <comment ref="C3" authorId="0" shapeId="0">
      <text>
        <t xml:space="preserve">w13  25.990
</t>
      </text>
    </comment>
    <comment ref="E3" authorId="1" shapeId="0">
      <text>
        <t>Giảm 500K cho khách Pre-order (trừ màu titan sa mạc).
Giảm 300K VNPAY
Giảm 500K khi thanh toán qua Zalo Pay (160 suất)
Đổi điểm Viettel++ lên tới 6000K</t>
      </text>
    </comment>
    <comment ref="F3" authorId="2" shapeId="0">
      <text>
        <t>Người dùng Không xác định:
25.990.000</t>
      </text>
    </comment>
    <comment ref="G3" authorId="3" shapeId="0">
      <text>
        <t>Tran Dat:
24.990.000</t>
      </text>
    </comment>
    <comment ref="B4" authorId="0" shapeId="0">
      <text>
        <t>was 28990000
VNP100</t>
      </text>
    </comment>
    <comment ref="C4" authorId="0" shapeId="0">
      <text>
        <t xml:space="preserve">w13  28.990
</t>
      </text>
    </comment>
    <comment ref="E4" authorId="1" shapeId="0">
      <text>
        <t xml:space="preserve">Giảm 500K cho khách Pre-order (trừ màu titan sa mạc).
Giảm VPBank 2000K (200 suất mua iPhone 16 series)
Đổi điểm Viettel++ lên tới 6000K
Hoặc giảm ngay 1.500K ap dụng cho cả titan sa mạc
</t>
      </text>
    </comment>
    <comment ref="F4" authorId="2" shapeId="0">
      <text>
        <t>Người dùng Không xác định:
28.990.000</t>
      </text>
    </comment>
    <comment ref="G4" authorId="3" shapeId="0">
      <text>
        <t>Tran Dat:
28.990.000</t>
      </text>
    </comment>
    <comment ref="B5" authorId="0" shapeId="0">
      <text>
        <t>was 34990000
VNP100</t>
      </text>
    </comment>
    <comment ref="C5" authorId="0" shapeId="0">
      <text>
        <t xml:space="preserve">w13  34.990
</t>
      </text>
    </comment>
    <comment ref="E5" authorId="1" shapeId="0">
      <text>
        <t>Giảm 500K cho khách Pre-order (trừ màu titan sa mạc).
Giảm 500K khi thanh toán qua Zalo Pay (160 suất)
Giảm VPBank 2000K (200 suất mua iPhone 16 series)
Đổi điểm Viettel++ lên tới 6000K</t>
      </text>
    </comment>
    <comment ref="F5" authorId="2" shapeId="0">
      <text>
        <t>Người dùng Không xác định:
34.990.000</t>
      </text>
    </comment>
    <comment ref="G5" authorId="3" shapeId="0">
      <text>
        <t>Tran Dat:
34.990.000</t>
      </text>
    </comment>
    <comment ref="D6" authorId="4" shapeId="0">
      <text>
        <t>Việt Hoàng:
Last Week:
19.590.000</t>
      </text>
    </comment>
    <comment ref="F6" authorId="2" shapeId="0">
      <text>
        <t>Người dùng Không xác định:
19.090.000</t>
      </text>
    </comment>
    <comment ref="D7" authorId="4" shapeId="0">
      <text>
        <t>Việt Hoàng:
Last Week:
22.590.000</t>
      </text>
    </comment>
    <comment ref="F7" authorId="2" shapeId="0">
      <text>
        <t>Người dùng Không xác định:
22.490.000</t>
      </text>
    </comment>
    <comment ref="B8" authorId="0" shapeId="0">
      <text>
        <t xml:space="preserve">was 25090000
VNP100
</t>
      </text>
    </comment>
    <comment ref="D8" authorId="4" shapeId="0">
      <text>
        <t>Việt Hoàng:
Last week:
24.990.000</t>
      </text>
    </comment>
    <comment ref="E8" authorId="1" shapeId="0">
      <text>
        <t xml:space="preserve">Last week is: 23.990K
Giảm 500K màu Blue titanium
</t>
      </text>
    </comment>
    <comment ref="F8" authorId="5" shapeId="0">
      <text>
        <t>chit trang:
24.790.000</t>
      </text>
    </comment>
    <comment ref="D9" authorId="4" shapeId="0">
      <text>
        <t>Việt Hoàng:
Last Week:
29.290.000</t>
      </text>
    </comment>
    <comment ref="E9" authorId="1" shapeId="0">
      <text>
        <t xml:space="preserve">Last week was: 28.690.000
Giảm 1.000.000VND mua hàng Online (đã trừ vào giá)
</t>
      </text>
    </comment>
    <comment ref="F9" authorId="2" shapeId="0">
      <text>
        <t>Người dùng Không xác định:
28.750.000</t>
      </text>
    </comment>
    <comment ref="D10" authorId="4" shapeId="0">
      <text>
        <t>Việt Hoàng:
20.090.000</t>
      </text>
    </comment>
    <comment ref="E10" authorId="1" shapeId="0">
      <text>
        <t xml:space="preserve">Chỉ còn màu Purple
</t>
      </text>
    </comment>
    <comment ref="F10" authorId="5" shapeId="0">
      <text>
        <t>chit trang:
19.790.000</t>
      </text>
    </comment>
    <comment ref="D11" authorId="4" shapeId="0">
      <text>
        <t>Việt Hoàng:
Last week:
16.990.000</t>
      </text>
    </comment>
    <comment ref="B12" authorId="0" shapeId="0">
      <text>
        <t>was 14090000
VNP100</t>
      </text>
    </comment>
    <comment ref="C12" authorId="0" shapeId="0">
      <text>
        <t xml:space="preserve">w13  14.090
</t>
      </text>
    </comment>
    <comment ref="D12" authorId="4" shapeId="0">
      <text>
        <t>Việt Hoàng:
Last week was
13.990.000</t>
      </text>
    </comment>
    <comment ref="E12" authorId="1" shapeId="0">
      <text>
        <t xml:space="preserve">Giảm 100K mua Online(Đã trừ vào giá)
</t>
      </text>
    </comment>
    <comment ref="F12" authorId="2" shapeId="0">
      <text>
        <t>Người dùng Không xác định:
13.850.000</t>
      </text>
    </comment>
    <comment ref="D13" authorId="4" shapeId="0">
      <text>
        <t>Việt Hoàng:
Last week:
10.890.000</t>
      </text>
    </comment>
    <comment ref="D14" authorId="4" shapeId="0">
      <text>
        <t>Việt Hoàng:
Last week:
8.940.000</t>
      </text>
    </comment>
    <comment ref="E14" authorId="1" shapeId="0">
      <text>
        <t>Giảm 200K khi mua Online (đã trừ vào giá)</t>
      </text>
    </comment>
    <comment ref="B16" authorId="0" shapeId="0">
      <text>
        <t xml:space="preserve">was 12890000
VNP100
</t>
      </text>
    </comment>
    <comment ref="D16" authorId="4" shapeId="0">
      <text>
        <t>Việt Hoàng:
Last week:
12.690.000</t>
      </text>
    </comment>
    <comment ref="D17" authorId="4" shapeId="0">
      <text>
        <t>Việt Hoàng:
Last week
9.940.000</t>
      </text>
    </comment>
    <comment ref="E17" authorId="1" shapeId="0">
      <text>
        <t>Last week is: 9.690K
Giảm 200K mua Online
Giảm 10% tối đa 120K khi mở ví VNPAY</t>
      </text>
    </comment>
    <comment ref="F17" authorId="5" shapeId="0">
      <text>
        <t>chit trang:
9.490.000</t>
      </text>
    </comment>
    <comment ref="D18" authorId="4" shapeId="0">
      <text>
        <t>Việt Hoàng:
Last week:
7.140.000</t>
      </text>
    </comment>
    <comment ref="E18" authorId="1" shapeId="0">
      <text>
        <t>Giảm 10% tối đa 120K khi mở ví VNPAY</t>
      </text>
    </comment>
    <comment ref="D19" authorId="4" shapeId="0">
      <text>
        <t>Việt Hoàng:
Last week
16.890.000</t>
      </text>
    </comment>
    <comment ref="E19" authorId="1" shapeId="0">
      <text>
        <t>Last week is: 16.390K
Giảm 10% tối đa 300K VNPAY</t>
      </text>
    </comment>
    <comment ref="D20" authorId="4" shapeId="0">
      <text>
        <t>Việt Hoàng:
Last week
21.890.000</t>
      </text>
    </comment>
    <comment ref="E20" authorId="1" shapeId="0">
      <text>
        <t>Last week is: 21,490K
Giảm 10% tối đa 300K VNPAY</t>
      </text>
    </comment>
    <comment ref="G20" authorId="3" shapeId="0">
      <text>
        <t>Tran Dat:
21.990.000</t>
      </text>
    </comment>
    <comment ref="D21" authorId="4" shapeId="0">
      <text>
        <t>Việt Hoàng:
Last week
27.590.000</t>
      </text>
    </comment>
    <comment ref="E21" authorId="1" shapeId="0">
      <text>
        <t>Last week is: 27.490K
Giảm 10% tối đa 300K VNPAY</t>
      </text>
    </comment>
    <comment ref="D22" authorId="4" shapeId="0">
      <text>
        <t>Việt Hoàng:
Last week
36.490.000</t>
      </text>
    </comment>
    <comment ref="D23" authorId="4" shapeId="0">
      <text>
        <t>Việt Hoàng:
Last week
5.940.000</t>
      </text>
    </comment>
    <comment ref="E23" authorId="1" shapeId="0">
      <text>
        <t>Last week: 5.870.000</t>
      </text>
    </comment>
    <comment ref="F23" authorId="2" shapeId="0">
      <text>
        <t>Người dùng Không xác định:
5.990.000</t>
      </text>
    </comment>
    <comment ref="D24" authorId="4" shapeId="0">
      <text>
        <t>Việt Hoàng:
Last week: 7.240;000</t>
      </text>
    </comment>
    <comment ref="E24" authorId="1" shapeId="0">
      <text>
        <t>Last week: 7.190.000</t>
      </text>
    </comment>
    <comment ref="F24" authorId="2" shapeId="0">
      <text>
        <t>Người dùng Không xác định:
7.390.000</t>
      </text>
    </comment>
    <comment ref="D25" authorId="4" shapeId="0">
      <text>
        <t>Việt Hoàng:
Last week: 6.740.000</t>
      </text>
    </comment>
    <comment ref="E25" authorId="1" shapeId="0">
      <text>
        <t>Last week: 6.470.000</t>
      </text>
    </comment>
    <comment ref="F25" authorId="2" shapeId="0">
      <text>
        <t>Người dùng Không xác định:
6.990.000</t>
      </text>
    </comment>
    <comment ref="D26" authorId="4" shapeId="0">
      <text>
        <t>Việt Hoàng:
Last week: 8.040.000</t>
      </text>
    </comment>
    <comment ref="E26" authorId="1" shapeId="0">
      <text>
        <t>Last week was: 7.870.000</t>
      </text>
    </comment>
    <comment ref="F26" authorId="2" shapeId="0">
      <text>
        <t>Người dùng Không xác định:
8.190.000</t>
      </text>
    </comment>
    <comment ref="G26" authorId="3" shapeId="0">
      <text>
        <t>Tran Dat:
7.690.000</t>
      </text>
    </comment>
    <comment ref="D27" authorId="4" shapeId="0">
      <text>
        <t>Việt Hoàng:
Last week: 9.540.000</t>
      </text>
    </comment>
    <comment ref="D28" authorId="4" shapeId="0">
      <text>
        <t>Việt Hoàng:
Last week
12.190.000</t>
      </text>
    </comment>
    <comment ref="D29" authorId="4" shapeId="0">
      <text>
        <t>Việt Hoàng:
Last week
10.490.000</t>
      </text>
    </comment>
    <comment ref="F29" authorId="2" shapeId="0">
      <text>
        <t>Người dùng Không xác định:
10.390.000</t>
      </text>
    </comment>
    <comment ref="D30" authorId="4" shapeId="0">
      <text>
        <t>Việt Hoàng:
Last week
13.390.000</t>
      </text>
    </comment>
    <comment ref="E30" authorId="1" shapeId="0">
      <text>
        <t xml:space="preserve">
Last week: 12.870.000</t>
      </text>
    </comment>
    <comment ref="B31" authorId="0" shapeId="0">
      <text>
        <t>was 20990000
VNP100</t>
      </text>
    </comment>
    <comment ref="C31" authorId="0" shapeId="0">
      <text>
        <t xml:space="preserve">w13  20.990
</t>
      </text>
    </comment>
    <comment ref="D31" authorId="4" shapeId="0">
      <text>
        <t>Việt Hoàng:
Last week
20.890.000</t>
      </text>
    </comment>
    <comment ref="D32" authorId="4" shapeId="0">
      <text>
        <t>Việt Hoàng:
Last week
5.740.000</t>
      </text>
    </comment>
    <comment ref="E32" authorId="1" shapeId="0">
      <text>
        <t xml:space="preserve">Last week was: 5.419K
</t>
      </text>
    </comment>
    <comment ref="E33" authorId="1" shapeId="0">
      <text>
        <t xml:space="preserve">
Last week: 3.770.000</t>
      </text>
    </comment>
    <comment ref="E34" authorId="1" shapeId="0">
      <text>
        <t>Last week is: 2.690K</t>
      </text>
    </comment>
    <comment ref="B35" authorId="0" shapeId="0">
      <text>
        <t>was 18390000
VNP100</t>
      </text>
    </comment>
    <comment ref="C35" authorId="0" shapeId="0">
      <text>
        <t xml:space="preserve">w13  18.390
</t>
      </text>
    </comment>
    <comment ref="F35" authorId="2" shapeId="0">
      <text>
        <t>Người dùng Không xác định:
18.290.000</t>
      </text>
    </comment>
    <comment ref="B36" authorId="0" shapeId="0">
      <text>
        <t>was 24690000
VNP100
Giảm giá để bỏ tặng Office</t>
      </text>
    </comment>
    <comment ref="C36" authorId="0" shapeId="0">
      <text>
        <t xml:space="preserve">w13  24.690
</t>
      </text>
    </comment>
    <comment ref="D36" authorId="4" shapeId="0">
      <text>
        <t>Việt Hoàng:
Last week
23.690.000</t>
      </text>
    </comment>
    <comment ref="F36" authorId="5" shapeId="0">
      <text>
        <t>chit trang:
23.490.000</t>
      </text>
    </comment>
    <comment ref="F38" authorId="2" shapeId="0">
      <text>
        <t>Người dùng Không xác định:
31.390.000</t>
      </text>
    </comment>
  </commentList>
</comments>
</file>

<file path=xl/comments/comment26.xml><?xml version="1.0" encoding="utf-8"?>
<comments xmlns="http://schemas.openxmlformats.org/spreadsheetml/2006/main">
  <authors>
    <author>Việt Hoàng</author>
    <author>Sheva Son</author>
    <author>Người dùng Khách</author>
    <author>Microsoft Office User</author>
    <author>chit trang</author>
    <author>Tran Dat</author>
  </authors>
  <commentList>
    <comment ref="D2" authorId="0" shapeId="0">
      <text>
        <t>Việt Hoàng:
Last week:
22.990.000 (VNP: 500k)</t>
      </text>
    </comment>
    <comment ref="E2" authorId="1" shapeId="0">
      <text>
        <t xml:space="preserve">Last week is: 22.990K
Giảm 500K cho khách Pre-order (trừ màu titan sa mạc).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2" authorId="2" shapeId="0">
      <text>
        <t>Người dùng Không xác định:
21.990.000</t>
      </text>
    </comment>
    <comment ref="D3" authorId="0" shapeId="0">
      <text>
        <t>Việt Hoàng:
Last week:
25.990.000 (VNP: 500k)</t>
      </text>
    </comment>
    <comment ref="E3" authorId="1" shapeId="0">
      <text>
        <t xml:space="preserve">Last week is: 25.990K
Giảm 500K cho khách Pre-order và thanh toán trong tháng 10/2024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D4" authorId="0" shapeId="0">
      <text>
        <t>Việt Hoàng:
Last week
28.990.000 (VNP: 500k)</t>
      </text>
    </comment>
    <comment ref="E4" authorId="1" shapeId="0">
      <text>
        <t xml:space="preserve">Last week is: 28.990K
Giảm 500K cho khách Pre-order và lấy hàng trong tháng 10/2024
Đổi điểm Viettel++ lên tới 6000K
Khách hàng chọn 01 trong các khuyến mại sau đây (Áp dụng cho Titan Sa Mạc trên giá 30.490.000đ) 
  Khuyến mại 1: Giảm ngay 1,500,000đ 
  Khuyến mại 2: Tặng ngay bảo hành 2 năm chính hãng và bộ phụ kiện ốp lưng kèm tấm dán màn hình iPhone 
  Khuyến mại 3: Tặng ngay bảo hành 2 năm chính hãng và phiếu mua hàng phụ kiện giảm giá 300,000đ 
</t>
      </text>
    </comment>
    <comment ref="D5" authorId="0" shapeId="0">
      <text>
        <t>Việt Hoàng:
Last week:
34.990.000 (VNP: 500k)</t>
      </text>
    </comment>
    <comment ref="E5" authorId="1" shapeId="0">
      <text>
        <t xml:space="preserve">Last week is: 34.990K
Giảm 500K cho khách Pre-order và nhận hàng trong tháng 10/2024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text>
    </comment>
    <comment ref="B6" authorId="3" shapeId="0">
      <text>
        <t>was 19590000
VNP100</t>
      </text>
    </comment>
    <comment ref="C6" authorId="3" shapeId="0">
      <text>
        <t xml:space="preserve">W1 19.590
</t>
      </text>
    </comment>
    <comment ref="B7" authorId="3" shapeId="0">
      <text>
        <t xml:space="preserve">was 22590
VNP 100
</t>
      </text>
    </comment>
    <comment ref="C7" authorId="3" shapeId="0">
      <text>
        <t>w1 22.590</t>
      </text>
    </comment>
    <comment ref="D7" authorId="0" shapeId="0">
      <text>
        <t>Việt Hoàng:
Last Week:
22.790.000</t>
      </text>
    </comment>
    <comment ref="F7" authorId="2" shapeId="0">
      <text>
        <t>Người dùng Không xác định:
22.690.000</t>
      </text>
    </comment>
    <comment ref="D8" authorId="0" shapeId="0">
      <text>
        <t>Việt Hoàng:
Last week:
25.190.000</t>
      </text>
    </comment>
    <comment ref="F8" authorId="4" shapeId="0">
      <text>
        <t>chit trang:
24.790.000</t>
      </text>
    </comment>
    <comment ref="E9" authorId="1" shapeId="0">
      <text>
        <t xml:space="preserve">Last week was: 28.990.000
Giảm 1.000.000VND mua hàng Online (đã trừ vào giá)
</t>
      </text>
    </comment>
    <comment ref="F9" authorId="2" shapeId="0">
      <text>
        <t>Người dùng Không xác định:
29.250.000</t>
      </text>
    </comment>
    <comment ref="G9" authorId="5" shapeId="0">
      <text>
        <t>Tran Dat:
28.790.000</t>
      </text>
    </comment>
    <comment ref="B10" authorId="3" shapeId="0">
      <text>
        <t xml:space="preserve">was 19890000
VNP100
</t>
      </text>
    </comment>
    <comment ref="C10" authorId="3" shapeId="0">
      <text>
        <t>w1 19.890</t>
      </text>
    </comment>
    <comment ref="D10" authorId="0" shapeId="0">
      <text>
        <t>Việt Hoàng:
Last week:
20.190.000</t>
      </text>
    </comment>
    <comment ref="E10" authorId="1" shapeId="0">
      <text>
        <t xml:space="preserve">Chỉ còn màu Purple
</t>
      </text>
    </comment>
    <comment ref="B12" authorId="3" shapeId="0">
      <text>
        <t>was 14190000
VNP100</t>
      </text>
    </comment>
    <comment ref="C12" authorId="3" shapeId="0">
      <text>
        <t>w1 14.190</t>
      </text>
    </comment>
    <comment ref="D12" authorId="0" shapeId="0">
      <text>
        <t>Việt Hoàng:
Last week was
14.290.000</t>
      </text>
    </comment>
    <comment ref="E12" authorId="1" shapeId="0">
      <text>
        <t xml:space="preserve">Giảm 100K mua Online(Đã trừ vào giá)
</t>
      </text>
    </comment>
    <comment ref="G12" authorId="5" shapeId="0">
      <text>
        <t>Tran Dat:
13.790.000</t>
      </text>
    </comment>
    <comment ref="E14" authorId="1" shapeId="0">
      <text>
        <t>Giảm 200K khi mua Online (đã trừ vào giá)</t>
      </text>
    </comment>
    <comment ref="D17" authorId="0" shapeId="0">
      <text>
        <t>Việt Hoàng:
Last week
9.990.000</t>
      </text>
    </comment>
    <comment ref="E17" authorId="1" shapeId="0">
      <text>
        <t>Last week is: 9.690K
Giảm 200K mua Online
Giảm 10% tối đa 120K khi mở ví VNPAY</t>
      </text>
    </comment>
    <comment ref="F17" authorId="4" shapeId="0">
      <text>
        <t>chit trang:
9.390.000</t>
      </text>
    </comment>
    <comment ref="E18" authorId="1" shapeId="0">
      <text>
        <t>Giảm 10% tối đa 120K khi mở ví VNPAY</t>
      </text>
    </comment>
    <comment ref="E19" authorId="1" shapeId="0">
      <text>
        <t>Last week is: 16.390K
Giảm 10% tối đa 300K VNPAY</t>
      </text>
    </comment>
    <comment ref="E20" authorId="1" shapeId="0">
      <text>
        <t>Last week is: 21,490K
Giảm 10% tối đa 300K VNPAY</t>
      </text>
    </comment>
    <comment ref="E21" authorId="1" shapeId="0">
      <text>
        <t>Last week is: 27.490K
Giảm 10% tối đa 300K VNPAY</t>
      </text>
    </comment>
    <comment ref="B23" authorId="3" shapeId="0">
      <text>
        <t xml:space="preserve">was 6040000
VNP50
</t>
      </text>
    </comment>
    <comment ref="C23" authorId="3" shapeId="0">
      <text>
        <t>w1 6.040</t>
      </text>
    </comment>
    <comment ref="E23" authorId="1" shapeId="0">
      <text>
        <t>Last week: 5.870.000</t>
      </text>
    </comment>
    <comment ref="G23" authorId="5" shapeId="0">
      <text>
        <t xml:space="preserve">Tran Dat:
5.890.000
</t>
      </text>
    </comment>
    <comment ref="B24" authorId="3" shapeId="0">
      <text>
        <t xml:space="preserve">was 7440000
VNP50
</t>
      </text>
    </comment>
    <comment ref="E24" authorId="1" shapeId="0">
      <text>
        <t>Last week: 7.190.000</t>
      </text>
    </comment>
    <comment ref="B25" authorId="3" shapeId="0">
      <text>
        <t xml:space="preserve">was 6940000
VNP50
</t>
      </text>
    </comment>
    <comment ref="C25" authorId="3" shapeId="0">
      <text>
        <t>w1 6.940</t>
      </text>
    </comment>
    <comment ref="E25" authorId="1" shapeId="0">
      <text>
        <t>Last week: 6.470.000</t>
      </text>
    </comment>
    <comment ref="E26" authorId="1" shapeId="0">
      <text>
        <t>Last week was: 7.870.000</t>
      </text>
    </comment>
    <comment ref="D27" authorId="0" shapeId="0">
      <text>
        <t>Việt Hoàng:
Last week: 
9.490.000</t>
      </text>
    </comment>
    <comment ref="D29" authorId="0" shapeId="0">
      <text>
        <t>Việt Hoàng:
Last week
10.590.000</t>
      </text>
    </comment>
    <comment ref="E30" authorId="1" shapeId="0">
      <text>
        <t xml:space="preserve">
Last week: 12.870.000</t>
      </text>
    </comment>
    <comment ref="E32" authorId="1" shapeId="0">
      <text>
        <t xml:space="preserve">Last week was: 5.419K
</t>
      </text>
    </comment>
    <comment ref="F32" authorId="2" shapeId="0">
      <text>
        <t>Người dùng Không xác định:
5.550.000</t>
      </text>
    </comment>
    <comment ref="E33" authorId="1" shapeId="0">
      <text>
        <t xml:space="preserve">
Last week: 3.770.000</t>
      </text>
    </comment>
    <comment ref="E34" authorId="1" shapeId="0">
      <text>
        <t>Last week is: 2.690K</t>
      </text>
    </comment>
    <comment ref="D35" authorId="0" shapeId="0">
      <text>
        <t>Việt Hoàng:
Last week
18.490.000</t>
      </text>
    </comment>
    <comment ref="B36" authorId="3" shapeId="0">
      <text>
        <t>was 23890000
VNP100</t>
      </text>
    </comment>
    <comment ref="C36" authorId="3" shapeId="0">
      <text>
        <t>w1 23.890</t>
      </text>
    </comment>
  </commentList>
</comments>
</file>

<file path=xl/comments/comment27.xml><?xml version="1.0" encoding="utf-8"?>
<comments xmlns="http://schemas.openxmlformats.org/spreadsheetml/2006/main">
  <authors>
    <author>Duy</author>
    <author>Sheva Son</author>
    <author>Người dùng Khách</author>
    <author>chit trang</author>
    <author>Microsoft Office User</author>
    <author>Việt Hoàng</author>
  </authors>
  <commentList>
    <comment ref="C2" authorId="0" shapeId="0">
      <text>
        <t xml:space="preserve">Duy:
</t>
      </text>
    </comment>
    <comment ref="E2" authorId="1" shapeId="0">
      <text>
        <t xml:space="preserve">Last week is: 22.990K
Giảm 500K cho khách Pre-order (trừ màu titan sa mạc).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2" authorId="2" shapeId="0">
      <text>
        <t>Người dùng Không xác định:
21.490.000</t>
      </text>
    </comment>
    <comment ref="E3" authorId="1" shapeId="0">
      <text>
        <t xml:space="preserve">Last week is: 25.990K
Giảm 500K cho khách Pre-order và thanh toán trong tháng 10/2024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3" authorId="3" shapeId="0">
      <text>
        <t>chit trang:
24.990.000</t>
      </text>
    </comment>
    <comment ref="E4" authorId="1" shapeId="0">
      <text>
        <t xml:space="preserve">Last week is: 28.990K
Giảm 500K cho khách Pre-order và lấy hàng trong tháng 10/2024
Đổi điểm Viettel++ lên tới 6000K
Khách hàng chọn 01 trong các khuyến mại sau đây (Áp dụng cho Titan Sa Mạc trên giá 30.490.000đ) 
  Khuyến mại 1: Giảm ngay 1,500,000đ 
  Khuyến mại 2: Tặng ngay bảo hành 2 năm chính hãng và bộ phụ kiện ốp lưng kèm tấm dán màn hình iPhone 
  Khuyến mại 3: Tặng ngay bảo hành 2 năm chính hãng và phiếu mua hàng phụ kiện giảm giá 300,000đ 
</t>
      </text>
    </comment>
    <comment ref="B5" authorId="4" shapeId="0">
      <text>
        <t xml:space="preserve">was 34890000
</t>
      </text>
    </comment>
    <comment ref="C5" authorId="4" shapeId="0">
      <text>
        <t xml:space="preserve">w2 34.890
</t>
      </text>
    </comment>
    <comment ref="E5" authorId="1" shapeId="0">
      <text>
        <t xml:space="preserve">Last week is: 34.490K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text>
    </comment>
    <comment ref="F7" authorId="2" shapeId="0">
      <text>
        <t>Người dùng Không xác định:
22.690.000</t>
      </text>
    </comment>
    <comment ref="D8" authorId="5" shapeId="0">
      <text>
        <t>Việt Hoàng:
Last week:
25.490.000</t>
      </text>
    </comment>
    <comment ref="F8" authorId="3" shapeId="0">
      <text>
        <t>chit trang:
24.790.000</t>
      </text>
    </comment>
    <comment ref="E9" authorId="1" shapeId="0">
      <text>
        <t xml:space="preserve">Last week was: 28.990.000
Giảm 1.000.000VND mua hàng Online (đã trừ vào giá)
</t>
      </text>
    </comment>
    <comment ref="F9" authorId="2" shapeId="0">
      <text>
        <t>Người dùng Không xác định:
29.550.000</t>
      </text>
    </comment>
    <comment ref="B10" authorId="4" shapeId="0">
      <text>
        <t>was 20490000
hoá ra bán theo màu Vàng đắt nhất</t>
      </text>
    </comment>
    <comment ref="C10" authorId="4" shapeId="0">
      <text>
        <t xml:space="preserve">w2 20.490
</t>
      </text>
    </comment>
    <comment ref="E10" authorId="1" shapeId="0">
      <text>
        <t xml:space="preserve">Chỉ còn màu Purple
</t>
      </text>
    </comment>
    <comment ref="F11" authorId="3" shapeId="0">
      <text>
        <t>chit trang:
16.990.000</t>
      </text>
    </comment>
    <comment ref="B12" authorId="4" shapeId="0">
      <text>
        <t>was 14290000
VNP100</t>
      </text>
    </comment>
    <comment ref="C12" authorId="4" shapeId="0">
      <text>
        <t xml:space="preserve">w2 14.290
</t>
      </text>
    </comment>
    <comment ref="D12" authorId="5" shapeId="0">
      <text>
        <t>Việt Hoàng:
Last week was
13.390.000</t>
      </text>
    </comment>
    <comment ref="E12" authorId="1" shapeId="0">
      <text>
        <t xml:space="preserve">Giảm 100K mua Online(Đã trừ vào giá)
</t>
      </text>
    </comment>
    <comment ref="F12" authorId="3" shapeId="0">
      <text>
        <t>chit trang:
13.790.000</t>
      </text>
    </comment>
    <comment ref="E14" authorId="1" shapeId="0">
      <text>
        <t>Giảm 200K khi mua Online (đã trừ vào giá)</t>
      </text>
    </comment>
    <comment ref="E17" authorId="1" shapeId="0">
      <text>
        <t>Last week is: 9.690K
Giảm 200K mua Online
Giảm 10% tối đa 120K khi mở ví VNPAY</t>
      </text>
    </comment>
    <comment ref="B18" authorId="4" shapeId="0">
      <text>
        <t>was 7640000
VNP50</t>
      </text>
    </comment>
    <comment ref="C18" authorId="4" shapeId="0">
      <text>
        <t>w2 7.640</t>
      </text>
    </comment>
    <comment ref="E18" authorId="1" shapeId="0">
      <text>
        <t>Giảm 10% tối đa 120K khi mở ví VNPAY</t>
      </text>
    </comment>
    <comment ref="E19" authorId="1" shapeId="0">
      <text>
        <t>Last week is: 16.390K
Giảm 10% tối đa 300K VNPAY</t>
      </text>
    </comment>
    <comment ref="E20" authorId="1" shapeId="0">
      <text>
        <t>Last week is: 21,490K
Giảm 10% tối đa 300K VNPAY</t>
      </text>
    </comment>
    <comment ref="E21" authorId="1" shapeId="0">
      <text>
        <t>Last week is: 27.490K
Giảm 10% tối đa 300K VNPAY</t>
      </text>
    </comment>
    <comment ref="B23" authorId="4" shapeId="0">
      <text>
        <t>was 5940000
VNP50</t>
      </text>
    </comment>
    <comment ref="C23" authorId="4" shapeId="0">
      <text>
        <t>w2 5.940</t>
      </text>
    </comment>
    <comment ref="E23" authorId="1" shapeId="0">
      <text>
        <t>Last week: 5.870.000</t>
      </text>
    </comment>
    <comment ref="B24" authorId="4" shapeId="0">
      <text>
        <t>was 7240000
VNP50</t>
      </text>
    </comment>
    <comment ref="E24" authorId="1" shapeId="0">
      <text>
        <t>Last week: 7.190.000</t>
      </text>
    </comment>
    <comment ref="B25" authorId="4" shapeId="0">
      <text>
        <t>was 6740000 
VNP50</t>
      </text>
    </comment>
    <comment ref="C25" authorId="4" shapeId="0">
      <text>
        <t>w2 6.740</t>
      </text>
    </comment>
    <comment ref="E25" authorId="1" shapeId="0">
      <text>
        <t>Last week: 6.470.000</t>
      </text>
    </comment>
    <comment ref="B26" authorId="4" shapeId="0">
      <text>
        <t>was 7940000
VNP50</t>
      </text>
    </comment>
    <comment ref="E26" authorId="1" shapeId="0">
      <text>
        <t>Last week was: 7.870.000</t>
      </text>
    </comment>
    <comment ref="E27" authorId="1" shapeId="0">
      <text>
        <t xml:space="preserve">Giảm 500K cho khách Pre-oder
</t>
      </text>
    </comment>
    <comment ref="E28" authorId="1" shapeId="0">
      <text>
        <t xml:space="preserve">Giảm 500K cho khách Pre-order
</t>
      </text>
    </comment>
    <comment ref="E29" authorId="1" shapeId="0">
      <text>
        <t>Giảm 500K cho khách hàng</t>
      </text>
    </comment>
    <comment ref="E30" authorId="1" shapeId="0">
      <text>
        <t xml:space="preserve">Giảm 500K cho đơn Pre-order
</t>
      </text>
    </comment>
    <comment ref="E32" authorId="1" shapeId="0">
      <text>
        <t xml:space="preserve">Last week was: 5.490K
</t>
      </text>
    </comment>
    <comment ref="E34" authorId="1" shapeId="0">
      <text>
        <t>Last week is: 2.690K</t>
      </text>
    </comment>
    <comment ref="F36" authorId="3" shapeId="0">
      <text>
        <t>chit trang:
23.390.000</t>
      </text>
    </comment>
    <comment ref="B37" authorId="4" shapeId="0">
      <text>
        <t xml:space="preserve">was 26990000
VNP100
</t>
      </text>
    </comment>
    <comment ref="C37" authorId="4" shapeId="0">
      <text>
        <t xml:space="preserve">w2 26.990
</t>
      </text>
    </comment>
    <comment ref="B39" authorId="4" shapeId="0">
      <text>
        <t>was 38090000
VNP100</t>
      </text>
    </comment>
    <comment ref="C39" authorId="4" shapeId="0">
      <text>
        <t>w2 38.090</t>
      </text>
    </comment>
  </commentList>
</comments>
</file>

<file path=xl/comments/comment28.xml><?xml version="1.0" encoding="utf-8"?>
<comments xmlns="http://schemas.openxmlformats.org/spreadsheetml/2006/main">
  <authors>
    <author>Duy</author>
    <author>Sheva Son</author>
    <author>Người dùng Khách</author>
    <author>chit trang</author>
    <author>Microsoft Office User</author>
    <author>Tran Dat</author>
    <author>Việt Hoàng</author>
  </authors>
  <commentList>
    <comment ref="C2" authorId="0" shapeId="0">
      <text>
        <t xml:space="preserve">Duy:
</t>
      </text>
    </comment>
    <comment ref="E2" authorId="1" shapeId="0">
      <text>
        <t xml:space="preserve">Last week is: 22.990K
Giảm 500K cho khách Pre-order (trừ màu titan sa mạc).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2" authorId="2" shapeId="0">
      <text>
        <t>Người dùng Không xác định:
21.390.000</t>
      </text>
    </comment>
    <comment ref="E3" authorId="1" shapeId="0">
      <text>
        <t xml:space="preserve">Last week is: 25.990K
Giảm 500K cho khách Pre-order và thanh toán trong tháng 10/2024
Đổi điểm Viettel++ lên tới 6000K
 Nhập mã VTQR tặng 1% tối đa 300.000 khi thanh toán qua VNPAY
  Nhập mã ZLP500 giảm ngay 500.000 khi thanh toán qua Zalopay
  Nhập mã KV_VTS_IPHONE16 giảm giá 10% tối đa 1.000.000 VNĐ trên giá trị của giao dịch trả góp 6-12 tháng Kredivo </t>
      </text>
    </comment>
    <comment ref="F3" authorId="3" shapeId="0">
      <text>
        <t>chit trang:
25.190.000</t>
      </text>
    </comment>
    <comment ref="B4" authorId="4" shapeId="0">
      <text>
        <t xml:space="preserve">was was 28890000
</t>
      </text>
    </comment>
    <comment ref="C4" authorId="4" shapeId="0">
      <text>
        <t>W3 28.890</t>
      </text>
    </comment>
    <comment ref="E4" authorId="1" shapeId="0">
      <text>
        <t xml:space="preserve">Last week is: 28.990K
Giảm 500K cho khách Pre-order và lấy hàng trong tháng 10/2024
Đổi điểm Viettel++ lên tới 6000K
Khách hàng chọn 01 trong các khuyến mại sau đây (Áp dụng cho Titan Sa Mạc trên giá 30.490.000đ) 
  Khuyến mại 1: Giảm ngay 1,500,000đ 
  Khuyến mại 2: Tặng ngay bảo hành 2 năm chính hãng và bộ phụ kiện ốp lưng kèm tấm dán màn hình iPhone 
  Khuyến mại 3: Tặng ngay bảo hành 2 năm chính hãng và phiếu mua hàng phụ kiện giảm giá 300,000đ 
</t>
      </text>
    </comment>
    <comment ref="B5" authorId="4" shapeId="0">
      <text>
        <t xml:space="preserve">was 34990000
</t>
      </text>
    </comment>
    <comment ref="E5" authorId="1" shapeId="0">
      <text>
        <t xml:space="preserve">Last week is: 34.490K
Đổi điểm Viettel++ lên tới 6000K
Áp dụng cho Titan Sa Mạc (Áp dụng trên giá 36.490.000đ) 
  Tặng ngay bảo hành 2 năm chính hãng và bộ phụ kiện ốp lưng kèm tấm dán màn hình iPhone Hoặc Tặng ngay bảo hành 2 năm chính hãng và phiếu mua hàng phụ kiện giảm giá 300,000đ 
</t>
      </text>
    </comment>
    <comment ref="B6" authorId="4" shapeId="0">
      <text>
        <t xml:space="preserve">was 19690000
</t>
      </text>
    </comment>
    <comment ref="G6" authorId="5" shapeId="0">
      <text>
        <t xml:space="preserve">Tran Dat:
19.190.000
</t>
      </text>
    </comment>
    <comment ref="G7" authorId="5" shapeId="0">
      <text>
        <t>Tran Dat:
22.250</t>
      </text>
    </comment>
    <comment ref="D8" authorId="6" shapeId="0">
      <text>
        <t>Việt Hoàng:
Last week:
25.490.000</t>
      </text>
    </comment>
    <comment ref="B9" authorId="4" shapeId="0">
      <text>
        <t xml:space="preserve">was 29490000
</t>
      </text>
    </comment>
    <comment ref="E9" authorId="1" shapeId="0">
      <text>
        <t xml:space="preserve">Last week was: 28.990.000
Giảm 1.000.000VND mua hàng Online (đã trừ vào giá)
</t>
      </text>
    </comment>
    <comment ref="E10" authorId="1" shapeId="0">
      <text>
        <t xml:space="preserve">Chỉ còn màu Purple
</t>
      </text>
    </comment>
    <comment ref="G10" authorId="5" shapeId="0">
      <text>
        <t>Tran Dat:
19.390.000</t>
      </text>
    </comment>
    <comment ref="B11" authorId="4" shapeId="0">
      <text>
        <t xml:space="preserve">was 17090000
</t>
      </text>
    </comment>
    <comment ref="C11" authorId="4" shapeId="0">
      <text>
        <t xml:space="preserve">W3 17.090
</t>
      </text>
    </comment>
    <comment ref="B12" authorId="4" shapeId="0">
      <text>
        <t xml:space="preserve">Bán theo màu loạn hết cả lên mỗi màu 1 giá </t>
      </text>
    </comment>
    <comment ref="C12" authorId="4" shapeId="0">
      <text>
        <t>W3 13.790</t>
      </text>
    </comment>
    <comment ref="D12" authorId="6" shapeId="0">
      <text>
        <t>Việt Hoàng:
Last week was
13.390.000</t>
      </text>
    </comment>
    <comment ref="E12" authorId="1" shapeId="0">
      <text>
        <t>Giảm 200K cho màu Đen và Starlight</t>
      </text>
    </comment>
    <comment ref="F12" authorId="3" shapeId="0">
      <text>
        <t>chit trang:
13.390.000</t>
      </text>
    </comment>
    <comment ref="G12" authorId="5" shapeId="0">
      <text>
        <t>Tran Dat:
13.590</t>
      </text>
    </comment>
    <comment ref="B13" authorId="4" shapeId="0">
      <text>
        <t>was 11490000</t>
      </text>
    </comment>
    <comment ref="E14" authorId="1" shapeId="0">
      <text>
        <t>Giảm 200K khi mua Online (đã trừ vào giá)</t>
      </text>
    </comment>
    <comment ref="E17" authorId="1" shapeId="0">
      <text>
        <t xml:space="preserve">Last week is: 9.490K
Giảm 200K đặt mua Online
</t>
      </text>
    </comment>
    <comment ref="G17" authorId="5" shapeId="0">
      <text>
        <t>Tran Dat:
9.490</t>
      </text>
    </comment>
    <comment ref="B18" authorId="4" shapeId="0">
      <text>
        <t>was 7640000
VNP50</t>
      </text>
    </comment>
    <comment ref="E18" authorId="1" shapeId="0">
      <text>
        <t>Giảm 10% tối đa 120K khi mở ví VNPAY</t>
      </text>
    </comment>
    <comment ref="F18" authorId="3" shapeId="0">
      <text>
        <t>chit trang:
7.159.000</t>
      </text>
    </comment>
    <comment ref="E19" authorId="1" shapeId="0">
      <text>
        <t>Last week is: 16.390K
Giảm 10% tối đa 300K VNPAY</t>
      </text>
    </comment>
    <comment ref="E20" authorId="1" shapeId="0">
      <text>
        <t>Last week is: 21,490K
Giảm 10% tối đa 300K VNPAY</t>
      </text>
    </comment>
    <comment ref="E21" authorId="1" shapeId="0">
      <text>
        <t>Last week is: 27.490K
Giảm 10% tối đa 300K VNPAY</t>
      </text>
    </comment>
    <comment ref="B22" authorId="4" shapeId="0">
      <text>
        <t xml:space="preserve">was 37190000
</t>
      </text>
    </comment>
    <comment ref="C22" authorId="4" shapeId="0">
      <text>
        <t xml:space="preserve">W3 37.190
</t>
      </text>
    </comment>
    <comment ref="E23" authorId="1" shapeId="0">
      <text>
        <t>Last week: 5.990.000</t>
      </text>
    </comment>
    <comment ref="G23" authorId="5" shapeId="0">
      <text>
        <t>Tran Dat:
5.990</t>
      </text>
    </comment>
    <comment ref="B24" authorId="4" shapeId="0">
      <text>
        <t>was 7190000</t>
      </text>
    </comment>
    <comment ref="E24" authorId="1" shapeId="0">
      <text>
        <t>Last week: 7.190.000</t>
      </text>
    </comment>
    <comment ref="B25" authorId="4" shapeId="0">
      <text>
        <t>was 6790000</t>
      </text>
    </comment>
    <comment ref="C25" authorId="4" shapeId="0">
      <text>
        <t>W3 6.790</t>
      </text>
    </comment>
    <comment ref="E25" authorId="1" shapeId="0">
      <text>
        <t>Last week: 6.590.000</t>
      </text>
    </comment>
    <comment ref="E26" authorId="1" shapeId="0">
      <text>
        <t>Last week was: 7.990.000</t>
      </text>
    </comment>
    <comment ref="E27" authorId="1" shapeId="0">
      <text>
        <t xml:space="preserve">Giảm 500K cho khách Pre-oder
</t>
      </text>
    </comment>
    <comment ref="E28" authorId="1" shapeId="0">
      <text>
        <t xml:space="preserve">Giảm 500K cho khách Pre-order
</t>
      </text>
    </comment>
    <comment ref="E29" authorId="1" shapeId="0">
      <text>
        <t>Giảm 500K cho khách hàng</t>
      </text>
    </comment>
    <comment ref="E30" authorId="1" shapeId="0">
      <text>
        <t xml:space="preserve">Giảm 500K cho đơn Pre-order
</t>
      </text>
    </comment>
    <comment ref="G30" authorId="5" shapeId="0">
      <text>
        <t>Tran Dat:
14.690</t>
      </text>
    </comment>
    <comment ref="E32" authorId="1" shapeId="0">
      <text>
        <t xml:space="preserve">Last week was: 5.490K
</t>
      </text>
    </comment>
    <comment ref="E34" authorId="1" shapeId="0">
      <text>
        <t>Last week is: 2.690K</t>
      </text>
    </comment>
    <comment ref="G35" authorId="5" shapeId="0">
      <text>
        <t>Tran Dat:
17.790</t>
      </text>
    </comment>
    <comment ref="B36" authorId="4" shapeId="0">
      <text>
        <t>was 23990000</t>
      </text>
    </comment>
    <comment ref="C36" authorId="4" shapeId="0">
      <text>
        <t>W3 23.990</t>
      </text>
    </comment>
    <comment ref="F36" authorId="3" shapeId="0">
      <text>
        <t>chit trang:
23.590.000</t>
      </text>
    </comment>
    <comment ref="B37" authorId="4" shapeId="0">
      <text>
        <t>was 26890000</t>
      </text>
    </comment>
    <comment ref="C37" authorId="4" shapeId="0">
      <text>
        <t>W3 26.890</t>
      </text>
    </comment>
    <comment ref="F37" authorId="3" shapeId="0">
      <text>
        <t>chit trang:
26.990.000</t>
      </text>
    </comment>
    <comment ref="B38" authorId="4" shapeId="0">
      <text>
        <t>was 31190000</t>
      </text>
    </comment>
    <comment ref="C38" authorId="4" shapeId="0">
      <text>
        <t>W3 31.190</t>
      </text>
    </comment>
    <comment ref="G38" authorId="5" shapeId="0">
      <text>
        <t xml:space="preserve">Tran Dat:
30.790.000
</t>
      </text>
    </comment>
    <comment ref="B39" authorId="4" shapeId="0">
      <text>
        <t>was 37790000</t>
      </text>
    </comment>
    <comment ref="C39" authorId="4" shapeId="0">
      <text>
        <t>W3 37.790</t>
      </text>
    </comment>
  </commentList>
</comments>
</file>

<file path=xl/comments/comment29.xml><?xml version="1.0" encoding="utf-8"?>
<comments xmlns="http://schemas.openxmlformats.org/spreadsheetml/2006/main">
  <authors>
    <author>Microsoft Office User</author>
    <author>Việt Hoàng</author>
    <author>Sheva Son</author>
    <author>Người dùng Khách</author>
    <author>chit trang</author>
    <author>Tran Dat</author>
  </authors>
  <commentList>
    <comment ref="B2" authorId="0" shapeId="0">
      <text>
        <t>was 22890000</t>
      </text>
    </comment>
    <comment ref="C2" authorId="0" shapeId="0">
      <text>
        <t>W4: 22.890</t>
      </text>
    </comment>
    <comment ref="D2" authorId="1" shapeId="0">
      <text>
        <t>Việt Hoàng:
Last week
21.990.000</t>
      </text>
    </comment>
    <comment ref="E2" authorId="2" shapeId="0">
      <text>
        <t xml:space="preserve">Last week is: 22.490K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text>
    </comment>
    <comment ref="F2" authorId="3" shapeId="0">
      <text>
        <t>Người dùng Không xác định:
22.290.000</t>
      </text>
    </comment>
    <comment ref="B3" authorId="0" shapeId="0">
      <text>
        <t>was 25890000</t>
      </text>
    </comment>
    <comment ref="C3" authorId="0" shapeId="0">
      <text>
        <t>W4: 25.890</t>
      </text>
    </comment>
    <comment ref="E3" authorId="2" shapeId="0">
      <text>
        <t xml:space="preserve">Last week is: 25.490K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text>
    </comment>
    <comment ref="F3" authorId="4" shapeId="0">
      <text>
        <t>chit trang:
25.190.000</t>
      </text>
    </comment>
    <comment ref="G3" authorId="5" shapeId="0">
      <text>
        <t xml:space="preserve">Tran Dat:
24590000
</t>
      </text>
    </comment>
    <comment ref="E4" authorId="2" shapeId="0">
      <text>
        <t>Last week is: 28.490K
Đổi điểm Viettel++ lên tới 6000K
Voucher VNPAY giảm 1 triệu cho đơn hàng mua giá trị trên 20 triệu đồng (số lượng có hạn)</t>
      </text>
    </comment>
    <comment ref="F4" authorId="4" shapeId="0">
      <text>
        <t>chit trang:
28.990.000</t>
      </text>
    </comment>
    <comment ref="B5" authorId="0" shapeId="0">
      <text>
        <t xml:space="preserve">was OOS
</t>
      </text>
    </comment>
    <comment ref="E5" authorId="2" shapeId="0">
      <text>
        <t>Last week is: 34.990K
Đổi điểm Viettel++ lên tới 6000K
Voucher VNPAY giảm 1 triệu cho đơn hàng mua giá trị trên 20 triệu đồng (số lượng có hạn)</t>
      </text>
    </comment>
    <comment ref="F5" authorId="4" shapeId="0">
      <text>
        <t>chit trang:
34.990.000</t>
      </text>
    </comment>
    <comment ref="G5" authorId="5" shapeId="0">
      <text>
        <t>Tran Dat:
34.590.000</t>
      </text>
    </comment>
    <comment ref="B6" authorId="0" shapeId="0">
      <text>
        <t>was OOS</t>
      </text>
    </comment>
    <comment ref="B7" authorId="0" shapeId="0">
      <text>
        <t>was 22690000</t>
      </text>
    </comment>
    <comment ref="C7" authorId="0" shapeId="0">
      <text>
        <t>W4:  22.690</t>
      </text>
    </comment>
    <comment ref="B8" authorId="0" shapeId="0">
      <text>
        <t>was OOS</t>
      </text>
    </comment>
    <comment ref="B9" authorId="0" shapeId="0">
      <text>
        <t>was OOS
TN: 30090000</t>
      </text>
    </comment>
    <comment ref="E9" authorId="2" shapeId="0">
      <text>
        <t xml:space="preserve">Last week was: 28.990.000
Giảm 1.000.000VND mua hàng Online (đã trừ vào giá)
</t>
      </text>
    </comment>
    <comment ref="G9" authorId="5" shapeId="0">
      <text>
        <t>Tran Dat:
28.590.000</t>
      </text>
    </comment>
    <comment ref="B10" authorId="0" shapeId="0">
      <text>
        <t>was 20490000</t>
      </text>
    </comment>
    <comment ref="C10" authorId="0" shapeId="0">
      <text>
        <t>W4: 20.490</t>
      </text>
    </comment>
    <comment ref="E10" authorId="2" shapeId="0">
      <text>
        <t xml:space="preserve">Chỉ còn màu Purple
</t>
      </text>
    </comment>
    <comment ref="B11" authorId="0" shapeId="0">
      <text>
        <t>was 17490000</t>
      </text>
    </comment>
    <comment ref="C11" authorId="0" shapeId="0">
      <text>
        <t>W4:  17.490</t>
      </text>
    </comment>
    <comment ref="B12" authorId="0" shapeId="0">
      <text>
        <t>was 13790000</t>
      </text>
    </comment>
    <comment ref="C12" authorId="0" shapeId="0">
      <text>
        <t>W4:  13.790</t>
      </text>
    </comment>
    <comment ref="D12" authorId="1" shapeId="0">
      <text>
        <t>Việt Hoàng:
Last week was
13.590.000</t>
      </text>
    </comment>
    <comment ref="E12" authorId="2" shapeId="0">
      <text>
        <t>Giảm 200K cho màu Đen và Starlight</t>
      </text>
    </comment>
    <comment ref="F12" authorId="4" shapeId="0">
      <text>
        <t>chit trang:
13.690.000</t>
      </text>
    </comment>
    <comment ref="G12" authorId="5" shapeId="0">
      <text>
        <t>Tran Dat:
13.590</t>
      </text>
    </comment>
    <comment ref="B13" authorId="0" shapeId="0">
      <text>
        <t>was OOS
Green: 10990000</t>
      </text>
    </comment>
    <comment ref="B14" authorId="0" shapeId="0">
      <text>
        <t>was 8940000</t>
      </text>
    </comment>
    <comment ref="C14" authorId="0" shapeId="0">
      <text>
        <t>W4:  8.940</t>
      </text>
    </comment>
    <comment ref="E14" authorId="2" shapeId="0">
      <text>
        <t xml:space="preserve">Giảm 200K khi mua Online (đã trừ vào giá)
Trợ giá 4G giảm 300K đã trừ vào giá
</t>
      </text>
    </comment>
    <comment ref="F14" authorId="4" shapeId="0">
      <text>
        <t>chit trang:
8.890.000</t>
      </text>
    </comment>
    <comment ref="B15" authorId="0" shapeId="0">
      <text>
        <t>was 12790000</t>
      </text>
    </comment>
    <comment ref="B16" authorId="0" shapeId="0">
      <text>
        <t>was 9890000</t>
      </text>
    </comment>
    <comment ref="C16" authorId="0" shapeId="0">
      <text>
        <t>W4: 9.890</t>
      </text>
    </comment>
    <comment ref="E16" authorId="2" shapeId="0">
      <text>
        <t xml:space="preserve">Last week is: 8.990K
Giảm 200K đặt mua Online
</t>
      </text>
    </comment>
    <comment ref="F16" authorId="4" shapeId="0">
      <text>
        <t>chit trang:
9.490.000</t>
      </text>
    </comment>
    <comment ref="B17" authorId="0" shapeId="0">
      <text>
        <t>was 7340000</t>
      </text>
    </comment>
    <comment ref="C17" authorId="0" shapeId="0">
      <text>
        <t>W4: 7.340</t>
      </text>
    </comment>
    <comment ref="E17" authorId="2" shapeId="0">
      <text>
        <t>Giảm 10% tối đa 120K khi mở ví VNPAY</t>
      </text>
    </comment>
    <comment ref="B18" authorId="0" shapeId="0">
      <text>
        <t>was 16890000</t>
      </text>
    </comment>
    <comment ref="C18" authorId="0" shapeId="0">
      <text>
        <t>W4: 16.890</t>
      </text>
    </comment>
    <comment ref="E18" authorId="2" shapeId="0">
      <text>
        <t>Last week is: 16226K
Voucher giảm 10% tối đa 300K VNPAY</t>
      </text>
    </comment>
    <comment ref="G18" authorId="5" shapeId="0">
      <text>
        <t>Tran Dat:
15.690.000</t>
      </text>
    </comment>
    <comment ref="B19" authorId="0" shapeId="0">
      <text>
        <t>was 22390000</t>
      </text>
    </comment>
    <comment ref="C19" authorId="0" shapeId="0">
      <text>
        <t>W4: 22.390</t>
      </text>
    </comment>
    <comment ref="E19" authorId="2" shapeId="0">
      <text>
        <t>Last week is: 21275K
Voucher giảm 10% tối đa 300K VNPAY</t>
      </text>
    </comment>
    <comment ref="B20" authorId="0" shapeId="0">
      <text>
        <t>was 27690000</t>
      </text>
    </comment>
    <comment ref="C20" authorId="0" shapeId="0">
      <text>
        <t>W4: 27.690</t>
      </text>
    </comment>
    <comment ref="B21" authorId="0" shapeId="0">
      <text>
        <t>was 36890000</t>
      </text>
    </comment>
    <comment ref="C21" authorId="0" shapeId="0">
      <text>
        <t>W4: 36.890</t>
      </text>
    </comment>
    <comment ref="B22" authorId="0" shapeId="0">
      <text>
        <t>was 5790000</t>
      </text>
    </comment>
    <comment ref="C22" authorId="0" shapeId="0">
      <text>
        <t>W4:  5.790</t>
      </text>
    </comment>
    <comment ref="B23" authorId="0" shapeId="0">
      <text>
        <t>was 7290000</t>
      </text>
    </comment>
    <comment ref="B24" authorId="0" shapeId="0">
      <text>
        <t>was 6590000</t>
      </text>
    </comment>
    <comment ref="C24" authorId="0" shapeId="0">
      <text>
        <t>W4: 6.590</t>
      </text>
    </comment>
    <comment ref="B25" authorId="0" shapeId="0">
      <text>
        <t>was 7790000</t>
      </text>
    </comment>
    <comment ref="B26" authorId="0" shapeId="0">
      <text>
        <t>was 10890000</t>
      </text>
    </comment>
    <comment ref="C26" authorId="0" shapeId="0">
      <text>
        <t>W4: 10.890</t>
      </text>
    </comment>
    <comment ref="E26" authorId="2" shapeId="0">
      <text>
        <t xml:space="preserve">Giảm 500K cho khách Pre-oder
</t>
      </text>
    </comment>
    <comment ref="B27" authorId="0" shapeId="0">
      <text>
        <t>was 13490000</t>
      </text>
    </comment>
    <comment ref="D27" authorId="1" shapeId="0">
      <text>
        <t>Việt Hoàng:
Last week
13.390.000</t>
      </text>
    </comment>
    <comment ref="E27" authorId="2" shapeId="0">
      <text>
        <t>Last week is: 13.590K</t>
      </text>
    </comment>
    <comment ref="B28" authorId="0" shapeId="0">
      <text>
        <t>was 11690000</t>
      </text>
    </comment>
    <comment ref="C28" authorId="0" shapeId="0">
      <text>
        <t>W4 11.690</t>
      </text>
    </comment>
    <comment ref="E28" authorId="2" shapeId="0">
      <text>
        <t>Last week is: 11.790K</t>
      </text>
    </comment>
    <comment ref="D29" authorId="1" shapeId="0">
      <text>
        <t>Việt Hoàng:
Last week
14.190.000</t>
      </text>
    </comment>
    <comment ref="E29" authorId="2" shapeId="0">
      <text>
        <t>Last week is: 14.390K</t>
      </text>
    </comment>
    <comment ref="B30" authorId="0" shapeId="0">
      <text>
        <t>was 22890000</t>
      </text>
    </comment>
    <comment ref="C30" authorId="0" shapeId="0">
      <text>
        <t>W4: 22.890</t>
      </text>
    </comment>
    <comment ref="B31" authorId="0" shapeId="0">
      <text>
        <t>was 5740000</t>
      </text>
    </comment>
    <comment ref="C31" authorId="0" shapeId="0">
      <text>
        <t>W4: 5.740</t>
      </text>
    </comment>
    <comment ref="D31" authorId="1" shapeId="0">
      <text>
        <t>Việt Hoàng:
Last week
5.590.000</t>
      </text>
    </comment>
    <comment ref="E31" authorId="2" shapeId="0">
      <text>
        <t xml:space="preserve">Last week was: 5.290K
</t>
      </text>
    </comment>
    <comment ref="F31" authorId="4" shapeId="0">
      <text>
        <t>chit trang:
5.650.000</t>
      </text>
    </comment>
    <comment ref="E32" authorId="2" shapeId="0">
      <text>
        <t xml:space="preserve">
Voucher giảm 1% tối đa 300K VNPAY</t>
      </text>
    </comment>
    <comment ref="E33" authorId="0" shapeId="0">
      <text>
        <t>was 3490000</t>
      </text>
    </comment>
    <comment ref="B34" authorId="0" shapeId="0">
      <text>
        <t>was 4040000</t>
      </text>
    </comment>
    <comment ref="C34" authorId="0" shapeId="0">
      <text>
        <t>W4: 4.040</t>
      </text>
    </comment>
    <comment ref="E35" authorId="2" shapeId="0">
      <text>
        <t>Last week is: 2.690K</t>
      </text>
    </comment>
    <comment ref="B36" authorId="0" shapeId="0">
      <text>
        <t xml:space="preserve">was 18490000
</t>
      </text>
    </comment>
    <comment ref="C36" authorId="0" shapeId="0">
      <text>
        <t xml:space="preserve">W4: 18.490
</t>
      </text>
    </comment>
    <comment ref="D36" authorId="1" shapeId="0">
      <text>
        <t>Việt Hoàng:
Last week:
18.290.000</t>
      </text>
    </comment>
    <comment ref="F36" authorId="4" shapeId="0">
      <text>
        <t>chit trang:
18.490.000</t>
      </text>
    </comment>
    <comment ref="G36" authorId="5" shapeId="0">
      <text>
        <t>Tran Dat:
17.790</t>
      </text>
    </comment>
    <comment ref="B37" authorId="0" shapeId="0">
      <text>
        <t>was 24390000</t>
      </text>
    </comment>
    <comment ref="C37" authorId="0" shapeId="0">
      <text>
        <t>W4: 24.390</t>
      </text>
    </comment>
    <comment ref="D37" authorId="1" shapeId="0">
      <text>
        <t>Việt Hoàng:
Last week:
23.790.000</t>
      </text>
    </comment>
    <comment ref="F37" authorId="4" shapeId="0">
      <text>
        <t>chit trang:
23.490.000</t>
      </text>
    </comment>
    <comment ref="B38" authorId="0" shapeId="0">
      <text>
        <t>was 27390000</t>
      </text>
    </comment>
    <comment ref="C38" authorId="0" shapeId="0">
      <text>
        <t>W4 27.390</t>
      </text>
    </comment>
    <comment ref="D38" authorId="1" shapeId="0">
      <text>
        <t>Việt Hoàng:
Last week:
26.790.000</t>
      </text>
    </comment>
    <comment ref="F38" authorId="4" shapeId="0">
      <text>
        <t>chit trang:
26.490.000</t>
      </text>
    </comment>
    <comment ref="G38" authorId="5" shapeId="0">
      <text>
        <t>Tran Dat:
26290000</t>
      </text>
    </comment>
    <comment ref="B39" authorId="0" shapeId="0">
      <text>
        <t>was 32090000</t>
      </text>
    </comment>
    <comment ref="C39" authorId="0" shapeId="0">
      <text>
        <t>W4: 32.090</t>
      </text>
    </comment>
    <comment ref="D39" authorId="1" shapeId="0">
      <text>
        <t>Việt Hoàng:
Last week:
31.090.000</t>
      </text>
    </comment>
    <comment ref="G39" authorId="5" shapeId="0">
      <text>
        <t xml:space="preserve">Tran Dat:
30.990.000
</t>
      </text>
    </comment>
    <comment ref="B40" authorId="0" shapeId="0">
      <text>
        <t>was 38090000</t>
      </text>
    </comment>
    <comment ref="C40" authorId="0" shapeId="0">
      <text>
        <t>W4: 38090</t>
      </text>
    </comment>
    <comment ref="D40" authorId="1" shapeId="0">
      <text>
        <t>Việt Hoàng:
Last week:
37.990.000</t>
      </text>
    </comment>
    <comment ref="F40" authorId="4" shapeId="0">
      <text>
        <t xml:space="preserve">chit trang:
</t>
      </text>
    </comment>
  </commentList>
</comments>
</file>

<file path=xl/comments/comment30.xml><?xml version="1.0" encoding="utf-8"?>
<comments xmlns="http://schemas.openxmlformats.org/spreadsheetml/2006/main">
  <authors>
    <author>Microsoft Office User</author>
    <author>Sheva Son</author>
    <author>Người dùng Khách</author>
    <author>Tran Dat</author>
    <author>Việt Hoàng</author>
    <author>chit trang</author>
  </authors>
  <commentList>
    <comment ref="B2" authorId="0" shapeId="0">
      <text>
        <t>was 22990000
VNP200</t>
      </text>
    </comment>
    <comment ref="C2" authorId="0" shapeId="0">
      <text>
        <t xml:space="preserve">W5 22.990
</t>
      </text>
    </comment>
    <comment ref="E2" authorId="1" shapeId="0">
      <text>
        <t xml:space="preserve">Last week is: 22.490K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text>
    </comment>
    <comment ref="F2" authorId="2" shapeId="0">
      <text>
        <t>Người dùng Không xác định:
21.290.000</t>
      </text>
    </comment>
    <comment ref="G2" authorId="3" shapeId="0">
      <text>
        <t xml:space="preserve">Tran Dat:
21.590.000
</t>
      </text>
    </comment>
    <comment ref="B3" authorId="0" shapeId="0">
      <text>
        <t>was 25990
VNp200</t>
      </text>
    </comment>
    <comment ref="C3" authorId="0" shapeId="0">
      <text>
        <t xml:space="preserve">W5 25.990
</t>
      </text>
    </comment>
    <comment ref="D3" authorId="4" shapeId="0">
      <text>
        <t>Việt Hoàng:
Last week:
25.490.000</t>
      </text>
    </comment>
    <comment ref="E3" authorId="1" shapeId="0">
      <text>
        <t xml:space="preserve">Last week is: 25.490K
Giảm 500K (đã trừ vào giá, ko kèm CTKM đổi điểm VT++).
Đổi điểm Viettel++ lên tới 6000K
Nhập mã VTQR tặng 1% tối đa 300.000 khi thanh toán qua VNPAY
Nhập mã KV_VTS_IPHONE16 giảm giá 10% tối đa 700.000 VNĐ trên giá trị của giao dịch trả góp 6-12 tháng Kredivo (300 suất) </t>
      </text>
    </comment>
    <comment ref="F3" authorId="5" shapeId="0">
      <text>
        <t>chit trang:
24.490.000</t>
      </text>
    </comment>
    <comment ref="G3" authorId="3" shapeId="0">
      <text>
        <t xml:space="preserve">Tran Dat:
25490000
</t>
      </text>
    </comment>
    <comment ref="B4" authorId="0" shapeId="0">
      <text>
        <t>was 28990
VNP200</t>
      </text>
    </comment>
    <comment ref="C4" authorId="0" shapeId="0">
      <text>
        <t xml:space="preserve">W5 28.990
</t>
      </text>
    </comment>
    <comment ref="E4" authorId="1" shapeId="0">
      <text>
        <t>Last week is: 27.490K
Đổi điểm Viettel++ lên tới 6000K
Voucher VNPAY giảm 1 triệu cho đơn hàng mua giá trị trên 20 triệu đồng (số lượng có hạn)</t>
      </text>
    </comment>
    <comment ref="F4" authorId="5" shapeId="0">
      <text>
        <t>chit trang:
27.990.000</t>
      </text>
    </comment>
    <comment ref="B5" authorId="0" shapeId="0">
      <text>
        <t>was 34990
VNP200</t>
      </text>
    </comment>
    <comment ref="C5" authorId="0" shapeId="0">
      <text>
        <t xml:space="preserve">W5 34.990
</t>
      </text>
    </comment>
    <comment ref="D5" authorId="4" shapeId="0">
      <text>
        <t>Việt Hoàng:
Last week:
34.490.000</t>
      </text>
    </comment>
    <comment ref="E5" authorId="1" shapeId="0">
      <text>
        <t>Last week is: 33.990K
Đổi điểm Viettel++ lên tới 6000K
Voucher VNPAY giảm 1 triệu cho đơn hàng mua giá trị trên 20 triệu đồng (số lượng có hạn)</t>
      </text>
    </comment>
    <comment ref="F5" authorId="5" shapeId="0">
      <text>
        <t>chit trang:
33.790.000</t>
      </text>
    </comment>
    <comment ref="B6" authorId="0" shapeId="0">
      <text>
        <t>was 20190000
VNP200</t>
      </text>
    </comment>
    <comment ref="C6" authorId="0" shapeId="0">
      <text>
        <t xml:space="preserve">W5 20.190
</t>
      </text>
    </comment>
    <comment ref="E6" authorId="1" shapeId="0">
      <text>
        <t xml:space="preserve">Last week is: 19.490K
Giảm ngay 200,000đ cho khách hàng mua gói cước 3V200B </t>
      </text>
    </comment>
    <comment ref="F6" authorId="5" shapeId="0">
      <text>
        <t>chit trang:
19.590.000</t>
      </text>
    </comment>
    <comment ref="B7" authorId="0" shapeId="0">
      <text>
        <t>was 23190000
VNP200</t>
      </text>
    </comment>
    <comment ref="C7" authorId="0" shapeId="0">
      <text>
        <t xml:space="preserve">W5 23.190
</t>
      </text>
    </comment>
    <comment ref="E7" authorId="1" shapeId="0">
      <text>
        <t xml:space="preserve">Last week is: 22.490K
Giảm ngay 200,000đ cho khách hàng mua gói cước 3V200B </t>
      </text>
    </comment>
    <comment ref="B8" authorId="0" shapeId="0">
      <text>
        <t xml:space="preserve">was 25590000
</t>
      </text>
    </comment>
    <comment ref="B9" authorId="0" shapeId="0">
      <text>
        <t>was 29590000
TN: 30090000
VNP200</t>
      </text>
    </comment>
    <comment ref="C9" authorId="0" shapeId="0">
      <text>
        <t>W5 29.590</t>
      </text>
    </comment>
    <comment ref="D9" authorId="4" shapeId="0">
      <text>
        <t>Việt Hoàng:
Last week:
29.390.000</t>
      </text>
    </comment>
    <comment ref="E9" authorId="1" shapeId="0">
      <text>
        <t>Last week was: 28.990.000
Màu titan xanh, titan đen giảm 500K còn 28.490K</t>
      </text>
    </comment>
    <comment ref="G9" authorId="3" shapeId="0">
      <text>
        <t>Tran Dat:
28.690.000</t>
      </text>
    </comment>
    <comment ref="B10" authorId="0" shapeId="0">
      <text>
        <t>was 20590000
VNP200</t>
      </text>
    </comment>
    <comment ref="C10" authorId="0" shapeId="0">
      <text>
        <t>W5 20.590</t>
      </text>
    </comment>
    <comment ref="E10" authorId="1" shapeId="0">
      <text>
        <t xml:space="preserve">Chỉ còn màu Purple, Blue, White số lượng ít
</t>
      </text>
    </comment>
    <comment ref="G10" authorId="3" shapeId="0">
      <text>
        <t>Tran Dat:
19.090.000</t>
      </text>
    </comment>
    <comment ref="B11" authorId="0" shapeId="0">
      <text>
        <t>was 17590000
VNP200</t>
      </text>
    </comment>
    <comment ref="C11" authorId="0" shapeId="0">
      <text>
        <t>W5 17.590</t>
      </text>
    </comment>
    <comment ref="B12" authorId="0" shapeId="0">
      <text>
        <t>was 13990000
VNP100
Nhiều màu chênh nhau quá</t>
      </text>
    </comment>
    <comment ref="C12" authorId="0" shapeId="0">
      <text>
        <t>W5 13.990</t>
      </text>
    </comment>
    <comment ref="E12" authorId="1" shapeId="0">
      <text>
        <t>Giảm 200K cho màu Đen và Starlight</t>
      </text>
    </comment>
    <comment ref="F12" authorId="5" shapeId="0">
      <text>
        <t>chit trang:
13.590.000</t>
      </text>
    </comment>
    <comment ref="B13" authorId="0" shapeId="0">
      <text>
        <t>was 12090000
VNP100
Green: 10990000</t>
      </text>
    </comment>
    <comment ref="C13" authorId="0" shapeId="0">
      <text>
        <t>W5 12.090</t>
      </text>
    </comment>
    <comment ref="B14" authorId="0" shapeId="0">
      <text>
        <t xml:space="preserve">was 8990000
VNP50
</t>
      </text>
    </comment>
    <comment ref="C14" authorId="0" shapeId="0">
      <text>
        <t>W5 8.990</t>
      </text>
    </comment>
    <comment ref="E14" authorId="1" shapeId="0">
      <text>
        <t xml:space="preserve">Giảm 200K khi mua Online (đã trừ vào giá)
Trợ giá 4G giảm 300K đã trừ vào giá
</t>
      </text>
    </comment>
    <comment ref="B15" authorId="0" shapeId="0">
      <text>
        <t>was 12090000
VNP100</t>
      </text>
    </comment>
    <comment ref="D15" authorId="4" shapeId="0">
      <text>
        <t>Việt Hoàng:
Last week:
12.490.000</t>
      </text>
    </comment>
    <comment ref="F15" authorId="5" shapeId="0">
      <text>
        <t>chit trang:
12.690.000</t>
      </text>
    </comment>
    <comment ref="B16" authorId="0" shapeId="0">
      <text>
        <t>was 9990000
VNP100</t>
      </text>
    </comment>
    <comment ref="C16" authorId="0" shapeId="0">
      <text>
        <t>W5 9.990</t>
      </text>
    </comment>
    <comment ref="D16" authorId="4" shapeId="0">
      <text>
        <t>Việt Hoàng:
Last week:
9.790.000</t>
      </text>
    </comment>
    <comment ref="E16" authorId="1" shapeId="0">
      <text>
        <t xml:space="preserve">Last week is: 8.990K
Giảm 200K đặt mua Online
</t>
      </text>
    </comment>
    <comment ref="B17" authorId="0" shapeId="0">
      <text>
        <t>was 7090000
VNP50</t>
      </text>
    </comment>
    <comment ref="C17" authorId="0" shapeId="0">
      <text>
        <t>W5 7.090</t>
      </text>
    </comment>
    <comment ref="D17" authorId="4" shapeId="0">
      <text>
        <t>Việt Hoàng:
Last week:
7.190.000</t>
      </text>
    </comment>
    <comment ref="E17" authorId="1" shapeId="0">
      <text>
        <t>Giảm 10% tối đa 120K khi mở ví VNPAY</t>
      </text>
    </comment>
    <comment ref="B18" authorId="0" shapeId="0">
      <text>
        <t>was 16990000
VNP100</t>
      </text>
    </comment>
    <comment ref="C18" authorId="0" shapeId="0">
      <text>
        <t>W5 16.990</t>
      </text>
    </comment>
    <comment ref="D18" authorId="4" shapeId="0">
      <text>
        <t>Việt Hoàng:
Last week:
16.990.000</t>
      </text>
    </comment>
    <comment ref="E18" authorId="1" shapeId="0">
      <text>
        <t>Last week is: 16226K
Voucher giảm 1% tối đa 300K VNPAY</t>
      </text>
    </comment>
    <comment ref="F18" authorId="5" shapeId="0">
      <text>
        <t>chit trang:
16.490.000</t>
      </text>
    </comment>
    <comment ref="G18" authorId="3" shapeId="0">
      <text>
        <t>Tran Dat:
16.290.000</t>
      </text>
    </comment>
    <comment ref="B19" authorId="0" shapeId="0">
      <text>
        <t>was 22490000
VNP200</t>
      </text>
    </comment>
    <comment ref="C19" authorId="0" shapeId="0">
      <text>
        <t>W5 22.490</t>
      </text>
    </comment>
    <comment ref="E19" authorId="1" shapeId="0">
      <text>
        <t>Last week is: 21275K
Voucher giảm 10% tối đa 300K VNPAY</t>
      </text>
    </comment>
    <comment ref="G19" authorId="3" shapeId="0">
      <text>
        <t>Tran Dat:
21.790</t>
      </text>
    </comment>
    <comment ref="B20" authorId="0" shapeId="0">
      <text>
        <t>was 27790000
VNP200</t>
      </text>
    </comment>
    <comment ref="C20" authorId="0" shapeId="0">
      <text>
        <t>W5 27.790</t>
      </text>
    </comment>
    <comment ref="D20" authorId="4" shapeId="0">
      <text>
        <t>Việt Hoàng:
Last week:
27.690.000</t>
      </text>
    </comment>
    <comment ref="B21" authorId="0" shapeId="0">
      <text>
        <t>was 37290000
VNP200</t>
      </text>
    </comment>
    <comment ref="C21" authorId="0" shapeId="0">
      <text>
        <t>W5 37.290</t>
      </text>
    </comment>
    <comment ref="B22" authorId="0" shapeId="0">
      <text>
        <t>was 5990000
VNP50</t>
      </text>
    </comment>
    <comment ref="C22" authorId="0" shapeId="0">
      <text>
        <t>W5 5.990</t>
      </text>
    </comment>
    <comment ref="D22" authorId="4" shapeId="0">
      <text>
        <t>Việt Hoàng:
Last week:
5.790.000</t>
      </text>
    </comment>
    <comment ref="B23" authorId="0" shapeId="0">
      <text>
        <t>was 7490000
VNP100</t>
      </text>
    </comment>
    <comment ref="D23" authorId="4" shapeId="0">
      <text>
        <t>Việt Hoàng:
Last week:
7.090.000</t>
      </text>
    </comment>
    <comment ref="B24" authorId="0" shapeId="0">
      <text>
        <t>was 6990000
VNP50</t>
      </text>
    </comment>
    <comment ref="C24" authorId="0" shapeId="0">
      <text>
        <t>W5 6.990</t>
      </text>
    </comment>
    <comment ref="D24" authorId="4" shapeId="0">
      <text>
        <t>Việt Hoàng:
Last week:
6.590.000</t>
      </text>
    </comment>
    <comment ref="B25" authorId="0" shapeId="0">
      <text>
        <t>was 7990000
VNP50</t>
      </text>
    </comment>
    <comment ref="D25" authorId="4" shapeId="0">
      <text>
        <t>Việt Hoàng:
Last week:
7.890.000</t>
      </text>
    </comment>
    <comment ref="G25" authorId="3" shapeId="0">
      <text>
        <t>Tran Dat:
8.090.000</t>
      </text>
    </comment>
    <comment ref="B26" authorId="0" shapeId="0">
      <text>
        <t>was 10990000
VNP100</t>
      </text>
    </comment>
    <comment ref="C26" authorId="0" shapeId="0">
      <text>
        <t>W5 10.990</t>
      </text>
    </comment>
    <comment ref="E26" authorId="1" shapeId="0">
      <text>
        <t xml:space="preserve">Giảm 500K cho khách Pre-oder
</t>
      </text>
    </comment>
    <comment ref="B27" authorId="0" shapeId="0">
      <text>
        <t>was 13590000
VNP100</t>
      </text>
    </comment>
    <comment ref="E27" authorId="1" shapeId="0">
      <text>
        <t>Last week is: 13.590K</t>
      </text>
    </comment>
    <comment ref="B28" authorId="0" shapeId="0">
      <text>
        <t>was 11790000
VNP100</t>
      </text>
    </comment>
    <comment ref="C28" authorId="0" shapeId="0">
      <text>
        <t>W5 11.790</t>
      </text>
    </comment>
    <comment ref="E28" authorId="1" shapeId="0">
      <text>
        <t>Last week is: 11.790K</t>
      </text>
    </comment>
    <comment ref="F28" authorId="5" shapeId="0">
      <text>
        <t>chit trang:
11. 790.000</t>
      </text>
    </comment>
    <comment ref="B29" authorId="0" shapeId="0">
      <text>
        <t>was 14390000
VNP100</t>
      </text>
    </comment>
    <comment ref="E29" authorId="1" shapeId="0">
      <text>
        <t>Last week is: 14.390K</t>
      </text>
    </comment>
    <comment ref="B31" authorId="0" shapeId="0">
      <text>
        <t>was 5790000
VNP50</t>
      </text>
    </comment>
    <comment ref="C31" authorId="0" shapeId="0">
      <text>
        <t>W5 5.790</t>
      </text>
    </comment>
    <comment ref="E31" authorId="1" shapeId="0">
      <text>
        <t xml:space="preserve">Last week was: 5.490K
</t>
      </text>
    </comment>
    <comment ref="B32" authorId="0" shapeId="0">
      <text>
        <t xml:space="preserve">was 4790000
VNP50
</t>
      </text>
    </comment>
    <comment ref="E32" authorId="1" shapeId="0">
      <text>
        <t>Last week was: 4.790K
Voucher giảm 1% tối đa 300K VNPAY</t>
      </text>
    </comment>
    <comment ref="G32" authorId="3" shapeId="0">
      <text>
        <t xml:space="preserve">Tran Dat:
4.790.000
</t>
      </text>
    </comment>
    <comment ref="E33" authorId="0" shapeId="0">
      <text>
        <t>was 3490000</t>
      </text>
    </comment>
    <comment ref="B34" authorId="0" shapeId="0">
      <text>
        <t>was 4090000
VNP50</t>
      </text>
    </comment>
    <comment ref="C34" authorId="0" shapeId="0">
      <text>
        <t xml:space="preserve">W5 4.090
</t>
      </text>
    </comment>
    <comment ref="E35" authorId="1" shapeId="0">
      <text>
        <t>Last week is: 2.690K</t>
      </text>
    </comment>
    <comment ref="B36" authorId="0" shapeId="0">
      <text>
        <t xml:space="preserve">was 18990000
VNP200
</t>
      </text>
    </comment>
    <comment ref="C36" authorId="0" shapeId="0">
      <text>
        <t>W5 18.990</t>
      </text>
    </comment>
    <comment ref="D36" authorId="4" shapeId="0">
      <text>
        <t>Việt Hoàng:
Last week:
18.490.000</t>
      </text>
    </comment>
    <comment ref="F36" authorId="5" shapeId="0">
      <text>
        <t>chit trang:
18.390.000</t>
      </text>
    </comment>
    <comment ref="B37" authorId="0" shapeId="0">
      <text>
        <t>was 24490000</t>
      </text>
    </comment>
    <comment ref="D37" authorId="4" shapeId="0">
      <text>
        <t>Việt Hoàng:
Last week:
23.990.000</t>
      </text>
    </comment>
    <comment ref="F37" authorId="5" shapeId="0">
      <text>
        <t>chit trang:
22.990.000</t>
      </text>
    </comment>
    <comment ref="G37" authorId="3" shapeId="0">
      <text>
        <t>Tran Dat:
22.990.000</t>
      </text>
    </comment>
    <comment ref="B38" authorId="0" shapeId="0">
      <text>
        <t>was 27490000
VNP200</t>
      </text>
    </comment>
    <comment ref="C38" authorId="0" shapeId="0">
      <text>
        <t>W5 27.490</t>
      </text>
    </comment>
    <comment ref="D38" authorId="4" shapeId="0">
      <text>
        <t>Việt Hoàng:
Last week:
26.990.000</t>
      </text>
    </comment>
    <comment ref="B39" authorId="0" shapeId="0">
      <text>
        <t>was 31990000</t>
      </text>
    </comment>
    <comment ref="D39" authorId="4" shapeId="0">
      <text>
        <t>Việt Hoàng:
Last week:
31.290.000</t>
      </text>
    </comment>
    <comment ref="F39" authorId="5" shapeId="0">
      <text>
        <t>chit trang:
31.190.000</t>
      </text>
    </comment>
    <comment ref="G39" authorId="3" shapeId="0">
      <text>
        <t xml:space="preserve">Tran Dat:
31.590.000
</t>
      </text>
    </comment>
    <comment ref="B40" authorId="0" shapeId="0">
      <text>
        <t>was 38990000
VNP200</t>
      </text>
    </comment>
    <comment ref="C40" authorId="0" shapeId="0">
      <text>
        <t>W5 38.990</t>
      </text>
    </comment>
    <comment ref="D40" authorId="4" shapeId="0">
      <text>
        <t>Việt Hoàng:
Last week:
38.190.000</t>
      </text>
    </comment>
  </commentList>
</comments>
</file>

<file path=xl/comments/comment31.xml><?xml version="1.0" encoding="utf-8"?>
<comments xmlns="http://schemas.openxmlformats.org/spreadsheetml/2006/main">
  <authors>
    <author>Sheva Son</author>
    <author>Người dùng Khách</author>
    <author>Tran Dat</author>
    <author>Microsoft Office User</author>
    <author>Việt Hoàng</author>
    <author>chit trang</author>
  </authors>
  <commentList>
    <comment ref="E2" authorId="0" shapeId="0">
      <text>
        <t>Last week is: 21.690K
Giảm 500K (đã trừ vào giá, ko kèm CTKM đổi điểm VT++).
Đổi điểm Viettel++ lên tới 6000K</t>
      </text>
    </comment>
    <comment ref="F2" authorId="1" shapeId="0">
      <text>
        <t>Người dùng Không xác định:
21.690.000</t>
      </text>
    </comment>
    <comment ref="G2" authorId="2" shapeId="0">
      <text>
        <t xml:space="preserve">Tran Dat:
21.790.000
</t>
      </text>
    </comment>
    <comment ref="B3" authorId="3" shapeId="0">
      <text>
        <t>was 25790000
VNp200</t>
      </text>
    </comment>
    <comment ref="C3" authorId="3" shapeId="0">
      <text>
        <t>W6 25.790</t>
      </text>
    </comment>
    <comment ref="D3" authorId="4" shapeId="0">
      <text>
        <t>Việt Hoàng:
Last week:
25.290.000</t>
      </text>
    </comment>
    <comment ref="E3" authorId="0" shapeId="0">
      <text>
        <t xml:space="preserve">Last week is: 24.890K
Giảm 500K (đã trừ vào giá, ko kèm CTKM đổi điểm VT++).
Đổi điểm Viettel++ lên tới 6000K
</t>
      </text>
    </comment>
    <comment ref="F3" authorId="5" shapeId="0">
      <text>
        <t>chit trang:
24.490.000</t>
      </text>
    </comment>
    <comment ref="B4" authorId="3" shapeId="0">
      <text>
        <t>was 28790000
VNP200</t>
      </text>
    </comment>
    <comment ref="C4" authorId="3" shapeId="0">
      <text>
        <t>W6 28.790</t>
      </text>
    </comment>
    <comment ref="D4" authorId="4" shapeId="0">
      <text>
        <t>Việt Hoàng:
Last week was:
28.490.000</t>
      </text>
    </comment>
    <comment ref="E4" authorId="3" shapeId="0">
      <text>
        <t>was 28490
VNP300</t>
      </text>
    </comment>
    <comment ref="F4" authorId="5" shapeId="0">
      <text>
        <t>chit trang:
28.490.000</t>
      </text>
    </comment>
    <comment ref="G4" authorId="2" shapeId="0">
      <text>
        <t xml:space="preserve">Tran Dat:
28.590.000
</t>
      </text>
    </comment>
    <comment ref="B5" authorId="3" shapeId="0">
      <text>
        <t>was 34790
VNP200</t>
      </text>
    </comment>
    <comment ref="C5" authorId="3" shapeId="0">
      <text>
        <t xml:space="preserve">W6 34.790
</t>
      </text>
    </comment>
    <comment ref="D5" authorId="4" shapeId="0">
      <text>
        <t>Việt Hoàng:
Last week:
34.290.000</t>
      </text>
    </comment>
    <comment ref="E5" authorId="0" shapeId="0">
      <text>
        <t xml:space="preserve">Last week is: 33.490K
Đổi điểm Viettel++ lên tới 6000K
Voucher VNPAY giảm 1% tối đa 300.000 cho đơn hàng có giá trị từ 3.000.000đ </t>
      </text>
    </comment>
    <comment ref="F5" authorId="5" shapeId="0">
      <text>
        <t>chit trang:
34.090.000</t>
      </text>
    </comment>
    <comment ref="G5" authorId="2" shapeId="0">
      <text>
        <t>Tran Dat:
34.390.000</t>
      </text>
    </comment>
    <comment ref="E6" authorId="0" shapeId="0">
      <text>
        <t xml:space="preserve">Last week is: 19.190K
Giảm ngay 200,000đ cho khách hàng mua gói cước 3V200B </t>
      </text>
    </comment>
    <comment ref="G6" authorId="2" shapeId="0">
      <text>
        <t>Tran Dat:
19.290.000</t>
      </text>
    </comment>
    <comment ref="E7" authorId="0" shapeId="0">
      <text>
        <t xml:space="preserve">Last week is: 21.990K
Giảm ngay 200,000đ cho khách hàng mua gói cước 3V200B </t>
      </text>
    </comment>
    <comment ref="G7" authorId="2" shapeId="0">
      <text>
        <t>Tran Dat:
22.690.000</t>
      </text>
    </comment>
    <comment ref="E9" authorId="0" shapeId="0">
      <text>
        <t xml:space="preserve">Last week was: 28.490.000
</t>
      </text>
    </comment>
    <comment ref="G9" authorId="2" shapeId="0">
      <text>
        <t>Tran Dat:
28.690.000</t>
      </text>
    </comment>
    <comment ref="E10" authorId="0" shapeId="0">
      <text>
        <t xml:space="preserve">Chỉ còn màu Purple, Blue, White số lượng ít
</t>
      </text>
    </comment>
    <comment ref="G10" authorId="2" shapeId="0">
      <text>
        <t>Tran Dat:
19.090.000</t>
      </text>
    </comment>
    <comment ref="B11" authorId="3" shapeId="0">
      <text>
        <t>was 17390000
VNP200</t>
      </text>
    </comment>
    <comment ref="C11" authorId="3" shapeId="0">
      <text>
        <t>W6 17.390</t>
      </text>
    </comment>
    <comment ref="D11" authorId="4" shapeId="0">
      <text>
        <t>Việt Hoàng:
Last week was:
17.090.000</t>
      </text>
    </comment>
    <comment ref="B12" authorId="3" shapeId="0">
      <text>
        <t>was 13990000
VNP100
Nhiều màu chênh nhau quá</t>
      </text>
    </comment>
    <comment ref="C12" authorId="3" shapeId="0">
      <text>
        <t>W6 13.990</t>
      </text>
    </comment>
    <comment ref="E12" authorId="0" shapeId="0">
      <text>
        <t>Giảm 300K cho màu Đen và Starlight</t>
      </text>
    </comment>
    <comment ref="G12" authorId="2" shapeId="0">
      <text>
        <t>Tran Dat:
13.490.000</t>
      </text>
    </comment>
    <comment ref="B13" authorId="3" shapeId="0">
      <text>
        <t>was 11990000
VNP100
Green: 11590000</t>
      </text>
    </comment>
    <comment ref="C13" authorId="3" shapeId="0">
      <text>
        <t>W6 11.990</t>
      </text>
    </comment>
    <comment ref="E14" authorId="0" shapeId="0">
      <text>
        <t xml:space="preserve">Giảm 200K khi mua Online (đã trừ vào giá)
Trợ giá 4G giảm 300K đã trừ vào giá
</t>
      </text>
    </comment>
    <comment ref="F15" authorId="5" shapeId="0">
      <text>
        <t>chit trang:
11.990.000</t>
      </text>
    </comment>
    <comment ref="G15" authorId="2" shapeId="0">
      <text>
        <t>Tran Dat:
12.650.000</t>
      </text>
    </comment>
    <comment ref="D16" authorId="4" shapeId="0">
      <text>
        <t>Việt Hoàng:
Last week:
8.990.000</t>
      </text>
    </comment>
    <comment ref="E16" authorId="0" shapeId="0">
      <text>
        <t xml:space="preserve">Last week is: 9.690K
</t>
      </text>
    </comment>
    <comment ref="G16" authorId="2" shapeId="0">
      <text>
        <t xml:space="preserve">Tran Dat:
9.290.000
</t>
      </text>
    </comment>
    <comment ref="E17" authorId="0" shapeId="0">
      <text>
        <t>Giảm 10% tối đa 120K khi mở ví VNPAY</t>
      </text>
    </comment>
    <comment ref="B18" authorId="3" shapeId="0">
      <text>
        <t>was 16890000
VNP100</t>
      </text>
    </comment>
    <comment ref="C18" authorId="3" shapeId="0">
      <text>
        <t>W6 16.890</t>
      </text>
    </comment>
    <comment ref="D18" authorId="4" shapeId="0">
      <text>
        <t>Việt Hoàng:
Last week:
16.690.000</t>
      </text>
    </comment>
    <comment ref="E18" authorId="0" shapeId="0">
      <text>
        <t>Last week is: 16226K
Voucher giảm 1% tối đa 300K VNPAY</t>
      </text>
    </comment>
    <comment ref="F18" authorId="5" shapeId="0">
      <text>
        <t>chit trang:
16.590.000</t>
      </text>
    </comment>
    <comment ref="G18" authorId="2" shapeId="0">
      <text>
        <t>Tran Dat:
15.990.000</t>
      </text>
    </comment>
    <comment ref="B19" authorId="3" shapeId="0">
      <text>
        <t>was 22290000
VNP200</t>
      </text>
    </comment>
    <comment ref="C19" authorId="3" shapeId="0">
      <text>
        <t>W6 22.290</t>
      </text>
    </comment>
    <comment ref="D19" authorId="4" shapeId="0">
      <text>
        <t>Việt Hoàng:
Last week was:
21.990.000</t>
      </text>
    </comment>
    <comment ref="E19" authorId="0" shapeId="0">
      <text>
        <t>Last week is: 21275K
Voucher giảm 10% tối đa 300K VNPAY</t>
      </text>
    </comment>
    <comment ref="G19" authorId="2" shapeId="0">
      <text>
        <t>Tran Dat:
21.290</t>
      </text>
    </comment>
    <comment ref="E20" authorId="0" shapeId="0">
      <text>
        <t xml:space="preserve">Last week is: 27.190K
</t>
      </text>
    </comment>
    <comment ref="G21" authorId="2" shapeId="0">
      <text>
        <t xml:space="preserve">Tran Dat:
36,890,000
</t>
      </text>
    </comment>
    <comment ref="G22" authorId="2" shapeId="0">
      <text>
        <t>Tran Dat:
5.690</t>
      </text>
    </comment>
    <comment ref="B23" authorId="3" shapeId="0">
      <text>
        <t>was 7240000
VNP50</t>
      </text>
    </comment>
    <comment ref="G23" authorId="2" shapeId="0">
      <text>
        <t>Tran Dat:
7.390.000</t>
      </text>
    </comment>
    <comment ref="G24" authorId="2" shapeId="0">
      <text>
        <t>Tran Dat:
6.790.000</t>
      </text>
    </comment>
    <comment ref="B25" authorId="3" shapeId="0">
      <text>
        <t>was 7940000
VNP50</t>
      </text>
    </comment>
    <comment ref="B26" authorId="3" shapeId="0">
      <text>
        <t>was 10990000
VNP100</t>
      </text>
    </comment>
    <comment ref="E26" authorId="0" shapeId="0">
      <text>
        <t xml:space="preserve">Giảm 500K cho khách Pre-oder
</t>
      </text>
    </comment>
    <comment ref="F26" authorId="5" shapeId="0">
      <text>
        <t>chit trang:
10.990.000</t>
      </text>
    </comment>
    <comment ref="B27" authorId="3" shapeId="0">
      <text>
        <t>was 13290000
VNP100</t>
      </text>
    </comment>
    <comment ref="E27" authorId="0" shapeId="0">
      <text>
        <t>Last week is: 13.590K</t>
      </text>
    </comment>
    <comment ref="B28" authorId="3" shapeId="0">
      <text>
        <t>was 11790000
VNP100</t>
      </text>
    </comment>
    <comment ref="E28" authorId="0" shapeId="0">
      <text>
        <t>Last week is: 11.790K</t>
      </text>
    </comment>
    <comment ref="F28" authorId="5" shapeId="0">
      <text>
        <t>chit trang:
11. 790.000</t>
      </text>
    </comment>
    <comment ref="E29" authorId="0" shapeId="0">
      <text>
        <t>Last week is: 14.390K</t>
      </text>
    </comment>
    <comment ref="B30" authorId="3" shapeId="0">
      <text>
        <t>was 22990000
VNP200</t>
      </text>
    </comment>
    <comment ref="C30" authorId="3" shapeId="0">
      <text>
        <t>W6 22.990</t>
      </text>
    </comment>
    <comment ref="F30" authorId="5" shapeId="0">
      <text>
        <t>chit trang:
22.990.000</t>
      </text>
    </comment>
    <comment ref="B31" authorId="3" shapeId="0">
      <text>
        <t>was 5740000
VNP50</t>
      </text>
    </comment>
    <comment ref="C31" authorId="3" shapeId="0">
      <text>
        <t>W6 5.740</t>
      </text>
    </comment>
    <comment ref="E31" authorId="0" shapeId="0">
      <text>
        <t xml:space="preserve">Last week was: 5.490K
</t>
      </text>
    </comment>
    <comment ref="F31" authorId="5" shapeId="0">
      <text>
        <t>chit trang:
5.750.000</t>
      </text>
    </comment>
    <comment ref="B32" authorId="3" shapeId="0">
      <text>
        <t xml:space="preserve">was 4740000
VNP50
</t>
      </text>
    </comment>
    <comment ref="C32" authorId="3" shapeId="0">
      <text>
        <t>W6 4.740</t>
      </text>
    </comment>
    <comment ref="D32" authorId="4" shapeId="0">
      <text>
        <t>Việt Hoàng:
Last week was:
4.790.000</t>
      </text>
    </comment>
    <comment ref="E32" authorId="0" shapeId="0">
      <text>
        <t>Last week was: 4.790K
Voucher giảm 1% tối đa 300K VNPAY</t>
      </text>
    </comment>
    <comment ref="G32" authorId="2" shapeId="0">
      <text>
        <t xml:space="preserve">Tran Dat:
4.690.000
</t>
      </text>
    </comment>
    <comment ref="B33" authorId="3" shapeId="0">
      <text>
        <t>was 3490000</t>
      </text>
    </comment>
    <comment ref="D33" authorId="4" shapeId="0">
      <text>
        <t>Việt Hoàng:
Last week was:
3.490.000</t>
      </text>
    </comment>
    <comment ref="E33" authorId="3" shapeId="0">
      <text>
        <t>was 3490000</t>
      </text>
    </comment>
    <comment ref="G33" authorId="2" shapeId="0">
      <text>
        <t>Tran Dat:
3390000</t>
      </text>
    </comment>
    <comment ref="D34" authorId="4" shapeId="0">
      <text>
        <t>Việt Hoàng:
Last week was:
4.090.000</t>
      </text>
    </comment>
    <comment ref="D35" authorId="4" shapeId="0">
      <text>
        <t>Việt Hoàng:
Last week was:
3.090.000</t>
      </text>
    </comment>
    <comment ref="E35" authorId="0" shapeId="0">
      <text>
        <t>Last week is: 2.690K</t>
      </text>
    </comment>
    <comment ref="B36" authorId="3" shapeId="0">
      <text>
        <t xml:space="preserve">was 18290000
HSSV300
VNP200
</t>
      </text>
    </comment>
    <comment ref="C36" authorId="3" shapeId="0">
      <text>
        <t xml:space="preserve">W6 18.290
</t>
      </text>
    </comment>
    <comment ref="D36" authorId="4" shapeId="0">
      <text>
        <t>Việt Hoàng:
Last week:
18.390.000</t>
      </text>
    </comment>
    <comment ref="F36" authorId="5" shapeId="0">
      <text>
        <t>chit trang:
18.190.000</t>
      </text>
    </comment>
    <comment ref="B37" authorId="3" shapeId="0">
      <text>
        <t>was OOS
chạy lại HSSV</t>
      </text>
    </comment>
    <comment ref="C37" authorId="3" shapeId="0">
      <text>
        <t>W6 23.490</t>
      </text>
    </comment>
    <comment ref="D37" authorId="4" shapeId="0">
      <text>
        <t>Việt Hoàng:
Last week:
22.690.000</t>
      </text>
    </comment>
    <comment ref="F37" authorId="5" shapeId="0">
      <text>
        <t>chit trang:
22.590.000</t>
      </text>
    </comment>
    <comment ref="G37" authorId="2" shapeId="0">
      <text>
        <t>Tran Dat:
23.290.000</t>
      </text>
    </comment>
    <comment ref="B38" authorId="3" shapeId="0">
      <text>
        <t>was 25590000
HSSV
VNP200</t>
      </text>
    </comment>
    <comment ref="C38" authorId="3" shapeId="0">
      <text>
        <t>W6 25.590</t>
      </text>
    </comment>
    <comment ref="D38" authorId="4" shapeId="0">
      <text>
        <t>Việt Hoàng:
Last week:
25.790.000</t>
      </text>
    </comment>
    <comment ref="B39" authorId="3" shapeId="0">
      <text>
        <t>was OOS
VNP200
HSSV500</t>
      </text>
    </comment>
    <comment ref="C39" authorId="3" shapeId="0">
      <text>
        <t>W6 31.090</t>
      </text>
    </comment>
    <comment ref="D39" authorId="4" shapeId="0">
      <text>
        <t>Việt Hoàng:
Last week:
30.990.000</t>
      </text>
    </comment>
    <comment ref="F39" authorId="5" shapeId="0">
      <text>
        <t>chit trang:
31.190.000</t>
      </text>
    </comment>
    <comment ref="D40" authorId="4" shapeId="0">
      <text>
        <t>Việt Hoàng:
Last week:
36.490.000</t>
      </text>
    </comment>
  </commentList>
</comments>
</file>

<file path=xl/comments/comment32.xml><?xml version="1.0" encoding="utf-8"?>
<comments xmlns="http://schemas.openxmlformats.org/spreadsheetml/2006/main">
  <authors>
    <author>Microsoft Office User</author>
    <author>Việt Hoàng</author>
    <author>Sheva Son</author>
    <author>Người dùng Khách</author>
    <author>Tran Dat</author>
    <author>chit trang</author>
  </authors>
  <commentList>
    <comment ref="B2" authorId="0" shapeId="0">
      <text>
        <t>was 22390000
Bán theo màu chênh tối đa 300</t>
      </text>
    </comment>
    <comment ref="C2" authorId="0" shapeId="0">
      <text>
        <t xml:space="preserve">W7 22.390
</t>
      </text>
    </comment>
    <comment ref="D2" authorId="1" shapeId="0">
      <text>
        <t>Việt Hoàng:
Last week:
21.690.000</t>
      </text>
    </comment>
    <comment ref="E2" authorId="2" shapeId="0">
      <text>
        <t>Last week is: 21.690K
Giảm 500K (đã trừ vào giá, ko kèm CTKM đổi điểm VT++).
Đổi điểm Viettel++ lên tới 6000K</t>
      </text>
    </comment>
    <comment ref="F2" authorId="3" shapeId="0">
      <text>
        <t>Người dùng Không xác định:
21.790.000</t>
      </text>
    </comment>
    <comment ref="B3" authorId="0" shapeId="0">
      <text>
        <t>was 25490000</t>
      </text>
    </comment>
    <comment ref="C3" authorId="0" shapeId="0">
      <text>
        <t>W7 25.490</t>
      </text>
    </comment>
    <comment ref="D3" authorId="1" shapeId="0">
      <text>
        <t>Việt Hoàng:
Last week:
24.990.000</t>
      </text>
    </comment>
    <comment ref="E3" authorId="2" shapeId="0">
      <text>
        <t xml:space="preserve">Last week is: 24.890K
Giảm 500K (đã trừ vào giá, ko kèm CTKM đổi điểm VT++).
Đổi điểm Viettel++ lên tới 6000K
</t>
      </text>
    </comment>
    <comment ref="B4" authorId="0" shapeId="0">
      <text>
        <t>was 28690</t>
      </text>
    </comment>
    <comment ref="C4" authorId="0" shapeId="0">
      <text>
        <t>W7 28.690</t>
      </text>
    </comment>
    <comment ref="D4" authorId="1" shapeId="0">
      <text>
        <t>Việt Hoàng:
Last week was:
28.290.000</t>
      </text>
    </comment>
    <comment ref="E4" authorId="0" shapeId="0">
      <text>
        <t>was 28490
VNP300</t>
      </text>
    </comment>
    <comment ref="G4" authorId="4" shapeId="0">
      <text>
        <t xml:space="preserve">Tran Dat:
28.490.000
</t>
      </text>
    </comment>
    <comment ref="B5" authorId="0" shapeId="0">
      <text>
        <t>was 34290
Bỏ vnp</t>
      </text>
    </comment>
    <comment ref="C5" authorId="0" shapeId="0">
      <text>
        <t>W7 34.290</t>
      </text>
    </comment>
    <comment ref="D5" authorId="1" shapeId="0">
      <text>
        <t>Việt Hoàng:
Last week:
33.890.000</t>
      </text>
    </comment>
    <comment ref="E5" authorId="2" shapeId="0">
      <text>
        <t xml:space="preserve">Last week is: 33.190K
Đổi điểm Viettel++ lên tới 6000K
Black Friday từ 11h-14h ngày 12-31/11/2024 màu black titanium bản 256GB giá 32.990K
</t>
      </text>
    </comment>
    <comment ref="F5" authorId="5" shapeId="0">
      <text>
        <t>chit trang:
33.890.000</t>
      </text>
    </comment>
    <comment ref="G5" authorId="4" shapeId="0">
      <text>
        <t>Tran Dat:
33.890.000</t>
      </text>
    </comment>
    <comment ref="B6" authorId="0" shapeId="0">
      <text>
        <t>was 19590000</t>
      </text>
    </comment>
    <comment ref="C6" authorId="0" shapeId="0">
      <text>
        <t>W7 19.590</t>
      </text>
    </comment>
    <comment ref="D6" authorId="1" shapeId="0">
      <text>
        <t>Việt Hoàng:
Last week:
19.690.000</t>
      </text>
    </comment>
    <comment ref="E6" authorId="2" shapeId="0">
      <text>
        <t xml:space="preserve">Last week is: 19.190K
Giảm ngay 200,000đ cho khách hàng mua gói cước 3V200B </t>
      </text>
    </comment>
    <comment ref="B7" authorId="0" shapeId="0">
      <text>
        <t>was 22590000</t>
      </text>
    </comment>
    <comment ref="C7" authorId="0" shapeId="0">
      <text>
        <t>W7 22.590</t>
      </text>
    </comment>
    <comment ref="E7" authorId="2" shapeId="0">
      <text>
        <t xml:space="preserve">Last week is: 21.990K
Giảm ngay 200,000đ cho khách hàng mua gói cước 3V200B </t>
      </text>
    </comment>
    <comment ref="B9" authorId="0" shapeId="0">
      <text>
        <t>was 29390000</t>
      </text>
    </comment>
    <comment ref="C9" authorId="0" shapeId="0">
      <text>
        <t>W7 29.390</t>
      </text>
    </comment>
    <comment ref="D9" authorId="1" shapeId="0">
      <text>
        <t>Việt Hoàng:
Last week:
29.490.000</t>
      </text>
    </comment>
    <comment ref="E9" authorId="2" shapeId="0">
      <text>
        <t xml:space="preserve">Last week was: 28.490.000
</t>
      </text>
    </comment>
    <comment ref="B10" authorId="0" shapeId="0">
      <text>
        <t>was 20390000</t>
      </text>
    </comment>
    <comment ref="C10" authorId="0" shapeId="0">
      <text>
        <t>W7 20.390</t>
      </text>
    </comment>
    <comment ref="D10" authorId="1" shapeId="0">
      <text>
        <t>Việt Hoàng:
Last week:
19.990.000</t>
      </text>
    </comment>
    <comment ref="E10" authorId="2" shapeId="0">
      <text>
        <t xml:space="preserve">Chỉ còn màu Purple, Blue, White số lượng ít
</t>
      </text>
    </comment>
    <comment ref="B11" authorId="0" shapeId="0">
      <text>
        <t>was 17190000</t>
      </text>
    </comment>
    <comment ref="C11" authorId="0" shapeId="0">
      <text>
        <t>W7 17.190</t>
      </text>
    </comment>
    <comment ref="D11" authorId="1" shapeId="0">
      <text>
        <t>Việt Hoàng:
Last week was:
17.490.000</t>
      </text>
    </comment>
    <comment ref="B12" authorId="0" shapeId="0">
      <text>
        <t>bỏ VNP bán màu lung tung chênh tối đa 500</t>
      </text>
    </comment>
    <comment ref="C12" authorId="0" shapeId="0">
      <text>
        <t>W7 13.290</t>
      </text>
    </comment>
    <comment ref="D12" authorId="1" shapeId="0">
      <text>
        <t>Việt Hoàng:
Last week:
13.490.000</t>
      </text>
    </comment>
    <comment ref="E12" authorId="2" shapeId="0">
      <text>
        <t>Giảm 300K cho màu Đen và Starlight</t>
      </text>
    </comment>
    <comment ref="B13" authorId="0" shapeId="0">
      <text>
        <t>was 11890000</t>
      </text>
    </comment>
    <comment ref="C13" authorId="0" shapeId="0">
      <text>
        <t>W7 11.890</t>
      </text>
    </comment>
    <comment ref="B14" authorId="0" shapeId="0">
      <text>
        <t>was 8940000</t>
      </text>
    </comment>
    <comment ref="C14" authorId="0" shapeId="0">
      <text>
        <t>W7 8.940</t>
      </text>
    </comment>
    <comment ref="E14" authorId="2" shapeId="0">
      <text>
        <t xml:space="preserve">Giảm 200K khi mua Online (đã trừ vào giá)
Trợ giá 4G giảm 300K đã trừ vào giá
</t>
      </text>
    </comment>
    <comment ref="B16" authorId="0" shapeId="0">
      <text>
        <t>was 9290000</t>
      </text>
    </comment>
    <comment ref="C16" authorId="0" shapeId="0">
      <text>
        <t>W7 9.290</t>
      </text>
    </comment>
    <comment ref="D16" authorId="1" shapeId="0">
      <text>
        <t>Việt Hoàng:
Last week:
8.890.000</t>
      </text>
    </comment>
    <comment ref="E16" authorId="2" shapeId="0">
      <text>
        <t xml:space="preserve">Last week is: 8.990K
</t>
      </text>
    </comment>
    <comment ref="F16" authorId="5" shapeId="0">
      <text>
        <t>chit trang:
8.790.000</t>
      </text>
    </comment>
    <comment ref="G16" authorId="4" shapeId="0">
      <text>
        <t xml:space="preserve">Tran Dat:
9.290.000
</t>
      </text>
    </comment>
    <comment ref="B17" authorId="0" shapeId="0">
      <text>
        <t>was 7040000</t>
      </text>
    </comment>
    <comment ref="C17" authorId="0" shapeId="0">
      <text>
        <t>W7 7.040</t>
      </text>
    </comment>
    <comment ref="D17" authorId="1" shapeId="0">
      <text>
        <t>Việt Hoàng:
Last week:
7.090.000</t>
      </text>
    </comment>
    <comment ref="E17" authorId="2" shapeId="0">
      <text>
        <t>Giảm 10% tối đa 120K khi mở ví VNPAY</t>
      </text>
    </comment>
    <comment ref="B18" authorId="0" shapeId="0">
      <text>
        <t>was 15190000</t>
      </text>
    </comment>
    <comment ref="C18" authorId="0" shapeId="0">
      <text>
        <t>W7 15.190</t>
      </text>
    </comment>
    <comment ref="E18" authorId="2" shapeId="0">
      <text>
        <t>Last week is: 15.190K
Voucher giảm 1% tối đa 300K VNPAY</t>
      </text>
    </comment>
    <comment ref="F18" authorId="5" shapeId="0">
      <text>
        <t>chit trang:
15.290.000</t>
      </text>
    </comment>
    <comment ref="B19" authorId="0" shapeId="0">
      <text>
        <t>was 20790000</t>
      </text>
    </comment>
    <comment ref="C19" authorId="0" shapeId="0">
      <text>
        <t>W7 20.790</t>
      </text>
    </comment>
    <comment ref="E19" authorId="2" shapeId="0">
      <text>
        <t>Last week is: 21.190K
Voucher giảm 10% tối đa 300K VNPAY</t>
      </text>
    </comment>
    <comment ref="F19" authorId="5" shapeId="0">
      <text>
        <t>chit trang:
21.490.000</t>
      </text>
    </comment>
    <comment ref="B20" authorId="0" shapeId="0">
      <text>
        <t>was 27590000</t>
      </text>
    </comment>
    <comment ref="C20" authorId="0" shapeId="0">
      <text>
        <t>W7 27.590</t>
      </text>
    </comment>
    <comment ref="D20" authorId="1" shapeId="0">
      <text>
        <t>Việt Hoàng:
Last week:
27.590.000</t>
      </text>
    </comment>
    <comment ref="E20" authorId="2" shapeId="0">
      <text>
        <t xml:space="preserve">Last week is: 26.890K
</t>
      </text>
    </comment>
    <comment ref="B22" authorId="0" shapeId="0">
      <text>
        <t>was 5740000</t>
      </text>
    </comment>
    <comment ref="C22" authorId="0" shapeId="0">
      <text>
        <t>W7 5.740</t>
      </text>
    </comment>
    <comment ref="B23" authorId="0" shapeId="0">
      <text>
        <t>was 7040000</t>
      </text>
    </comment>
    <comment ref="G23" authorId="4" shapeId="0">
      <text>
        <t>Tran Dat:
7.3
90.000</t>
      </text>
    </comment>
    <comment ref="B24" authorId="0" shapeId="0">
      <text>
        <t>was 6540000</t>
      </text>
    </comment>
    <comment ref="C24" authorId="0" shapeId="0">
      <text>
        <t>W7 6.540</t>
      </text>
    </comment>
    <comment ref="B25" authorId="0" shapeId="0">
      <text>
        <t>was 7740000</t>
      </text>
    </comment>
    <comment ref="B26" authorId="0" shapeId="0">
      <text>
        <t>was 10690000</t>
      </text>
    </comment>
    <comment ref="C26" authorId="0" shapeId="0">
      <text>
        <t>W7 10.690</t>
      </text>
    </comment>
    <comment ref="E26" authorId="2" shapeId="0">
      <text>
        <t xml:space="preserve">Giảm 500K cho khách Pre-oder
</t>
      </text>
    </comment>
    <comment ref="B27" authorId="0" shapeId="0">
      <text>
        <t>was 13490000</t>
      </text>
    </comment>
    <comment ref="E27" authorId="2" shapeId="0">
      <text>
        <t>Last week is: 13.590K</t>
      </text>
    </comment>
    <comment ref="B28" authorId="0" shapeId="0">
      <text>
        <t>was 11690000</t>
      </text>
    </comment>
    <comment ref="C28" authorId="0" shapeId="0">
      <text>
        <t>W7 11.690</t>
      </text>
    </comment>
    <comment ref="E28" authorId="2" shapeId="0">
      <text>
        <t>Last week is: 11.790K</t>
      </text>
    </comment>
    <comment ref="B29" authorId="0" shapeId="0">
      <text>
        <t>was 14290000</t>
      </text>
    </comment>
    <comment ref="E29" authorId="2" shapeId="0">
      <text>
        <t>Last week is: 14.390K</t>
      </text>
    </comment>
    <comment ref="B30" authorId="0" shapeId="0">
      <text>
        <t>was 22790000</t>
      </text>
    </comment>
    <comment ref="C30" authorId="0" shapeId="0">
      <text>
        <t>W7 22.790</t>
      </text>
    </comment>
    <comment ref="B31" authorId="0" shapeId="0">
      <text>
        <t>was 5640000</t>
      </text>
    </comment>
    <comment ref="C31" authorId="0" shapeId="0">
      <text>
        <t>W7 5.640</t>
      </text>
    </comment>
    <comment ref="D31" authorId="1" shapeId="0">
      <text>
        <t>Việt Hoàng:
Last week:
5.790.000</t>
      </text>
    </comment>
    <comment ref="E31" authorId="2" shapeId="0">
      <text>
        <t xml:space="preserve">Last week was: 5.520K
</t>
      </text>
    </comment>
    <comment ref="B32" authorId="0" shapeId="0">
      <text>
        <t>was 4540000</t>
      </text>
    </comment>
    <comment ref="C32" authorId="0" shapeId="0">
      <text>
        <t>W7 4.540</t>
      </text>
    </comment>
    <comment ref="D32" authorId="1" shapeId="0">
      <text>
        <t>Việt Hoàng:
Last week was:
4.590.000</t>
      </text>
    </comment>
    <comment ref="E32" authorId="2" shapeId="0">
      <text>
        <t>Last week was: 4.790K
Voucher giảm 1% tối đa 300K VNPAY</t>
      </text>
    </comment>
    <comment ref="F32" authorId="5" shapeId="0">
      <text>
        <t>chit trang:
4.660.000</t>
      </text>
    </comment>
    <comment ref="G32" authorId="4" shapeId="0">
      <text>
        <t xml:space="preserve">Tran Dat:
4.690.000
</t>
      </text>
    </comment>
    <comment ref="B33" authorId="0" shapeId="0">
      <text>
        <t>was 3340000</t>
      </text>
    </comment>
    <comment ref="C33" authorId="0" shapeId="0">
      <text>
        <t>W7 3.340</t>
      </text>
    </comment>
    <comment ref="D33" authorId="1" shapeId="0">
      <text>
        <t>Việt Hoàng:
Last week was:
3.390.000</t>
      </text>
    </comment>
    <comment ref="E33" authorId="0" shapeId="0">
      <text>
        <t>was 3490000</t>
      </text>
    </comment>
    <comment ref="G33" authorId="4" shapeId="0">
      <text>
        <t>Tran Dat:
3390000</t>
      </text>
    </comment>
    <comment ref="B34" authorId="0" shapeId="0">
      <text>
        <t>was 4040000</t>
      </text>
    </comment>
    <comment ref="C34" authorId="0" shapeId="0">
      <text>
        <t>w7 4.040</t>
      </text>
    </comment>
    <comment ref="D34" authorId="1" shapeId="0">
      <text>
        <t>Việt Hoàng:
Last week was:
3.690.000</t>
      </text>
    </comment>
    <comment ref="E35" authorId="2" shapeId="0">
      <text>
        <t>Last week is: 2.690K</t>
      </text>
    </comment>
    <comment ref="B36" authorId="0" shapeId="0">
      <text>
        <t>was 18090000
HS300</t>
      </text>
    </comment>
    <comment ref="C36" authorId="0" shapeId="0">
      <text>
        <t>W7 18.090</t>
      </text>
    </comment>
    <comment ref="D36" authorId="1" shapeId="0">
      <text>
        <t>Việt Hoàng:
Last week:
17.890.000</t>
      </text>
    </comment>
    <comment ref="F36" authorId="5" shapeId="0">
      <text>
        <t>chit trang:
18.290.000</t>
      </text>
    </comment>
    <comment ref="B37" authorId="0" shapeId="0">
      <text>
        <t>was 23190000
JS300</t>
      </text>
    </comment>
    <comment ref="C37" authorId="0" shapeId="0">
      <text>
        <t>W7 23.190</t>
      </text>
    </comment>
    <comment ref="D37" authorId="1" shapeId="0">
      <text>
        <t>Việt Hoàng:
Last week:
22.790.000</t>
      </text>
    </comment>
    <comment ref="F37" authorId="5" shapeId="0">
      <text>
        <t>chit trang:
22.490.000</t>
      </text>
    </comment>
    <comment ref="G37" authorId="4" shapeId="0">
      <text>
        <t>Tran Dat:
22.990.000</t>
      </text>
    </comment>
    <comment ref="B38" authorId="0" shapeId="0">
      <text>
        <t>was 25790000
HS300</t>
      </text>
    </comment>
    <comment ref="C38" authorId="0" shapeId="0">
      <text>
        <t>W7 25.790</t>
      </text>
    </comment>
    <comment ref="D38" authorId="1" shapeId="0">
      <text>
        <t>Việt Hoàng:
Last week:
25.690.000</t>
      </text>
    </comment>
    <comment ref="F38" authorId="5" shapeId="0">
      <text>
        <t>chit trang:
26.490.000</t>
      </text>
    </comment>
    <comment ref="B39" authorId="0" shapeId="0">
      <text>
        <t>was 30890000
HS500</t>
      </text>
    </comment>
    <comment ref="C39" authorId="0" shapeId="0">
      <text>
        <t>W7 30.890</t>
      </text>
    </comment>
    <comment ref="D39" authorId="1" shapeId="0">
      <text>
        <t>Việt Hoàng:
Last week:
31.390.000</t>
      </text>
    </comment>
    <comment ref="F39" authorId="5" shapeId="0">
      <text>
        <t>chit trang:
30.990.000</t>
      </text>
    </comment>
    <comment ref="B40" authorId="0" shapeId="0">
      <text>
        <t>was 36690000</t>
      </text>
    </comment>
    <comment ref="C40" authorId="0" shapeId="0">
      <text>
        <t>W7 36.690</t>
      </text>
    </comment>
  </commentList>
</comments>
</file>

<file path=xl/comments/comment33.xml><?xml version="1.0" encoding="utf-8"?>
<comments xmlns="http://schemas.openxmlformats.org/spreadsheetml/2006/main">
  <authors>
    <author>Microsoft Office User</author>
    <author>Sheva Son</author>
    <author>Người dùng Khách</author>
    <author>Tran Dat</author>
    <author>Việt Hoàng</author>
    <author>chit trang</author>
    <author>Duy</author>
  </authors>
  <commentList>
    <comment ref="B2" authorId="0" shapeId="0">
      <text>
        <t>was 22290000
Bán theo màu chênh tối đa 300</t>
      </text>
    </comment>
    <comment ref="C2" authorId="0" shapeId="0">
      <text>
        <t xml:space="preserve">W8 22.290
</t>
      </text>
    </comment>
    <comment ref="E2" authorId="1" shapeId="0">
      <text>
        <t>Last week is: 21.690K
Giảm 500K (đã trừ vào giá, ko kèm CTKM đổi điểm VT++).
Đổi điểm Viettel++ lên tới 6000K</t>
      </text>
    </comment>
    <comment ref="F2" authorId="2" shapeId="0">
      <text>
        <t>Người dùng Không xác định:
21.490.000</t>
      </text>
    </comment>
    <comment ref="G2" authorId="3" shapeId="0">
      <text>
        <t>Tran Dat:
21.690</t>
      </text>
    </comment>
    <comment ref="B3" authorId="0" shapeId="0">
      <text>
        <t>was 25690000</t>
      </text>
    </comment>
    <comment ref="C3" authorId="0" shapeId="0">
      <text>
        <t>W8 25.690</t>
      </text>
    </comment>
    <comment ref="D3" authorId="4" shapeId="0">
      <text>
        <t>Việt Hoàng:
Last week:
25.090.000</t>
      </text>
    </comment>
    <comment ref="E3" authorId="1" shapeId="0">
      <text>
        <t xml:space="preserve">Last week is: 24.890K
Giảm 500K (đã trừ vào giá, ko kèm CTKM đổi điểm VT++).
Đổi điểm Viettel++ lên tới 6000K
</t>
      </text>
    </comment>
    <comment ref="G3" authorId="3" shapeId="0">
      <text>
        <t>Tran Dat:
24.990.000</t>
      </text>
    </comment>
    <comment ref="B4" authorId="0" shapeId="0">
      <text>
        <t>was 28890</t>
      </text>
    </comment>
    <comment ref="C4" authorId="0" shapeId="0">
      <text>
        <t>W8 28.890</t>
      </text>
    </comment>
    <comment ref="D4" authorId="4" shapeId="0">
      <text>
        <t>Việt Hoàng:
Last week was:
28.090.000</t>
      </text>
    </comment>
    <comment ref="E4" authorId="0" shapeId="0">
      <text>
        <t xml:space="preserve">Last week was: 27.990K
Nhập mã VTQR300 tặng 1% tối đa 300K cho đơn hàng có giá trị từ 3M trở lên khi thanh toán qua VNPAY-QR. </t>
      </text>
    </comment>
    <comment ref="F4" authorId="5" shapeId="0">
      <text>
        <t>chit trang:
28.290.000</t>
      </text>
    </comment>
    <comment ref="G4" authorId="3" shapeId="0">
      <text>
        <t xml:space="preserve">Tran Dat:
28.290.000
</t>
      </text>
    </comment>
    <comment ref="B5" authorId="0" shapeId="0">
      <text>
        <t>was 34490
Bỏ vnp</t>
      </text>
    </comment>
    <comment ref="C5" authorId="0" shapeId="0">
      <text>
        <t>W8 34.490</t>
      </text>
    </comment>
    <comment ref="D5" authorId="4" shapeId="0">
      <text>
        <t>Việt Hoàng:
Last week:
33.590.000</t>
      </text>
    </comment>
    <comment ref="E5" authorId="1" shapeId="0">
      <text>
        <t xml:space="preserve">Last week is: 33.490K
Từ 27-30/11 giá Black Friday cho các màu bản 256GB là 32.990K
</t>
      </text>
    </comment>
    <comment ref="F5" authorId="5" shapeId="0">
      <text>
        <t>chit trang:
33.490.000</t>
      </text>
    </comment>
    <comment ref="B6" authorId="0" shapeId="0">
      <text>
        <t>was 19890000</t>
      </text>
    </comment>
    <comment ref="C6" authorId="0" shapeId="0">
      <text>
        <t>W8 19.890</t>
      </text>
    </comment>
    <comment ref="E6" authorId="1" shapeId="0">
      <text>
        <t xml:space="preserve">Last week is: 19.190K
Giảm ngay 200,000đ cho khách hàng mua gói cước 3V200B </t>
      </text>
    </comment>
    <comment ref="B7" authorId="0" shapeId="0">
      <text>
        <t>was 22890000</t>
      </text>
    </comment>
    <comment ref="C7" authorId="0" shapeId="0">
      <text>
        <t>W8 22.890</t>
      </text>
    </comment>
    <comment ref="E7" authorId="1" shapeId="0">
      <text>
        <t xml:space="preserve">Last week is: 21.990K
Giảm ngay 200,000đ cho khách hàng mua gói cước 3V200B </t>
      </text>
    </comment>
    <comment ref="D9" authorId="4" shapeId="0">
      <text>
        <t>Việt Hoàng:
Last week:
29.590.000</t>
      </text>
    </comment>
    <comment ref="E9" authorId="1" shapeId="0">
      <text>
        <t xml:space="preserve">Last week was: 28.490.000
</t>
      </text>
    </comment>
    <comment ref="B10" authorId="0" shapeId="0">
      <text>
        <t>was 20090000</t>
      </text>
    </comment>
    <comment ref="C10" authorId="0" shapeId="0">
      <text>
        <t>W8 20.090</t>
      </text>
    </comment>
    <comment ref="D10" authorId="4" shapeId="0">
      <text>
        <t>Việt Hoàng:
Last week:
20.090.000</t>
      </text>
    </comment>
    <comment ref="E10" authorId="1" shapeId="0">
      <text>
        <t xml:space="preserve">Chỉ còn màu Purple, Blue, White số lượng ít
</t>
      </text>
    </comment>
    <comment ref="B11" authorId="0" shapeId="0">
      <text>
        <t>was 17490000</t>
      </text>
    </comment>
    <comment ref="C11" authorId="0" shapeId="0">
      <text>
        <t>W8 17.490</t>
      </text>
    </comment>
    <comment ref="D11" authorId="4" shapeId="0">
      <text>
        <t>Việt Hoàng:
Last week was:
17.390.000</t>
      </text>
    </comment>
    <comment ref="B12" authorId="0" shapeId="0">
      <text>
        <t>was 13490000</t>
      </text>
    </comment>
    <comment ref="C12" authorId="0" shapeId="0">
      <text>
        <t>W8 13.490</t>
      </text>
    </comment>
    <comment ref="D12" authorId="4" shapeId="0">
      <text>
        <t>Việt Hoàng:
Last week:
13.390.000</t>
      </text>
    </comment>
    <comment ref="E12" authorId="1" shapeId="0">
      <text>
        <t>Giảm 300K cho màu Đen và Starlight</t>
      </text>
    </comment>
    <comment ref="F12" authorId="5" shapeId="0">
      <text>
        <t>chit trang:
13.390.000</t>
      </text>
    </comment>
    <comment ref="G12" authorId="3" shapeId="0">
      <text>
        <t>Tran Dat:
13.390</t>
      </text>
    </comment>
    <comment ref="D14" authorId="4" shapeId="0">
      <text>
        <t>Việt Hoàng:
Last week:
8.990.000</t>
      </text>
    </comment>
    <comment ref="E14" authorId="1" shapeId="0">
      <text>
        <t xml:space="preserve">Giảm 200K khi mua Online (đã trừ vào giá)
Trợ giá 4G giảm 300K đã trừ vào giá
</t>
      </text>
    </comment>
    <comment ref="F14" authorId="5" shapeId="0">
      <text>
        <t>chit trang:
8.790.000</t>
      </text>
    </comment>
    <comment ref="B16" authorId="0" shapeId="0">
      <text>
        <t>was 9190000</t>
      </text>
    </comment>
    <comment ref="C16" authorId="0" shapeId="0">
      <text>
        <t>W8 9.190</t>
      </text>
    </comment>
    <comment ref="E16" authorId="1" shapeId="0">
      <text>
        <t xml:space="preserve">Last week is: 8.690K
Giảm 200K cho khách mua Online
</t>
      </text>
    </comment>
    <comment ref="F16" authorId="5" shapeId="0">
      <text>
        <t>chit trang:
8.750.000</t>
      </text>
    </comment>
    <comment ref="E17" authorId="1" shapeId="0">
      <text>
        <t>Giảm 10% tối đa 120K khi mở ví VNPAY</t>
      </text>
    </comment>
    <comment ref="B18" authorId="0" shapeId="0">
      <text>
        <t>was 15090000</t>
      </text>
    </comment>
    <comment ref="E18" authorId="1" shapeId="0">
      <text>
        <t>Last week is: 15.190K
Voucher giảm 1% tối đa 300K VNPAY</t>
      </text>
    </comment>
    <comment ref="G18" authorId="3" shapeId="0">
      <text>
        <t xml:space="preserve">Tran Dat:
14.790
</t>
      </text>
    </comment>
    <comment ref="B19" authorId="0" shapeId="0">
      <text>
        <t>was 20840000</t>
      </text>
    </comment>
    <comment ref="E19" authorId="1" shapeId="0">
      <text>
        <t>Last week is: 21.190K
Voucher giảm 10% tối đa 300K VNPAY</t>
      </text>
    </comment>
    <comment ref="B20" authorId="0" shapeId="0">
      <text>
        <t>was 27490000</t>
      </text>
    </comment>
    <comment ref="E20" authorId="1" shapeId="0">
      <text>
        <t xml:space="preserve">Last week is: 26.890K
</t>
      </text>
    </comment>
    <comment ref="B21" authorId="0" shapeId="0">
      <text>
        <t>was 36790000</t>
      </text>
    </comment>
    <comment ref="B22" authorId="0" shapeId="0">
      <text>
        <t>was 5990000</t>
      </text>
    </comment>
    <comment ref="C22" authorId="0" shapeId="0">
      <text>
        <t>W8 5.990</t>
      </text>
    </comment>
    <comment ref="D22" authorId="4" shapeId="0">
      <text>
        <t>Việt Hoàng:
Last week:
5.890.000</t>
      </text>
    </comment>
    <comment ref="F22" authorId="5" shapeId="0">
      <text>
        <t>chit trang:
5.990.000</t>
      </text>
    </comment>
    <comment ref="B23" authorId="0" shapeId="0">
      <text>
        <t>was 7290000</t>
      </text>
    </comment>
    <comment ref="C23" authorId="0" shapeId="0">
      <text>
        <t>W8 7.290</t>
      </text>
    </comment>
    <comment ref="D23" authorId="4" shapeId="0">
      <text>
        <t>Việt Hoàng:
Last week:
7.190.000</t>
      </text>
    </comment>
    <comment ref="B24" authorId="0" shapeId="0">
      <text>
        <t>was 6790000</t>
      </text>
    </comment>
    <comment ref="C24" authorId="0" shapeId="0">
      <text>
        <t>W8 6.790</t>
      </text>
    </comment>
    <comment ref="D24" authorId="4" shapeId="0">
      <text>
        <t>Việt Hoàng:
Last week:
6.690.000</t>
      </text>
    </comment>
    <comment ref="B25" authorId="0" shapeId="0">
      <text>
        <t>was 7990000</t>
      </text>
    </comment>
    <comment ref="C25" authorId="0" shapeId="0">
      <text>
        <t>W8 7.990</t>
      </text>
    </comment>
    <comment ref="D25" authorId="4" shapeId="0">
      <text>
        <t>Việt Hoàng:
Last week:
7.990.000</t>
      </text>
    </comment>
    <comment ref="B26" authorId="0" shapeId="0">
      <text>
        <t>was 10990000</t>
      </text>
    </comment>
    <comment ref="C26" authorId="0" shapeId="0">
      <text>
        <t>W8 10.990</t>
      </text>
    </comment>
    <comment ref="D26" authorId="4" shapeId="0">
      <text>
        <t>Việt Hoàng:
Last week:
10.990.000</t>
      </text>
    </comment>
    <comment ref="E26" authorId="1" shapeId="0">
      <text>
        <t xml:space="preserve">Giảm 500K cho khách Pre-oder
</t>
      </text>
    </comment>
    <comment ref="B27" authorId="0" shapeId="0">
      <text>
        <t>was 13590000</t>
      </text>
    </comment>
    <comment ref="C27" authorId="0" shapeId="0">
      <text>
        <t>W8 13.590</t>
      </text>
    </comment>
    <comment ref="E27" authorId="1" shapeId="0">
      <text>
        <t>Last week is: 13.590K</t>
      </text>
    </comment>
    <comment ref="E28" authorId="1" shapeId="0">
      <text>
        <t>Last week is: 11.790K</t>
      </text>
    </comment>
    <comment ref="E29" authorId="1" shapeId="0">
      <text>
        <t>Last week is: 14.390K</t>
      </text>
    </comment>
    <comment ref="B31" authorId="0" shapeId="0">
      <text>
        <t>was 5790000</t>
      </text>
    </comment>
    <comment ref="C31" authorId="0" shapeId="0">
      <text>
        <t>W8 5.790</t>
      </text>
    </comment>
    <comment ref="E31" authorId="1" shapeId="0">
      <text>
        <t xml:space="preserve">Last week was: 5.520K
</t>
      </text>
    </comment>
    <comment ref="B32" authorId="0" shapeId="0">
      <text>
        <t>was 4790000</t>
      </text>
    </comment>
    <comment ref="C32" authorId="0" shapeId="0">
      <text>
        <t>W8 4.790</t>
      </text>
    </comment>
    <comment ref="D32" authorId="4" shapeId="0">
      <text>
        <t>Việt Hoàng:
Last week was:
4.790.000</t>
      </text>
    </comment>
    <comment ref="E32" authorId="1" shapeId="0">
      <text>
        <t>Last week was: 4.790K
Voucher giảm 1% tối đa 300K VNPAY</t>
      </text>
    </comment>
    <comment ref="B33" authorId="0" shapeId="0">
      <text>
        <t>was 3490000</t>
      </text>
    </comment>
    <comment ref="C33" authorId="0" shapeId="0">
      <text>
        <t>W8 3.490</t>
      </text>
    </comment>
    <comment ref="D33" authorId="4" shapeId="0">
      <text>
        <t>Việt Hoàng:
Last week was:
3.490.000</t>
      </text>
    </comment>
    <comment ref="E33" authorId="0" shapeId="0">
      <text>
        <t>was 3490000</t>
      </text>
    </comment>
    <comment ref="F33" authorId="5" shapeId="0">
      <text>
        <t>chit trang:
3.360.000</t>
      </text>
    </comment>
    <comment ref="E35" authorId="1" shapeId="0">
      <text>
        <t>Last week is: 2.690K</t>
      </text>
    </comment>
    <comment ref="C36" authorId="6" shapeId="0">
      <text>
        <t>W8 18.190</t>
      </text>
    </comment>
    <comment ref="D36" authorId="4" shapeId="0">
      <text>
        <t>Việt Hoàng:
Last week:
17.990.000</t>
      </text>
    </comment>
    <comment ref="F36" authorId="5" shapeId="0">
      <text>
        <t>chit trang:
18.090.000</t>
      </text>
    </comment>
    <comment ref="G36" authorId="3" shapeId="0">
      <text>
        <t>Tran Dat:
17490</t>
      </text>
    </comment>
    <comment ref="B37" authorId="0" shapeId="0">
      <text>
        <t>was 23290000
HSSV300</t>
      </text>
    </comment>
    <comment ref="D37" authorId="4" shapeId="0">
      <text>
        <t>Việt Hoàng:
Last week:
23.090.000</t>
      </text>
    </comment>
    <comment ref="F37" authorId="5" shapeId="0">
      <text>
        <t>chit trang:
22.490.000</t>
      </text>
    </comment>
    <comment ref="G37" authorId="3" shapeId="0">
      <text>
        <t>Tran Dat:
22.790.000</t>
      </text>
    </comment>
    <comment ref="F38" authorId="5" shapeId="0">
      <text>
        <t>chit trang:
26.490.000</t>
      </text>
    </comment>
    <comment ref="G38" authorId="3" shapeId="0">
      <text>
        <t>Tran Dat:
26.490</t>
      </text>
    </comment>
    <comment ref="B39" authorId="0" shapeId="0">
      <text>
        <t>was 31290000
HS500</t>
      </text>
    </comment>
    <comment ref="F39" authorId="5" shapeId="0">
      <text>
        <t>chit trang:
30.990.000</t>
      </text>
    </comment>
    <comment ref="G39" authorId="3" shapeId="0">
      <text>
        <t>Tran Dat:
30.190</t>
      </text>
    </comment>
    <comment ref="B40" authorId="0" shapeId="0">
      <text>
        <t>was 36290000</t>
      </text>
    </comment>
  </commentList>
</comments>
</file>

<file path=xl/comments/comment34.xml><?xml version="1.0" encoding="utf-8"?>
<comments xmlns="http://schemas.openxmlformats.org/spreadsheetml/2006/main">
  <authors>
    <author>Microsoft Office User</author>
    <author>Sheva Son</author>
    <author>Người dùng Khách</author>
    <author>Việt Hoàng</author>
    <author>chit trang</author>
    <author>Tran Dat</author>
  </authors>
  <commentList>
    <comment ref="B2" authorId="0" shapeId="0">
      <text>
        <t>was 22590
VNP200
bán đồng giá</t>
      </text>
    </comment>
    <comment ref="C2" authorId="0" shapeId="0">
      <text>
        <t>W9 22.590</t>
      </text>
    </comment>
    <comment ref="E2" authorId="1" shapeId="0">
      <text>
        <t>Last week is: 21.690K
Giảm 500K (đã trừ vào giá, ko kèm CTKM đổi điểm VT++).
Đổi điểm Viettel++ lên tới 6000K</t>
      </text>
    </comment>
    <comment ref="F2" authorId="2" shapeId="0">
      <text>
        <t>Người dùng Không xác định:
21.290.000</t>
      </text>
    </comment>
    <comment ref="B3" authorId="0" shapeId="0">
      <text>
        <t>was 25990000
VNP200</t>
      </text>
    </comment>
    <comment ref="C3" authorId="0" shapeId="0">
      <text>
        <t>W9 25.990</t>
      </text>
    </comment>
    <comment ref="E3" authorId="1" shapeId="0">
      <text>
        <t xml:space="preserve">Last week is: 24.890K
Giảm 500K (đã trừ vào giá, ko kèm CTKM đổi điểm VT++).
Đổi điểm Viettel++ lên tới 6000K
</t>
      </text>
    </comment>
    <comment ref="B4" authorId="0" shapeId="0">
      <text>
        <t>was 28990
VNP200</t>
      </text>
    </comment>
    <comment ref="C4" authorId="0" shapeId="0">
      <text>
        <t>W9 28.990</t>
      </text>
    </comment>
    <comment ref="D4" authorId="3" shapeId="0">
      <text>
        <t>Việt Hoàng:
Last week was:
27.790.000</t>
      </text>
    </comment>
    <comment ref="E4" authorId="0" shapeId="0">
      <text>
        <t xml:space="preserve">Last week was: 27.710K
Nhập mã ZLP500 giảm ngay 500.000đ cho đơn hàng tối thiểu từ 20 triệu trở lên qua Zalopay (Yêu cầu thanh toán 100% giá trị đơn hàng). </t>
      </text>
    </comment>
    <comment ref="F4" authorId="4" shapeId="0">
      <text>
        <t>chit trang:
27.490.000</t>
      </text>
    </comment>
    <comment ref="G4" authorId="5" shapeId="0">
      <text>
        <t xml:space="preserve">Tran Dat:
28.490.000
</t>
      </text>
    </comment>
    <comment ref="B5" authorId="0" shapeId="0">
      <text>
        <t>was 34590
VNP200</t>
      </text>
    </comment>
    <comment ref="C5" authorId="0" shapeId="0">
      <text>
        <t>W9 34.590</t>
      </text>
    </comment>
    <comment ref="D5" authorId="3" shapeId="0">
      <text>
        <t>Việt Hoàng:
Last week:
32.990.000</t>
      </text>
    </comment>
    <comment ref="E5" authorId="1" shapeId="0">
      <text>
        <t xml:space="preserve">Last week is: 32.990K
Tặng voucher giảm giá lên đến 6,000,000đ cho khách hàng đổi điểm Viettel++ trên ứng dụng My Viettel 
</t>
      </text>
    </comment>
    <comment ref="F5" authorId="4" shapeId="0">
      <text>
        <t>chit trang:
33.490.000</t>
      </text>
    </comment>
    <comment ref="G5" authorId="5" shapeId="0">
      <text>
        <t>Tran Dat:
32.990</t>
      </text>
    </comment>
    <comment ref="B6" authorId="0" shapeId="0">
      <text>
        <t>was 19990000
VNP200</t>
      </text>
    </comment>
    <comment ref="C6" authorId="0" shapeId="0">
      <text>
        <t>W9 19.990</t>
      </text>
    </comment>
    <comment ref="D6" authorId="3" shapeId="0">
      <text>
        <t>Việt Hoàng:
Last week:
19.590.000</t>
      </text>
    </comment>
    <comment ref="E6" authorId="1" shapeId="0">
      <text>
        <t xml:space="preserve">Last week is: 19.190K
Giảm ngay 200,000đ cho khách hàng mua gói cước 3V200B </t>
      </text>
    </comment>
    <comment ref="B7" authorId="0" shapeId="0">
      <text>
        <t>was 22990000
VNP200</t>
      </text>
    </comment>
    <comment ref="C7" authorId="0" shapeId="0">
      <text>
        <t>W9 22.990</t>
      </text>
    </comment>
    <comment ref="D7" authorId="3" shapeId="0">
      <text>
        <t>Việt Hoàng:
Last week:
22.690.000</t>
      </text>
    </comment>
    <comment ref="E7" authorId="1" shapeId="0">
      <text>
        <t xml:space="preserve">Last week is: 21.990K
Giảm ngay 200,000đ cho khách hàng mua gói cước 3V200B </t>
      </text>
    </comment>
    <comment ref="F7" authorId="4" shapeId="0">
      <text>
        <t>chit trang:
22.590.000</t>
      </text>
    </comment>
    <comment ref="B9" authorId="0" shapeId="0">
      <text>
        <t xml:space="preserve">was 29590000
VNP200
hết TN </t>
      </text>
    </comment>
    <comment ref="C9" authorId="0" shapeId="0">
      <text>
        <t>W9 29.590</t>
      </text>
    </comment>
    <comment ref="D9" authorId="3" shapeId="0">
      <text>
        <t>Việt Hoàng:
Last week:
28.990.000</t>
      </text>
    </comment>
    <comment ref="E9" authorId="1" shapeId="0">
      <text>
        <t xml:space="preserve">Last week was: 28.490.000
</t>
      </text>
    </comment>
    <comment ref="F9" authorId="4" shapeId="0">
      <text>
        <t>chit trang:
28.990.000</t>
      </text>
    </comment>
    <comment ref="G9" authorId="5" shapeId="0">
      <text>
        <t>Tran Dat:
28.490</t>
      </text>
    </comment>
    <comment ref="B10" authorId="0" shapeId="0">
      <text>
        <t>was 20590000
VNP200</t>
      </text>
    </comment>
    <comment ref="C10" authorId="0" shapeId="0">
      <text>
        <t>W9 20.590</t>
      </text>
    </comment>
    <comment ref="D10" authorId="3" shapeId="0">
      <text>
        <t>Việt Hoàng:
Last week:
19.990.000</t>
      </text>
    </comment>
    <comment ref="E10" authorId="1" shapeId="0">
      <text>
        <t xml:space="preserve">Chỉ còn màu Purple, Blue, White số lượng ít
</t>
      </text>
    </comment>
    <comment ref="B11" authorId="0" shapeId="0">
      <text>
        <t>was 17590000
VNP200</t>
      </text>
    </comment>
    <comment ref="C11" authorId="0" shapeId="0">
      <text>
        <t>W9 17.590</t>
      </text>
    </comment>
    <comment ref="D11" authorId="3" shapeId="0">
      <text>
        <t>Việt Hoàng:
Last week was:
17.190.000</t>
      </text>
    </comment>
    <comment ref="E11" authorId="1" shapeId="0">
      <text>
        <t xml:space="preserve">Last week was: 16.990K
</t>
      </text>
    </comment>
    <comment ref="B12" authorId="0" shapeId="0">
      <text>
        <t>was 13990000
VNP100
đen rẻ nhất, màu khác thêm 500</t>
      </text>
    </comment>
    <comment ref="C12" authorId="0" shapeId="0">
      <text>
        <t>W9 13.990</t>
      </text>
    </comment>
    <comment ref="D12" authorId="3" shapeId="0">
      <text>
        <t>Việt Hoàng:
Last week:
13.290.000</t>
      </text>
    </comment>
    <comment ref="E12" authorId="1" shapeId="0">
      <text>
        <t>Giảm 300K cho màu Đen và Starlight</t>
      </text>
    </comment>
    <comment ref="F12" authorId="4" shapeId="0">
      <text>
        <t>chit trang:
13.290.000</t>
      </text>
    </comment>
    <comment ref="B13" authorId="0" shapeId="0">
      <text>
        <t>was 11590000
VNP100</t>
      </text>
    </comment>
    <comment ref="C13" authorId="0" shapeId="0">
      <text>
        <t>W9 11.590</t>
      </text>
    </comment>
    <comment ref="B14" authorId="0" shapeId="0">
      <text>
        <t>was 8990000
VNP50</t>
      </text>
    </comment>
    <comment ref="C14" authorId="0" shapeId="0">
      <text>
        <t>W9 8.990</t>
      </text>
    </comment>
    <comment ref="D14" authorId="3" shapeId="0">
      <text>
        <t>Việt Hoàng:
Last week:
8.690.000</t>
      </text>
    </comment>
    <comment ref="E14" authorId="1" shapeId="0">
      <text>
        <t xml:space="preserve">Giảm 200K khi mua Online (đã trừ vào giá)
Trợ giá 4G giảm 300K đã trừ vào giá
</t>
      </text>
    </comment>
    <comment ref="F14" authorId="4" shapeId="0">
      <text>
        <t>chit trang:
8.390.000</t>
      </text>
    </comment>
    <comment ref="B15" authorId="0" shapeId="0">
      <text>
        <t>was 13990000
VNP100
Giảm thêm 400K cho giáo dục</t>
      </text>
    </comment>
    <comment ref="B16" authorId="0" shapeId="0">
      <text>
        <t>was 9390000
VNP100
giảm thêm 300K cho GD</t>
      </text>
    </comment>
    <comment ref="C16" authorId="0" shapeId="0">
      <text>
        <t>W9 9.390</t>
      </text>
    </comment>
    <comment ref="D16" authorId="3" shapeId="0">
      <text>
        <t>Việt Hoàng:
Last week:
8.590.000</t>
      </text>
    </comment>
    <comment ref="E16" authorId="1" shapeId="0">
      <text>
        <t xml:space="preserve">Last week is: 8.490K
Giảm 200K cho khách mua Online đã trừ
</t>
      </text>
    </comment>
    <comment ref="F16" authorId="4" shapeId="0">
      <text>
        <t>chit trang:
8.690.000</t>
      </text>
    </comment>
    <comment ref="G16" authorId="5" shapeId="0">
      <text>
        <t>Tran Dat:
8.790</t>
      </text>
    </comment>
    <comment ref="B17" authorId="0" shapeId="0">
      <text>
        <t>was 7090000
VNP50
Giảm thêm 300K cho GD</t>
      </text>
    </comment>
    <comment ref="C17" authorId="0" shapeId="0">
      <text>
        <t>W9 7.090</t>
      </text>
    </comment>
    <comment ref="E17" authorId="1" shapeId="0">
      <text>
        <t>Giảm 10% tối đa 120K khi mở ví VNPAY</t>
      </text>
    </comment>
    <comment ref="B18" authorId="0" shapeId="0">
      <text>
        <t>was 15290000
VNP100</t>
      </text>
    </comment>
    <comment ref="C18" authorId="0" shapeId="0">
      <text>
        <t>W9 15.290</t>
      </text>
    </comment>
    <comment ref="D18" authorId="3" shapeId="0">
      <text>
        <t>Việt Hoàng:
Last week:
14.890.000</t>
      </text>
    </comment>
    <comment ref="E18" authorId="1" shapeId="0">
      <text>
        <t>Last week is: 14.642K
Voucher giảm 1% tối đa 300K VNPAY</t>
      </text>
    </comment>
    <comment ref="F18" authorId="4" shapeId="0">
      <text>
        <t>chit trang:
14.890k</t>
      </text>
    </comment>
    <comment ref="G18" authorId="5" shapeId="0">
      <text>
        <t xml:space="preserve">Tran Dat:
14.390
</t>
      </text>
    </comment>
    <comment ref="B19" authorId="0" shapeId="0">
      <text>
        <t>was 20990000
VNP200
Giảm thêm 400K cho giáo dục</t>
      </text>
    </comment>
    <comment ref="C19" authorId="0" shapeId="0">
      <text>
        <t>W9 20.990</t>
      </text>
    </comment>
    <comment ref="D19" authorId="3" shapeId="0">
      <text>
        <t>Việt Hoàng:
Last week:
20.690.000</t>
      </text>
    </comment>
    <comment ref="E19" authorId="1" shapeId="0">
      <text>
        <t>Last week is: 21.190K
Voucher giảm 10% tối đa 300K VNPAY</t>
      </text>
    </comment>
    <comment ref="F19" authorId="4" shapeId="0">
      <text>
        <t>chit trang:
20.990</t>
      </text>
    </comment>
    <comment ref="B20" authorId="0" shapeId="0">
      <text>
        <t>was 27790000
VNP200
giảm thêm 500K GD</t>
      </text>
    </comment>
    <comment ref="C20" authorId="0" shapeId="0">
      <text>
        <t>W9 27.790</t>
      </text>
    </comment>
    <comment ref="E20" authorId="1" shapeId="0">
      <text>
        <t xml:space="preserve">Last week is: 26.890K
Nhập mã VTQR300 khách hàng sẽ được tặng 1% tối đa 300.000 cho đơn hàng có giá trị từ 3 triệu trở lên khi thanh toán qua VNPAY-QR </t>
      </text>
    </comment>
    <comment ref="B21" authorId="0" shapeId="0">
      <text>
        <t>was 37290000
VNP200
giảm thêm 500K cho giáo dục</t>
      </text>
    </comment>
    <comment ref="E21" authorId="1" shapeId="0">
      <text>
        <t xml:space="preserve">Last week was: 36.790K
Nhập mã ZLP500 giảm ngay 500.000đ cho đơn hàng tối thiểu từ 20 triệu trở lên qua Zalopay (Yêu cầu thanh toán 100% giá trị đơn hàng) 
</t>
      </text>
    </comment>
    <comment ref="B22" authorId="0" shapeId="0">
      <text>
        <t>was 5790000
VNP50</t>
      </text>
    </comment>
    <comment ref="C22" authorId="0" shapeId="0">
      <text>
        <t>W9 5.790</t>
      </text>
    </comment>
    <comment ref="F22" authorId="4" shapeId="0">
      <text>
        <t>chit trang:
5.690.000</t>
      </text>
    </comment>
    <comment ref="B23" authorId="0" shapeId="0">
      <text>
        <t>was 7090000
VNP50</t>
      </text>
    </comment>
    <comment ref="C23" authorId="0" shapeId="0">
      <text>
        <t>W9 7.090</t>
      </text>
    </comment>
    <comment ref="G23" authorId="5" shapeId="0">
      <text>
        <t>Tran Dat:
7.190</t>
      </text>
    </comment>
    <comment ref="B24" authorId="0" shapeId="0">
      <text>
        <t>was 6590000
VNP50</t>
      </text>
    </comment>
    <comment ref="C24" authorId="0" shapeId="0">
      <text>
        <t>W9 6.590</t>
      </text>
    </comment>
    <comment ref="B25" authorId="0" shapeId="0">
      <text>
        <t>was 7890000
VNP50</t>
      </text>
    </comment>
    <comment ref="C25" authorId="0" shapeId="0">
      <text>
        <t>W9 7.890</t>
      </text>
    </comment>
    <comment ref="D26" authorId="3" shapeId="0">
      <text>
        <t>Việt Hoàng:
Last week:
9.990.000</t>
      </text>
    </comment>
    <comment ref="E26" authorId="1" shapeId="0">
      <text>
        <t xml:space="preserve">Giảm 500K cho khách Pre-oder
</t>
      </text>
    </comment>
    <comment ref="B27" authorId="0" shapeId="0">
      <text>
        <t>was 13390000
VNP50</t>
      </text>
    </comment>
    <comment ref="C27" authorId="0" shapeId="0">
      <text>
        <t>W9 13.390</t>
      </text>
    </comment>
    <comment ref="E27" authorId="1" shapeId="0">
      <text>
        <t>Last week is: 13.590K</t>
      </text>
    </comment>
    <comment ref="B28" authorId="0" shapeId="0">
      <text>
        <t>was 11790
VNP50</t>
      </text>
    </comment>
    <comment ref="C28" authorId="0" shapeId="0">
      <text>
        <t>W9 11.790</t>
      </text>
    </comment>
    <comment ref="E28" authorId="1" shapeId="0">
      <text>
        <t>Last week is: 11.790K</t>
      </text>
    </comment>
    <comment ref="B29" authorId="0" shapeId="0">
      <text>
        <t>was 14390
VNP50</t>
      </text>
    </comment>
    <comment ref="C29" authorId="0" shapeId="0">
      <text>
        <t>W9 14.390</t>
      </text>
    </comment>
    <comment ref="E29" authorId="1" shapeId="0">
      <text>
        <t>Last week is: 14.390K</t>
      </text>
    </comment>
    <comment ref="B30" authorId="0" shapeId="0">
      <text>
        <t xml:space="preserve">was 22990000
VNP200
</t>
      </text>
    </comment>
    <comment ref="C30" authorId="0" shapeId="0">
      <text>
        <t>W9 22.990</t>
      </text>
    </comment>
    <comment ref="E30" authorId="1" shapeId="0">
      <text>
        <t xml:space="preserve">Last week was: 22.990K
Nhập mã VTQR300 khách hàng sẽ được tặng 1% tối đa 300.000 cho đơn hàng có giá trị từ 3.000.000đ trở lên khi thanh toán qua VNPAY-QR. </t>
      </text>
    </comment>
    <comment ref="G30" authorId="5" shapeId="0">
      <text>
        <t xml:space="preserve">Tran Dat:
20.890
</t>
      </text>
    </comment>
    <comment ref="B31" authorId="0" shapeId="0">
      <text>
        <t>was 5690000
VN50</t>
      </text>
    </comment>
    <comment ref="C31" authorId="0" shapeId="0">
      <text>
        <t>W9 5.690</t>
      </text>
    </comment>
    <comment ref="D31" authorId="3" shapeId="0">
      <text>
        <t>Việt Hoàng:
Last week:
5.590.000</t>
      </text>
    </comment>
    <comment ref="E31" authorId="1" shapeId="0">
      <text>
        <t xml:space="preserve">Last week was: 5.390K
</t>
      </text>
    </comment>
    <comment ref="F31" authorId="4" shapeId="0">
      <text>
        <t>chit trang:
5.490.000</t>
      </text>
    </comment>
    <comment ref="B32" authorId="0" shapeId="0">
      <text>
        <t>was 4590000
VNP50</t>
      </text>
    </comment>
    <comment ref="E32" authorId="1" shapeId="0">
      <text>
        <t>Last week was: 4.790K
Voucher giảm 1% tối đa 300K VNPAY</t>
      </text>
    </comment>
    <comment ref="E33" authorId="0" shapeId="0">
      <text>
        <t>was 3490000</t>
      </text>
    </comment>
    <comment ref="B34" authorId="0" shapeId="0">
      <text>
        <t>was 4090000</t>
      </text>
    </comment>
    <comment ref="C34" authorId="0" shapeId="0">
      <text>
        <t>W9 4.090</t>
      </text>
    </comment>
    <comment ref="D34" authorId="3" shapeId="0">
      <text>
        <t>Việt Hoàng:
Last week:
3.590.000</t>
      </text>
    </comment>
    <comment ref="E34" authorId="1" shapeId="0">
      <text>
        <t>Last week was: 3.890K</t>
      </text>
    </comment>
    <comment ref="E35" authorId="1" shapeId="0">
      <text>
        <t>Last week is: 2.690K</t>
      </text>
    </comment>
    <comment ref="B36" authorId="0" shapeId="0">
      <text>
        <t>was 18190
VNP200</t>
      </text>
    </comment>
    <comment ref="C36" authorId="0" shapeId="0">
      <text>
        <t xml:space="preserve">W9 18.190
</t>
      </text>
    </comment>
    <comment ref="D36" authorId="3" shapeId="0">
      <text>
        <t>Việt Hoàng:
Last week:
17.790.000</t>
      </text>
    </comment>
    <comment ref="F36" authorId="4" shapeId="0">
      <text>
        <t>chit trang:
17.590.000</t>
      </text>
    </comment>
    <comment ref="G36" authorId="5" shapeId="0">
      <text>
        <t>Tran Dat:
16.990</t>
      </text>
    </comment>
    <comment ref="B37" authorId="0" shapeId="0">
      <text>
        <t>VNP200</t>
      </text>
    </comment>
    <comment ref="D37" authorId="3" shapeId="0">
      <text>
        <t>Việt Hoàng:
Last week:
22.490.000</t>
      </text>
    </comment>
    <comment ref="F37" authorId="4" shapeId="0">
      <text>
        <t>chit trang:
22.290.000</t>
      </text>
    </comment>
    <comment ref="D38" authorId="3" shapeId="0">
      <text>
        <t>Việt Hoàng:
Last week:
25.790.000</t>
      </text>
    </comment>
    <comment ref="B39" authorId="0" shapeId="0">
      <text>
        <t>VNP200</t>
      </text>
    </comment>
    <comment ref="B40" authorId="0" shapeId="0">
      <text>
        <t>was 36490000
VNP200</t>
      </text>
    </comment>
    <comment ref="D40" authorId="3" shapeId="0">
      <text>
        <t>Việt Hoàng:
Last week:
36.290.000</t>
      </text>
    </comment>
  </commentList>
</comments>
</file>

<file path=xl/comments/comment35.xml><?xml version="1.0" encoding="utf-8"?>
<comments xmlns="http://schemas.openxmlformats.org/spreadsheetml/2006/main">
  <authors>
    <author>Việt Hoàng</author>
    <author>Sheva Son</author>
    <author>Người dùng Khách</author>
    <author>Microsoft Office User</author>
    <author>chit trang</author>
    <author>Tran Dat</author>
  </authors>
  <commentList>
    <comment ref="D2" authorId="0" shapeId="0">
      <text>
        <t>Việt Hoàng:
Last week:
21.490.000</t>
      </text>
    </comment>
    <comment ref="E2" authorId="1" shapeId="0">
      <text>
        <t>Last week is: 21.690K
Giảm 500K (đã trừ vào giá, ko kèm CTKM đổi điểm VT++).
Đổi điểm Viettel++ lên tới 6000K</t>
      </text>
    </comment>
    <comment ref="F2" authorId="2" shapeId="0">
      <text>
        <t>Người dùng Không xác định:
21.290.000</t>
      </text>
    </comment>
    <comment ref="B3" authorId="3" shapeId="0">
      <text>
        <t>was 25390000
VNP200</t>
      </text>
    </comment>
    <comment ref="C3" authorId="3" shapeId="0">
      <text>
        <t>W10 25.390</t>
      </text>
    </comment>
    <comment ref="E3" authorId="1" shapeId="0">
      <text>
        <t xml:space="preserve">Last week is: 24.890K
Giảm 500K (đã trừ vào giá, ko kèm CTKM đổi điểm VT++).
Đổi điểm Viettel++ lên tới 6000K
</t>
      </text>
    </comment>
    <comment ref="B4" authorId="3" shapeId="0">
      <text>
        <t>was 28190
VNP200</t>
      </text>
    </comment>
    <comment ref="C4" authorId="3" shapeId="0">
      <text>
        <t>W10 28.190</t>
      </text>
    </comment>
    <comment ref="E4" authorId="3" shapeId="0">
      <text>
        <t xml:space="preserve">Last week was: 27.710K
Nhập mã ZLP500 giảm ngay 500.000đ cho đơn hàng tối thiểu từ 20 triệu trở lên qua Zalopay (Yêu cầu thanh toán 100% giá trị đơn hàng). </t>
      </text>
    </comment>
    <comment ref="F4" authorId="4" shapeId="0">
      <text>
        <t>chit trang:
27.490.000</t>
      </text>
    </comment>
    <comment ref="B5" authorId="3" shapeId="0">
      <text>
        <t>was 33890
VNP200</t>
      </text>
    </comment>
    <comment ref="C5" authorId="3" shapeId="0">
      <text>
        <t>W10 33.890</t>
      </text>
    </comment>
    <comment ref="E5" authorId="1" shapeId="0">
      <text>
        <t xml:space="preserve">Last week is: 32.990K
Tặng voucher giảm giá lên đến 6,000,000đ cho khách hàng đổi điểm Viettel++ trên ứng dụng My Viettel 
</t>
      </text>
    </comment>
    <comment ref="F5" authorId="4" shapeId="0">
      <text>
        <t>chit trang:
33.490.000</t>
      </text>
    </comment>
    <comment ref="G5" authorId="5" shapeId="0">
      <text>
        <t>Tran Dat:
33.490</t>
      </text>
    </comment>
    <comment ref="B6" authorId="3" shapeId="0">
      <text>
        <t>was 19590000
VNP200</t>
      </text>
    </comment>
    <comment ref="C6" authorId="3" shapeId="0">
      <text>
        <t>W10 19.590</t>
      </text>
    </comment>
    <comment ref="E6" authorId="1" shapeId="0">
      <text>
        <t xml:space="preserve">Last week is: 19.190K
Giảm ngay 200,000đ cho khách hàng mua gói cước 3V200B </t>
      </text>
    </comment>
    <comment ref="G6" authorId="5" shapeId="0">
      <text>
        <t xml:space="preserve">Tran Dat:
19490
</t>
      </text>
    </comment>
    <comment ref="E7" authorId="1" shapeId="0">
      <text>
        <t xml:space="preserve">Last week is: 21.990K
Giảm ngay 200,000đ cho khách hàng mua gói cước 3V200B </t>
      </text>
    </comment>
    <comment ref="F7" authorId="4" shapeId="0">
      <text>
        <t>chit trang:
22.590.000</t>
      </text>
    </comment>
    <comment ref="E9" authorId="1" shapeId="0">
      <text>
        <t xml:space="preserve">Last week was: 28.490.000
</t>
      </text>
    </comment>
    <comment ref="F9" authorId="4" shapeId="0">
      <text>
        <t>chit trang:
28.990.000</t>
      </text>
    </comment>
    <comment ref="G9" authorId="5" shapeId="0">
      <text>
        <t>Tran Dat:
28.690</t>
      </text>
    </comment>
    <comment ref="E10" authorId="1" shapeId="0">
      <text>
        <t xml:space="preserve">Last week was: 19.690K
Chỉ còn màu Purple, Blue, White số lượng ít
</t>
      </text>
    </comment>
    <comment ref="D12" authorId="0" shapeId="0">
      <text>
        <t>Việt Hoàng:
Last week:
13.490.000</t>
      </text>
    </comment>
    <comment ref="E12" authorId="1" shapeId="0">
      <text>
        <t>Giảm 300K cho màu Đen và Starlight</t>
      </text>
    </comment>
    <comment ref="B14" authorId="3" shapeId="0">
      <text>
        <t>was 8740000
VNP50</t>
      </text>
    </comment>
    <comment ref="C14" authorId="3" shapeId="0">
      <text>
        <t>W10 8.740</t>
      </text>
    </comment>
    <comment ref="E14" authorId="1" shapeId="0">
      <text>
        <t xml:space="preserve">Giảm 200K khi mua Online (đã trừ vào giá)
Trợ giá 4G giảm 300K đã trừ vào giá
</t>
      </text>
    </comment>
    <comment ref="B15" authorId="3" shapeId="0">
      <text>
        <t>was 13990000
VNP100
Giảm thêm 400K cho giáo dục</t>
      </text>
    </comment>
    <comment ref="C15" authorId="3" shapeId="0">
      <text>
        <t>W10 13.990</t>
      </text>
    </comment>
    <comment ref="G15" authorId="5" shapeId="0">
      <text>
        <t>Tran Dat:
13.990</t>
      </text>
    </comment>
    <comment ref="B16" authorId="3" shapeId="0">
      <text>
        <t>was 9690000
VNP100
giảm thêm 300K cho GD</t>
      </text>
    </comment>
    <comment ref="C16" authorId="3" shapeId="0">
      <text>
        <t>W10 9.690</t>
      </text>
    </comment>
    <comment ref="D16" authorId="0" shapeId="0">
      <text>
        <t>Việt Hoàng:
Last week:
9.590.000</t>
      </text>
    </comment>
    <comment ref="E16" authorId="1" shapeId="0">
      <text>
        <t xml:space="preserve">Last week is: 8.490K
Giảm 200K cho khách mua Online đã trừ
</t>
      </text>
    </comment>
    <comment ref="F16" authorId="4" shapeId="0">
      <text>
        <t>chit trang:
9.390.000</t>
      </text>
    </comment>
    <comment ref="G16" authorId="5" shapeId="0">
      <text>
        <t>Tran Dat:
9.290</t>
      </text>
    </comment>
    <comment ref="E17" authorId="1" shapeId="0">
      <text>
        <t>Giảm 10% tối đa 120K khi mở ví VNPAY</t>
      </text>
    </comment>
    <comment ref="B18" authorId="3" shapeId="0">
      <text>
        <t>was 16890000
VNP100</t>
      </text>
    </comment>
    <comment ref="C18" authorId="3" shapeId="0">
      <text>
        <t>W10 16.890</t>
      </text>
    </comment>
    <comment ref="D18" authorId="0" shapeId="0">
      <text>
        <t>Việt Hoàng:
Last week:
16.490.000</t>
      </text>
    </comment>
    <comment ref="E18" authorId="1" shapeId="0">
      <text>
        <t xml:space="preserve">Last week is: 15.830K
</t>
      </text>
    </comment>
    <comment ref="F18" authorId="4" shapeId="0">
      <text>
        <t>chit trang:
16.490k</t>
      </text>
    </comment>
    <comment ref="G18" authorId="5" shapeId="0">
      <text>
        <t xml:space="preserve">Tran Dat:
15.990
</t>
      </text>
    </comment>
    <comment ref="B19" authorId="3" shapeId="0">
      <text>
        <t>was 22290000
VNP200
Giảm thêm 400K cho giáo dục</t>
      </text>
    </comment>
    <comment ref="C19" authorId="3" shapeId="0">
      <text>
        <t>W10 22.290</t>
      </text>
    </comment>
    <comment ref="D19" authorId="0" shapeId="0">
      <text>
        <t>Việt Hoàng:
Last week:
21.690.000</t>
      </text>
    </comment>
    <comment ref="E19" authorId="1" shapeId="0">
      <text>
        <t>Last week is: 21.190K
Voucher giảm 10% tối đa 300K VNPAY</t>
      </text>
    </comment>
    <comment ref="F19" authorId="4" shapeId="0">
      <text>
        <t>chit trang:
21.490.000</t>
      </text>
    </comment>
    <comment ref="G19" authorId="5" shapeId="0">
      <text>
        <t>Tran Dat:
28990</t>
      </text>
    </comment>
    <comment ref="E20" authorId="1" shapeId="0">
      <text>
        <t xml:space="preserve">Last week is: 26.890K
Nhập mã VTQR300 khách hàng sẽ được tặng 1% tối đa 300.000 cho đơn hàng có giá trị từ 3 triệu trở lên khi thanh toán qua VNPAY-QR </t>
      </text>
    </comment>
    <comment ref="E21" authorId="1" shapeId="0">
      <text>
        <t xml:space="preserve">Last week was: 36.790K
Nhập mã ZLP500 giảm ngay 500.000đ cho đơn hàng tối thiểu từ 20 triệu trở lên qua Zalopay (Yêu cầu thanh toán 100% giá trị đơn hàng) 
</t>
      </text>
    </comment>
    <comment ref="E22" authorId="1" shapeId="0">
      <text>
        <t xml:space="preserve">Tặng voucher giảm giá 100,000đ cho khách hàng đổi điểm trên ứng dụng Btaskee </t>
      </text>
    </comment>
    <comment ref="E23" authorId="1" shapeId="0">
      <text>
        <t xml:space="preserve">  Tặng voucher giảm giá 100,000đ cho khách hàng đổi điểm trên ứng dụng Btaskee </t>
      </text>
    </comment>
    <comment ref="G23" authorId="5" shapeId="0">
      <text>
        <t>Tran Dat:
7.290</t>
      </text>
    </comment>
    <comment ref="E24" authorId="1" shapeId="0">
      <text>
        <t xml:space="preserve">Tặng voucher giảm giá 100,000đ cho khách hàng đổi điểm trên ứng dụng Btaskee </t>
      </text>
    </comment>
    <comment ref="E25" authorId="1" shapeId="0">
      <text>
        <t xml:space="preserve">Tặng voucher giảm giá 100,000đ cho khách hàng đổi điểm trên ứng dụng Btaskee </t>
      </text>
    </comment>
    <comment ref="D26" authorId="0" shapeId="0">
      <text>
        <t>Việt Hoàng:
Last week:
10.990.000</t>
      </text>
    </comment>
    <comment ref="B27" authorId="3" shapeId="0">
      <text>
        <t>was 13390000
VNP100</t>
      </text>
    </comment>
    <comment ref="D27" authorId="0" shapeId="0">
      <text>
        <t>Việt Hoàng:
Last week:
13.590.000</t>
      </text>
    </comment>
    <comment ref="B28" authorId="3" shapeId="0">
      <text>
        <t>was 11790
VNP100</t>
      </text>
    </comment>
    <comment ref="C28" authorId="3" shapeId="0">
      <text>
        <t xml:space="preserve">W10 11.790
</t>
      </text>
    </comment>
    <comment ref="D28" authorId="0" shapeId="0">
      <text>
        <t>Việt Hoàng:
Last week:
11.790.000</t>
      </text>
    </comment>
    <comment ref="B29" authorId="3" shapeId="0">
      <text>
        <t>was 14390
VNP100</t>
      </text>
    </comment>
    <comment ref="C29" authorId="3" shapeId="0">
      <text>
        <t>W10 14.390</t>
      </text>
    </comment>
    <comment ref="D29" authorId="0" shapeId="0">
      <text>
        <t>Việt Hoàng:
Last week:
14.390.000</t>
      </text>
    </comment>
    <comment ref="E30" authorId="1" shapeId="0">
      <text>
        <t xml:space="preserve">Last week was: 22.990K
Nhập mã VTQR300 khách hàng sẽ được tặng 1% tối đa 300.000 cho đơn hàng có giá trị từ 3.000.000đ trở lên khi thanh toán qua VNPAY-QR. </t>
      </text>
    </comment>
    <comment ref="E31" authorId="1" shapeId="0">
      <text>
        <t xml:space="preserve">Last week was: 5.590K
</t>
      </text>
    </comment>
    <comment ref="E32" authorId="1" shapeId="0">
      <text>
        <t>Last week was: 4.790K
Voucher giảm 1% tối đa 300K VNPAY</t>
      </text>
    </comment>
    <comment ref="E33" authorId="3" shapeId="0">
      <text>
        <t>was 3490000</t>
      </text>
    </comment>
    <comment ref="E34" authorId="1" shapeId="0">
      <text>
        <t>Last week was: 4.150K</t>
      </text>
    </comment>
    <comment ref="F36" authorId="4" shapeId="0">
      <text>
        <t>chit trang:
24.290.000</t>
      </text>
    </comment>
    <comment ref="F38" authorId="4" shapeId="0">
      <text>
        <t>chit trang:
30.690.000</t>
      </text>
    </comment>
    <comment ref="B39" authorId="3" shapeId="0">
      <text>
        <t>was 36490000
VNP200</t>
      </text>
    </comment>
  </commentList>
</comments>
</file>

<file path=xl/comments/comment36.xml><?xml version="1.0" encoding="utf-8"?>
<comments xmlns="http://schemas.openxmlformats.org/spreadsheetml/2006/main">
  <authors>
    <author>Microsoft Office User</author>
    <author>Sheva Son</author>
    <author>Người dùng Khách</author>
    <author>Việt Hoàng</author>
    <author>chit trang</author>
    <author>Tran Dat</author>
  </authors>
  <commentList>
    <comment ref="B2" authorId="0" shapeId="0">
      <text>
        <t>was 21890
-200</t>
      </text>
    </comment>
    <comment ref="C2" authorId="0" shapeId="0">
      <text>
        <t>W11 21.890</t>
      </text>
    </comment>
    <comment ref="E2" authorId="1" shapeId="0">
      <text>
        <t>Last week is: 21.690K
Giảm 500K (đã trừ vào giá, ko kèm CTKM đổi điểm VT++).
Đổi điểm Viettel++ lên tới 6000K</t>
      </text>
    </comment>
    <comment ref="F2" authorId="2" shapeId="0">
      <text>
        <t>Người dùng Không xác định:
21.490.000</t>
      </text>
    </comment>
    <comment ref="B3" authorId="0" shapeId="0">
      <text>
        <t>was 25290000
-200</t>
      </text>
    </comment>
    <comment ref="C3" authorId="0" shapeId="0">
      <text>
        <t>W11 25.290</t>
      </text>
    </comment>
    <comment ref="D3" authorId="3" shapeId="0">
      <text>
        <t>Việt Hoàng:
Last week:
24.990.000</t>
      </text>
    </comment>
    <comment ref="E3" authorId="1" shapeId="0">
      <text>
        <t xml:space="preserve">Last week is: 24.890K
Giảm 500K (đã trừ vào giá, ko kèm CTKM đổi điểm VT++).
Đổi điểm Viettel++ lên tới 6000K
</t>
      </text>
    </comment>
    <comment ref="F3" authorId="4" shapeId="0">
      <text>
        <t xml:space="preserve">chit trang:
</t>
      </text>
    </comment>
    <comment ref="B4" authorId="0" shapeId="0">
      <text>
        <t>was 28290
-200</t>
      </text>
    </comment>
    <comment ref="C4" authorId="0" shapeId="0">
      <text>
        <t>W11 28.290</t>
      </text>
    </comment>
    <comment ref="D4" authorId="3" shapeId="0">
      <text>
        <t>Việt Hoàng:
Last week:
27.890.000</t>
      </text>
    </comment>
    <comment ref="E4" authorId="0" shapeId="0">
      <text>
        <t xml:space="preserve">Last week was: 27.710K
Nhập mã ZLP500 giảm ngay 500.000đ cho đơn hàng tối thiểu từ 20 triệu trở lên qua Zalopay (Yêu cầu thanh toán 100% giá trị đơn hàng). </t>
      </text>
    </comment>
    <comment ref="B5" authorId="0" shapeId="0">
      <text>
        <t>was 33390
Voucher200</t>
      </text>
    </comment>
    <comment ref="C5" authorId="0" shapeId="0">
      <text>
        <t>W11 33.390</t>
      </text>
    </comment>
    <comment ref="E5" authorId="1" shapeId="0">
      <text>
        <t xml:space="preserve">Last week is: 32.990K
Tặng voucher giảm giá lên đến 6,000,000đ cho khách hàng đổi điểm Viettel++ trên ứng dụng My Viettel 
</t>
      </text>
    </comment>
    <comment ref="G5" authorId="5" shapeId="0">
      <text>
        <t>Tran Dat:
32.990</t>
      </text>
    </comment>
    <comment ref="B6" authorId="0" shapeId="0">
      <text>
        <t>was 19490</t>
      </text>
    </comment>
    <comment ref="C6" authorId="0" shapeId="0">
      <text>
        <t>W11 19.490</t>
      </text>
    </comment>
    <comment ref="E6" authorId="1" shapeId="0">
      <text>
        <t xml:space="preserve">Last week is: 19.190K
Giảm ngay 200,000đ cho khách hàng mua gói cước 3V200B </t>
      </text>
    </comment>
    <comment ref="G6" authorId="5" shapeId="0">
      <text>
        <t xml:space="preserve">Tran Dat:
19290
</t>
      </text>
    </comment>
    <comment ref="E7" authorId="1" shapeId="0">
      <text>
        <t xml:space="preserve">Last week is: 21.990K
Giảm ngay 200,000đ cho khách hàng mua gói cước 3V200B </t>
      </text>
    </comment>
    <comment ref="G7" authorId="5" shapeId="0">
      <text>
        <t>Tran Dat:
22.390</t>
      </text>
    </comment>
    <comment ref="B9" authorId="0" shapeId="0">
      <text>
        <t>was 29190</t>
      </text>
    </comment>
    <comment ref="C9" authorId="0" shapeId="0">
      <text>
        <t>W11 29.190</t>
      </text>
    </comment>
    <comment ref="E9" authorId="1" shapeId="0">
      <text>
        <t xml:space="preserve">Last week was: 28.490.000
</t>
      </text>
    </comment>
    <comment ref="G9" authorId="5" shapeId="0">
      <text>
        <t>Tran Dat:
28.390</t>
      </text>
    </comment>
    <comment ref="B10" authorId="0" shapeId="0">
      <text>
        <t>was 19690</t>
      </text>
    </comment>
    <comment ref="C10" authorId="0" shapeId="0">
      <text>
        <t>W11  19.690</t>
      </text>
    </comment>
    <comment ref="E10" authorId="1" shapeId="0">
      <text>
        <t xml:space="preserve">Last week was: 19.690K
Chỉ còn màu Purple, Blue, White số lượng ít
</t>
      </text>
    </comment>
    <comment ref="B11" authorId="0" shapeId="0">
      <text>
        <t>was 17090</t>
      </text>
    </comment>
    <comment ref="C11" authorId="0" shapeId="0">
      <text>
        <t>W11  17.090</t>
      </text>
    </comment>
    <comment ref="B12" authorId="0" shapeId="0">
      <text>
        <t>was 13490000</t>
      </text>
    </comment>
    <comment ref="C12" authorId="0" shapeId="0">
      <text>
        <t>W11 13.490</t>
      </text>
    </comment>
    <comment ref="E12" authorId="1" shapeId="0">
      <text>
        <t>Giảm 300K cho màu Đen và Starlight</t>
      </text>
    </comment>
    <comment ref="B13" authorId="0" shapeId="0">
      <text>
        <t>was 11490
tuỳ màu 11990</t>
      </text>
    </comment>
    <comment ref="C13" authorId="0" shapeId="0">
      <text>
        <t>W11 11.490</t>
      </text>
    </comment>
    <comment ref="B14" authorId="0" shapeId="0">
      <text>
        <t>was 8840</t>
      </text>
    </comment>
    <comment ref="C14" authorId="0" shapeId="0">
      <text>
        <t>W11 8.840</t>
      </text>
    </comment>
    <comment ref="E14" authorId="1" shapeId="0">
      <text>
        <t xml:space="preserve">Giảm 200K khi mua Online (đã trừ vào giá)
Trợ giá 4G giảm 300K đã trừ vào giá
</t>
      </text>
    </comment>
    <comment ref="F14" authorId="4" shapeId="0">
      <text>
        <t>chit trang:
8.790.000</t>
      </text>
    </comment>
    <comment ref="B15" authorId="0" shapeId="0">
      <text>
        <t>was 13890000
SV -400</t>
      </text>
    </comment>
    <comment ref="C15" authorId="0" shapeId="0">
      <text>
        <t>W11 13.890</t>
      </text>
    </comment>
    <comment ref="B16" authorId="0" shapeId="0">
      <text>
        <t>was 8940
SV-300</t>
      </text>
    </comment>
    <comment ref="C16" authorId="0" shapeId="0">
      <text>
        <t>W11 8.940</t>
      </text>
    </comment>
    <comment ref="D16" authorId="3" shapeId="0">
      <text>
        <t>Việt Hoàng:
Last week:
8.990.000</t>
      </text>
    </comment>
    <comment ref="E16" authorId="1" shapeId="0">
      <text>
        <t xml:space="preserve">Last week is: 9.290K
</t>
      </text>
    </comment>
    <comment ref="B17" authorId="0" shapeId="0">
      <text>
        <t>was7040
SV - 300</t>
      </text>
    </comment>
    <comment ref="C17" authorId="0" shapeId="0">
      <text>
        <t>W11 7.040</t>
      </text>
    </comment>
    <comment ref="E17" authorId="1" shapeId="0">
      <text>
        <t>Giảm 10% tối đa 120K khi mở ví VNPAY</t>
      </text>
    </comment>
    <comment ref="E18" authorId="1" shapeId="0">
      <text>
        <t xml:space="preserve">Last week is: 14.490K
Nhập mã VTQR300 khách hàng sẽ được tặng 1% tối đa 300.000 cho đơn hàng có giá trị từ 3 triệu trở lên khi thanh toán qua VNPAY-QR </t>
      </text>
    </comment>
    <comment ref="E19" authorId="1" shapeId="0">
      <text>
        <t xml:space="preserve">Last week is: 21.190K
Nhập mã VTQR300 khách hàng sẽ được tặng 1% tối đa 300.000 cho đơn hàng có giá trị từ 3 triệu trở lên khi thanh toán qua VNPAY-QR </t>
      </text>
    </comment>
    <comment ref="G19" authorId="5" shapeId="0">
      <text>
        <t>Tran Dat:
20890</t>
      </text>
    </comment>
    <comment ref="B20" authorId="0" shapeId="0">
      <text>
        <t>was 27590000
SV -500</t>
      </text>
    </comment>
    <comment ref="C20" authorId="0" shapeId="0">
      <text>
        <t>W11 27.590</t>
      </text>
    </comment>
    <comment ref="E20" authorId="1" shapeId="0">
      <text>
        <t xml:space="preserve">Last week is: 26.890K
Nhập mã VTQR300 khách hàng sẽ được tặng 1% tối đa 300.000 cho đơn hàng có giá trị từ 3 triệu trở lên khi thanh toán qua VNPAY-QR </t>
      </text>
    </comment>
    <comment ref="B21" authorId="0" shapeId="0">
      <text>
        <t>was 37090
SV -500</t>
      </text>
    </comment>
    <comment ref="C21" authorId="0" shapeId="0">
      <text>
        <t xml:space="preserve">W11 37.090
</t>
      </text>
    </comment>
    <comment ref="E21" authorId="1" shapeId="0">
      <text>
        <t xml:space="preserve">Last week was: 36.790K
Nhập mã ZLP500 giảm ngay 500.000đ cho đơn hàng tối thiểu từ 20 triệu trở lên qua Zalopay (Yêu cầu thanh toán 100% giá trị đơn hàng) 
</t>
      </text>
    </comment>
    <comment ref="B22" authorId="0" shapeId="0">
      <text>
        <t>was 5940</t>
      </text>
    </comment>
    <comment ref="C22" authorId="0" shapeId="0">
      <text>
        <t>W11 5.940</t>
      </text>
    </comment>
    <comment ref="E22" authorId="1" shapeId="0">
      <text>
        <t xml:space="preserve">Tặng voucher giảm giá 100,000đ cho khách hàng đổi điểm trên ứng dụng Btaskee </t>
      </text>
    </comment>
    <comment ref="F22" authorId="4" shapeId="0">
      <text>
        <t>chit trang:
5.990k</t>
      </text>
    </comment>
    <comment ref="B23" authorId="0" shapeId="0">
      <text>
        <t>was 7240</t>
      </text>
    </comment>
    <comment ref="C23" authorId="0" shapeId="0">
      <text>
        <t>W11 7.240</t>
      </text>
    </comment>
    <comment ref="E23" authorId="1" shapeId="0">
      <text>
        <t xml:space="preserve">  Tặng voucher giảm giá 100,000đ cho khách hàng đổi điểm trên ứng dụng Btaskee </t>
      </text>
    </comment>
    <comment ref="F23" authorId="4" shapeId="0">
      <text>
        <t>chit trang:
7.290k</t>
      </text>
    </comment>
    <comment ref="G23" authorId="5" shapeId="0">
      <text>
        <t>Tran Dat:
7.190</t>
      </text>
    </comment>
    <comment ref="B24" authorId="0" shapeId="0">
      <text>
        <t>was 6740</t>
      </text>
    </comment>
    <comment ref="C24" authorId="0" shapeId="0">
      <text>
        <t>W11 6.740</t>
      </text>
    </comment>
    <comment ref="E24" authorId="1" shapeId="0">
      <text>
        <t xml:space="preserve">Tặng voucher giảm giá 100,000đ cho khách hàng đổi điểm trên ứng dụng Btaskee </t>
      </text>
    </comment>
    <comment ref="F24" authorId="4" shapeId="0">
      <text>
        <t>chit trang:
6.790k</t>
      </text>
    </comment>
    <comment ref="B25" authorId="0" shapeId="0">
      <text>
        <t>was 8040</t>
      </text>
    </comment>
    <comment ref="C25" authorId="0" shapeId="0">
      <text>
        <t>W11 8.040</t>
      </text>
    </comment>
    <comment ref="E25" authorId="1" shapeId="0">
      <text>
        <t xml:space="preserve">Tặng voucher giảm giá 100,000đ cho khách hàng đổi điểm trên ứng dụng Btaskee </t>
      </text>
    </comment>
    <comment ref="B28" authorId="0" shapeId="0">
      <text>
        <t>was 11690</t>
      </text>
    </comment>
    <comment ref="C28" authorId="0" shapeId="0">
      <text>
        <t>W11 11.690</t>
      </text>
    </comment>
    <comment ref="B29" authorId="0" shapeId="0">
      <text>
        <t>was 14290</t>
      </text>
    </comment>
    <comment ref="C29" authorId="0" shapeId="0">
      <text>
        <t>W11 14.290</t>
      </text>
    </comment>
    <comment ref="B30" authorId="0" shapeId="0">
      <text>
        <t>was 22290</t>
      </text>
    </comment>
    <comment ref="C30" authorId="0" shapeId="0">
      <text>
        <t>W11 22.290</t>
      </text>
    </comment>
    <comment ref="E30" authorId="1" shapeId="0">
      <text>
        <t xml:space="preserve">Last week was: 21.770K
Nhập mã VTQR300 khách hàng sẽ được tặng 1% tối đa 300.000 cho đơn hàng có giá trị từ 3.000.000đ trở lên khi thanh toán qua VNPAY-QR. </t>
      </text>
    </comment>
    <comment ref="F30" authorId="4" shapeId="0">
      <text>
        <t>chit trang:
22.590k</t>
      </text>
    </comment>
    <comment ref="B31" authorId="0" shapeId="0">
      <text>
        <t>was 5740</t>
      </text>
    </comment>
    <comment ref="C31" authorId="0" shapeId="0">
      <text>
        <t>W11 5.740</t>
      </text>
    </comment>
    <comment ref="D31" authorId="3" shapeId="0">
      <text>
        <t>Việt Hoàng:
Last week:
5.690.000</t>
      </text>
    </comment>
    <comment ref="E31" authorId="1" shapeId="0">
      <text>
        <t xml:space="preserve">Last week was: 5.690K
</t>
      </text>
    </comment>
    <comment ref="E32" authorId="1" shapeId="0">
      <text>
        <t>Last week was: 4.790K
Voucher giảm 1% tối đa 300K VNPAY</t>
      </text>
    </comment>
    <comment ref="B33" authorId="0" shapeId="0">
      <text>
        <t>was 3390</t>
      </text>
    </comment>
    <comment ref="C33" authorId="0" shapeId="0">
      <text>
        <t>W11 3.390</t>
      </text>
    </comment>
    <comment ref="D33" authorId="3" shapeId="0">
      <text>
        <t>Việt Hoàng:
Last week:
3.390.000</t>
      </text>
    </comment>
    <comment ref="E33" authorId="0" shapeId="0">
      <text>
        <t>was 3490000</t>
      </text>
    </comment>
    <comment ref="B34" authorId="0" shapeId="0">
      <text>
        <t>was 3990</t>
      </text>
    </comment>
    <comment ref="C34" authorId="0" shapeId="0">
      <text>
        <t>W11 3.990</t>
      </text>
    </comment>
    <comment ref="D34" authorId="3" shapeId="0">
      <text>
        <t>Việt Hoàng:
Last week:
3.990.000</t>
      </text>
    </comment>
    <comment ref="E34" authorId="1" shapeId="0">
      <text>
        <t>Last week was: 4.150K</t>
      </text>
    </comment>
    <comment ref="B35" authorId="0" shapeId="0">
      <text>
        <t>was 17990</t>
      </text>
    </comment>
    <comment ref="C35" authorId="0" shapeId="0">
      <text>
        <t>W11 17.990</t>
      </text>
    </comment>
    <comment ref="B36" authorId="0" shapeId="0">
      <text>
        <t>was 24290</t>
      </text>
    </comment>
    <comment ref="C36" authorId="0" shapeId="0">
      <text>
        <t>W11 24.290</t>
      </text>
    </comment>
    <comment ref="D36" authorId="3" shapeId="0">
      <text>
        <t>Việt Hoàng:
Last week:
24.290.000</t>
      </text>
    </comment>
    <comment ref="G36" authorId="5" shapeId="0">
      <text>
        <t>Tran Dat:
24.490</t>
      </text>
    </comment>
    <comment ref="D37" authorId="3" shapeId="0">
      <text>
        <t>Việt Hoàng:
Last week:
27.490.000</t>
      </text>
    </comment>
    <comment ref="G37" authorId="5" shapeId="0">
      <text>
        <t>Tran Dat:
27.190</t>
      </text>
    </comment>
    <comment ref="B38" authorId="0" shapeId="0">
      <text>
        <t>was 32590</t>
      </text>
    </comment>
    <comment ref="F38" authorId="4" shapeId="0">
      <text>
        <t>chit trang:
30.690.000</t>
      </text>
    </comment>
    <comment ref="B39" authorId="0" shapeId="0">
      <text>
        <t>was 36490000
VNP200</t>
      </text>
    </comment>
  </commentList>
</comments>
</file>

<file path=xl/comments/comment37.xml><?xml version="1.0" encoding="utf-8"?>
<comments xmlns="http://schemas.openxmlformats.org/spreadsheetml/2006/main">
  <authors>
    <author>Microsoft Office User</author>
    <author>Sheva Son</author>
    <author>Người dùng Khách</author>
    <author>Việt Hoàng</author>
    <author>chit trang</author>
    <author>Tran Dat</author>
    <author>Duy</author>
  </authors>
  <commentList>
    <comment ref="B2" authorId="0" shapeId="0">
      <text>
        <t>was 22390000</t>
      </text>
    </comment>
    <comment ref="C2" authorId="0" shapeId="0">
      <text>
        <t>W12 22.390</t>
      </text>
    </comment>
    <comment ref="E2" authorId="1" shapeId="0">
      <text>
        <t>Last week is: 21.690K
Giảm 500K (đã trừ vào giá, ko kèm CTKM đổi điểm VT++).
Đổi điểm Viettel++ lên tới 6000K</t>
      </text>
    </comment>
    <comment ref="F2" authorId="2" shapeId="0">
      <text>
        <t>Người dùng Không xác định:
21.490.000</t>
      </text>
    </comment>
    <comment ref="B3" authorId="0" shapeId="0">
      <text>
        <t>was 25790000</t>
      </text>
    </comment>
    <comment ref="C3" authorId="0" shapeId="0">
      <text>
        <t>W12 25.790</t>
      </text>
    </comment>
    <comment ref="D3" authorId="3" shapeId="0">
      <text>
        <t>Việt Hoàng:
Last week:
24.790.000</t>
      </text>
    </comment>
    <comment ref="E3" authorId="1" shapeId="0">
      <text>
        <t xml:space="preserve">Last week is: 24.890K
Giảm 500K (đã trừ vào giá, ko kèm CTKM đổi điểm VT++).
Đổi điểm Viettel++ lên tới 6000K
</t>
      </text>
    </comment>
    <comment ref="B4" authorId="0" shapeId="0">
      <text>
        <t>was 28390</t>
      </text>
    </comment>
    <comment ref="C4" authorId="0" shapeId="0">
      <text>
        <t>W12 28.390</t>
      </text>
    </comment>
    <comment ref="E4" authorId="0" shapeId="0">
      <text>
        <t xml:space="preserve">Last week was: 27.710K
Nhập mã ZLP500 giảm ngay 500.000đ cho đơn hàng tối thiểu từ 20 triệu trở lên qua Zalopay (Yêu cầu thanh toán 100% giá trị đơn hàng). </t>
      </text>
    </comment>
    <comment ref="B5" authorId="0" shapeId="0">
      <text>
        <t>was 34390</t>
      </text>
    </comment>
    <comment ref="C5" authorId="0" shapeId="0">
      <text>
        <t>W12 34.390</t>
      </text>
    </comment>
    <comment ref="D5" authorId="3" shapeId="0">
      <text>
        <t>Việt Hoàng:
Last week:
33.490.000</t>
      </text>
    </comment>
    <comment ref="E5" authorId="1" shapeId="0">
      <text>
        <t xml:space="preserve">Last week is: 32.990K
Tặng voucher giảm giá lên đến 6,000,000đ cho khách hàng đổi điểm Viettel++ trên ứng dụng My Viettel 
</t>
      </text>
    </comment>
    <comment ref="F5" authorId="4" shapeId="0">
      <text>
        <t>chit trang:
33.190k</t>
      </text>
    </comment>
    <comment ref="G5" authorId="5" shapeId="0">
      <text>
        <t>Tran Dat:
33.190</t>
      </text>
    </comment>
    <comment ref="C6" authorId="6" shapeId="0">
      <text>
        <t>W12: 19.690</t>
      </text>
    </comment>
    <comment ref="D6" authorId="3" shapeId="0">
      <text>
        <t>Việt Hoàng:
Last week:
19.490.00</t>
      </text>
    </comment>
    <comment ref="E6" authorId="1" shapeId="0">
      <text>
        <t xml:space="preserve">Last week is: 19.190K
Giảm ngay 200,000đ cho khách hàng mua gói cước 3V200B </t>
      </text>
    </comment>
    <comment ref="F6" authorId="4" shapeId="0">
      <text>
        <t>chit trang:
19.490k</t>
      </text>
    </comment>
    <comment ref="G6" authorId="5" shapeId="0">
      <text>
        <t>Tran Dat:
19190</t>
      </text>
    </comment>
    <comment ref="C7" authorId="6" shapeId="0">
      <text>
        <t>W12: 22.590</t>
      </text>
    </comment>
    <comment ref="E7" authorId="1" shapeId="0">
      <text>
        <t xml:space="preserve">Last week is: 21.990K
Giảm ngay 200,000đ cho khách hàng mua gói cước 3V200B </t>
      </text>
    </comment>
    <comment ref="F7" authorId="4" shapeId="0">
      <text>
        <t>chit trang:
22.490</t>
      </text>
    </comment>
    <comment ref="G7" authorId="5" shapeId="0">
      <text>
        <t>Tran Dat:
22.390</t>
      </text>
    </comment>
    <comment ref="E9" authorId="1" shapeId="0">
      <text>
        <t xml:space="preserve">Last week was: 28.490.000
</t>
      </text>
    </comment>
    <comment ref="F9" authorId="4" shapeId="0">
      <text>
        <t>chit trang:
29.190k</t>
      </text>
    </comment>
    <comment ref="G9" authorId="5" shapeId="0">
      <text>
        <t>Tran Dat:
28.890</t>
      </text>
    </comment>
    <comment ref="B10" authorId="0" shapeId="0">
      <text>
        <t>was 19790</t>
      </text>
    </comment>
    <comment ref="C10" authorId="0" shapeId="0">
      <text>
        <t>W12 19.790</t>
      </text>
    </comment>
    <comment ref="E10" authorId="1" shapeId="0">
      <text>
        <t xml:space="preserve">Last week was: 19.690K
Chỉ còn màu Purple, Blue, White số lượng ít
</t>
      </text>
    </comment>
    <comment ref="G10" authorId="5" shapeId="0">
      <text>
        <t>Tran Dat:
20090000</t>
      </text>
    </comment>
    <comment ref="B11" authorId="0" shapeId="0">
      <text>
        <t>was 17190</t>
      </text>
    </comment>
    <comment ref="C11" authorId="0" shapeId="0">
      <text>
        <t>W12 17.190</t>
      </text>
    </comment>
    <comment ref="G11" authorId="5" shapeId="0">
      <text>
        <t>Tran Dat:
17290000</t>
      </text>
    </comment>
    <comment ref="B12" authorId="0" shapeId="0">
      <text>
        <t>was 13590000</t>
      </text>
    </comment>
    <comment ref="C12" authorId="0" shapeId="0">
      <text>
        <t>W12 13.590</t>
      </text>
    </comment>
    <comment ref="E12" authorId="1" shapeId="0">
      <text>
        <t>Giảm 300K cho màu Đen và Starlight</t>
      </text>
    </comment>
    <comment ref="B13" authorId="0" shapeId="0">
      <text>
        <t>was 10990 xanh lá rẻ nhất, còn lại tuỳ màu</t>
      </text>
    </comment>
    <comment ref="D14" authorId="3" shapeId="0">
      <text>
        <t>Việt Hoàng:
Last week:
8.790.000</t>
      </text>
    </comment>
    <comment ref="E14" authorId="1" shapeId="0">
      <text>
        <t xml:space="preserve">Giảm 200K khi mua Online (đã trừ vào giá)
Trợ giá 4G giảm 300K đã trừ vào giá
</t>
      </text>
    </comment>
    <comment ref="B15" authorId="0" shapeId="0">
      <text>
        <t>was 13990000
SV -400</t>
      </text>
    </comment>
    <comment ref="E15" authorId="0" shapeId="0">
      <text>
        <t>VNP 1%</t>
      </text>
    </comment>
    <comment ref="F15" authorId="4" shapeId="0">
      <text>
        <t>chit trang:
13.990k</t>
      </text>
    </comment>
    <comment ref="B16" authorId="0" shapeId="0">
      <text>
        <t>was 8990</t>
      </text>
    </comment>
    <comment ref="C16" authorId="0" shapeId="0">
      <text>
        <t>W12 8.990</t>
      </text>
    </comment>
    <comment ref="D16" authorId="3" shapeId="0">
      <text>
        <t>Việt Hoàng:
Last week:
8.890.000</t>
      </text>
    </comment>
    <comment ref="E16" authorId="1" shapeId="0">
      <text>
        <t xml:space="preserve">Last week is: 9.290K
</t>
      </text>
    </comment>
    <comment ref="F16" authorId="4" shapeId="0">
      <text>
        <t>chit trang:
8.750k</t>
      </text>
    </comment>
    <comment ref="B17" authorId="0" shapeId="0">
      <text>
        <t>was 7090</t>
      </text>
    </comment>
    <comment ref="C17" authorId="0" shapeId="0">
      <text>
        <t>W12 7.090</t>
      </text>
    </comment>
    <comment ref="E17" authorId="1" shapeId="0">
      <text>
        <t>Giảm 10% tối đa 120K khi mở ví VNPAY</t>
      </text>
    </comment>
    <comment ref="F17" authorId="4" shapeId="0">
      <text>
        <t>chit trang:
7.050k</t>
      </text>
    </comment>
    <comment ref="G17" authorId="5" shapeId="0">
      <text>
        <t>Tran Dat:
7090</t>
      </text>
    </comment>
    <comment ref="B18" authorId="0" shapeId="0">
      <text>
        <t>was 14990</t>
      </text>
    </comment>
    <comment ref="C18" authorId="0" shapeId="0">
      <text>
        <t>W12 14.990</t>
      </text>
    </comment>
    <comment ref="E18" authorId="1" shapeId="0">
      <text>
        <t xml:space="preserve">Last week is: 14.490K
Nhập mã VTQR300 khách hàng sẽ được tặng 1% tối đa 300.000 cho đơn hàng có giá trị từ 3 triệu trở lên khi thanh toán qua VNPAY-QR </t>
      </text>
    </comment>
    <comment ref="G18" authorId="5" shapeId="0">
      <text>
        <t>Tran Dat:
14490</t>
      </text>
    </comment>
    <comment ref="B19" authorId="0" shapeId="0">
      <text>
        <t>Giáo dục - 400</t>
      </text>
    </comment>
    <comment ref="C19" authorId="0" shapeId="0">
      <text>
        <t/>
      </text>
    </comment>
    <comment ref="E19" authorId="1" shapeId="0">
      <text>
        <t xml:space="preserve">Last week is: 21.190K
Nhập mã VTQR300 khách hàng sẽ được tặng 1% tối đa 300.000 cho đơn hàng có giá trị từ 3 triệu trở lên khi thanh toán qua VNPAY-QR </t>
      </text>
    </comment>
    <comment ref="B20" authorId="0" shapeId="0">
      <text>
        <t>was 27690</t>
      </text>
    </comment>
    <comment ref="C20" authorId="0" shapeId="0">
      <text>
        <t>W12 27.690</t>
      </text>
    </comment>
    <comment ref="D20" authorId="3" shapeId="0">
      <text>
        <t>Việt Hoàng:
Last week:
27.490.000</t>
      </text>
    </comment>
    <comment ref="E20" authorId="1" shapeId="0">
      <text>
        <t xml:space="preserve">Last week is: 26.890K
Nhập mã VTQR300 khách hàng sẽ được tặng 1% tối đa 300.000 cho đơn hàng có giá trị từ 3 triệu trở lên khi thanh toán qua VNPAY-QR </t>
      </text>
    </comment>
    <comment ref="G20" authorId="5" shapeId="0">
      <text>
        <t>Tran Dat:
27190</t>
      </text>
    </comment>
    <comment ref="E21" authorId="1" shapeId="0">
      <text>
        <t xml:space="preserve">Last week was: 36.790K
Nhập mã ZLP500 giảm ngay 500.000đ cho đơn hàng tối thiểu từ 20 triệu trở lên qua Zalopay (Yêu cầu thanh toán 100% giá trị đơn hàng) 
</t>
      </text>
    </comment>
    <comment ref="B22" authorId="0" shapeId="0">
      <text>
        <t>was 5590</t>
      </text>
    </comment>
    <comment ref="C22" authorId="0" shapeId="0">
      <text>
        <t>W12 5.590</t>
      </text>
    </comment>
    <comment ref="E22" authorId="1" shapeId="0">
      <text>
        <t xml:space="preserve">Tặng voucher giảm giá 100,000đ cho khách hàng đổi điểm trên ứng dụng Btaskee </t>
      </text>
    </comment>
    <comment ref="E23" authorId="1" shapeId="0">
      <text>
        <t xml:space="preserve">  Tặng voucher giảm giá 100,000đ cho khách hàng đổi điểm trên ứng dụng Btaskee </t>
      </text>
    </comment>
    <comment ref="B24" authorId="0" shapeId="0">
      <text>
        <t>was 5990</t>
      </text>
    </comment>
    <comment ref="C24" authorId="0" shapeId="0">
      <text>
        <t>W12 5.990</t>
      </text>
    </comment>
    <comment ref="E24" authorId="1" shapeId="0">
      <text>
        <t xml:space="preserve">Tặng voucher giảm giá 100,000đ cho khách hàng đổi điểm trên ứng dụng Btaskee </t>
      </text>
    </comment>
    <comment ref="E25" authorId="1" shapeId="0">
      <text>
        <t xml:space="preserve">Tặng voucher giảm giá 100,000đ cho khách hàng đổi điểm trên ứng dụng Btaskee </t>
      </text>
    </comment>
    <comment ref="B30" authorId="0" shapeId="0">
      <text>
        <t>was 21990</t>
      </text>
    </comment>
    <comment ref="C30" authorId="0" shapeId="0">
      <text>
        <t>W12 21.990</t>
      </text>
    </comment>
    <comment ref="E30" authorId="1" shapeId="0">
      <text>
        <t xml:space="preserve">Last week was: 21.390K
</t>
      </text>
    </comment>
    <comment ref="E31" authorId="1" shapeId="0">
      <text>
        <t xml:space="preserve">Last week was: 5.690K
</t>
      </text>
    </comment>
    <comment ref="E32" authorId="1" shapeId="0">
      <text>
        <t>Last week was: 4.790K
Voucher giảm 1% tối đa 300K VNPAY</t>
      </text>
    </comment>
    <comment ref="E33" authorId="0" shapeId="0">
      <text>
        <t>was 3490000</t>
      </text>
    </comment>
    <comment ref="E34" authorId="1" shapeId="0">
      <text>
        <t>Last week was: 4.150K</t>
      </text>
    </comment>
    <comment ref="B35" authorId="0" shapeId="0">
      <text>
        <t>was 18090</t>
      </text>
    </comment>
    <comment ref="C35" authorId="0" shapeId="0">
      <text>
        <t>W12 18.090</t>
      </text>
    </comment>
    <comment ref="B36" authorId="0" shapeId="0">
      <text>
        <t>was 24390</t>
      </text>
    </comment>
    <comment ref="C36" authorId="0" shapeId="0">
      <text>
        <t>W12 24.390</t>
      </text>
    </comment>
    <comment ref="F37" authorId="4" shapeId="0">
      <text>
        <t>chit trang:
27.590k</t>
      </text>
    </comment>
  </commentList>
</comments>
</file>

<file path=xl/comments/comment38.xml><?xml version="1.0" encoding="utf-8"?>
<comments xmlns="http://schemas.openxmlformats.org/spreadsheetml/2006/main">
  <authors>
    <author>Microsoft Office User</author>
    <author>Việt Hoàng</author>
    <author>Sheva Son</author>
    <author>Người dùng Khách</author>
    <author>Tran Dat</author>
    <author>chit trang</author>
    <author>Duy</author>
  </authors>
  <commentList>
    <comment ref="B2" authorId="0" shapeId="0">
      <text>
        <t>was 22190000</t>
      </text>
    </comment>
    <comment ref="C2" authorId="0" shapeId="0">
      <text>
        <t>W13 22190000</t>
      </text>
    </comment>
    <comment ref="D2" authorId="1" shapeId="0">
      <text>
        <t>Việt Hoàng:
Last week:
21.590.000</t>
      </text>
    </comment>
    <comment ref="E2" authorId="2" shapeId="0">
      <text>
        <t xml:space="preserve">Last week is: 21.990K
 Tết vui khui Túi vàng Cơ hội trúng hàng trăm Túi vàng đến ngày 14/02/2025 </t>
      </text>
    </comment>
    <comment ref="F2" authorId="3" shapeId="0">
      <text>
        <t>Người dùng Không xác định:
21.590.000</t>
      </text>
    </comment>
    <comment ref="G2" authorId="4" shapeId="0">
      <text>
        <t>Tran Dat:
21.490.000</t>
      </text>
    </comment>
    <comment ref="B3" authorId="0" shapeId="0">
      <text>
        <t>was 25190000</t>
      </text>
    </comment>
    <comment ref="D3" authorId="1" shapeId="0">
      <text>
        <t>Việt Hoàng:
Last week:
24.890.000</t>
      </text>
    </comment>
    <comment ref="E3" authorId="2" shapeId="0">
      <text>
        <t xml:space="preserve">Last week is: 24.990K
 Tết vui khui Túi vàng Cơ hội trúng hàng trăm Túi vàng đến ngày 14/02/2025 
</t>
      </text>
    </comment>
    <comment ref="F3" authorId="5" shapeId="0">
      <text>
        <t>chit trang:
24.790k</t>
      </text>
    </comment>
    <comment ref="G3" authorId="4" shapeId="0">
      <text>
        <t>Tran Dat:
24.890</t>
      </text>
    </comment>
    <comment ref="B4" authorId="0" shapeId="0">
      <text>
        <t>was 28490</t>
      </text>
    </comment>
    <comment ref="C4" authorId="0" shapeId="0">
      <text>
        <t>W13 28490</t>
      </text>
    </comment>
    <comment ref="D4" authorId="1" shapeId="0">
      <text>
        <t>Việt Hoàng:
Last week:
27.990.000</t>
      </text>
    </comment>
    <comment ref="E4" authorId="0" shapeId="0">
      <text>
        <t xml:space="preserve">Last week was: 28.190K
 Tết vui khui Túi vàng Cơ hội trúng hàng trăm Túi vàng đến ngày 14/02/2025 </t>
      </text>
    </comment>
    <comment ref="F4" authorId="5" shapeId="0">
      <text>
        <t>chit trang:
27.790</t>
      </text>
    </comment>
    <comment ref="G4" authorId="4" shapeId="0">
      <text>
        <t>Tran Dat:
27790</t>
      </text>
    </comment>
    <comment ref="B5" authorId="0" shapeId="0">
      <text>
        <t>was 33890</t>
      </text>
    </comment>
    <comment ref="C5" authorId="0" shapeId="0">
      <text>
        <t>W13 33890</t>
      </text>
    </comment>
    <comment ref="D5" authorId="1" shapeId="0">
      <text>
        <t>Việt Hoàng:
Last week:
33.390.000</t>
      </text>
    </comment>
    <comment ref="E5" authorId="2" shapeId="0">
      <text>
        <t xml:space="preserve">Last week is: 32.990K
 Tết vui khui Túi vàng Cơ hội trúng hàng trăm Túi vàng đến ngày 14/02/2025 </t>
      </text>
    </comment>
    <comment ref="F5" authorId="5" shapeId="0">
      <text>
        <t>chit trang:
33.090k</t>
      </text>
    </comment>
    <comment ref="G5" authorId="4" shapeId="0">
      <text>
        <t>Tran Dat:
32.990</t>
      </text>
    </comment>
    <comment ref="B6" authorId="0" shapeId="0">
      <text>
        <t>was 19690000</t>
      </text>
    </comment>
    <comment ref="C6" authorId="0" shapeId="0">
      <text>
        <t>W13 19690000</t>
      </text>
    </comment>
    <comment ref="D6" authorId="1" shapeId="0">
      <text>
        <t>Việt Hoàng:
Last week:
19.390.00</t>
      </text>
    </comment>
    <comment ref="E6" authorId="2" shapeId="0">
      <text>
        <t xml:space="preserve">Last week is: 19.490K
 Tết vui khui Túi vàng Cơ hội trúng hàng trăm Túi vàng đến ngày 14/02/2025 </t>
      </text>
    </comment>
    <comment ref="F6" authorId="5" shapeId="0">
      <text>
        <t>chit trang:
19.390k</t>
      </text>
    </comment>
    <comment ref="G6" authorId="4" shapeId="0">
      <text>
        <t>Tran Dat:
18990</t>
      </text>
    </comment>
    <comment ref="B7" authorId="0" shapeId="0">
      <text>
        <t>was 22590</t>
      </text>
    </comment>
    <comment ref="C7" authorId="0" shapeId="0">
      <text>
        <t>W13 22590</t>
      </text>
    </comment>
    <comment ref="E7" authorId="2" shapeId="0">
      <text>
        <t xml:space="preserve">Last week is: 22.990K
Giảm ngay 200,000đ cho khách hàng mua gói cước 3V200B </t>
      </text>
    </comment>
    <comment ref="F7" authorId="5" shapeId="0">
      <text>
        <t>chit trang:
22.390k</t>
      </text>
    </comment>
    <comment ref="G7" authorId="4" shapeId="0">
      <text>
        <t>Tran Dat:
22.190</t>
      </text>
    </comment>
    <comment ref="C9" authorId="6" shapeId="0">
      <text>
        <t>W13 29290</t>
      </text>
    </comment>
    <comment ref="E9" authorId="2" shapeId="0">
      <text>
        <t xml:space="preserve">Last week was: 28.490.000
</t>
      </text>
    </comment>
    <comment ref="F9" authorId="5" shapeId="0">
      <text>
        <t>chit trang:
28.490k</t>
      </text>
    </comment>
    <comment ref="B10" authorId="0" shapeId="0">
      <text>
        <t>was 19690</t>
      </text>
    </comment>
    <comment ref="C10" authorId="0" shapeId="0">
      <text>
        <t>W13 19690</t>
      </text>
    </comment>
    <comment ref="E10" authorId="2" shapeId="0">
      <text>
        <t xml:space="preserve">Last week was: 19.690K
Chỉ còn màu Purple, Blue, White số lượng ít
</t>
      </text>
    </comment>
    <comment ref="G10" authorId="4" shapeId="0">
      <text>
        <t>Tran Dat:
19990</t>
      </text>
    </comment>
    <comment ref="B11" authorId="0" shapeId="0">
      <text>
        <t>was 16990</t>
      </text>
    </comment>
    <comment ref="C11" authorId="0" shapeId="0">
      <text>
        <t>W13 16990</t>
      </text>
    </comment>
    <comment ref="D11" authorId="1" shapeId="0">
      <text>
        <t>Việt Hoàng:
Last week:
16.990.000</t>
      </text>
    </comment>
    <comment ref="F11" authorId="5" shapeId="0">
      <text>
        <t>chit trang:
16.850k</t>
      </text>
    </comment>
    <comment ref="G11" authorId="4" shapeId="0">
      <text>
        <t>Tran Dat:
17090000</t>
      </text>
    </comment>
    <comment ref="B12" authorId="0" shapeId="0">
      <text>
        <t>was 13490000</t>
      </text>
    </comment>
    <comment ref="C12" authorId="0" shapeId="0">
      <text>
        <t>W13 13490000</t>
      </text>
    </comment>
    <comment ref="E12" authorId="2" shapeId="0">
      <text>
        <t xml:space="preserve">
- Tết vui khui Túi vàng Cơ hội trúng hàng trăm Túi vàng đến ngày 14/02/2025 
- Giảm 700K cho màu Đen và Starlight (trừ vào giá)
</t>
      </text>
    </comment>
    <comment ref="F12" authorId="5" shapeId="0">
      <text>
        <t>chit trang:
13.390</t>
      </text>
    </comment>
    <comment ref="G12" authorId="4" shapeId="0">
      <text>
        <t>Tran Dat:
12990</t>
      </text>
    </comment>
    <comment ref="E13" authorId="3" shapeId="0">
      <text>
        <t>Last week was: 10.990K</t>
      </text>
    </comment>
    <comment ref="F13" authorId="5" shapeId="0">
      <text>
        <t>chit trang:
10.890</t>
      </text>
    </comment>
    <comment ref="E14" authorId="2" shapeId="0">
      <text>
        <t xml:space="preserve">Giảm 200K khi mua Online (đã trừ vào giá)
Trợ giá 4G giảm 300K đã trừ vào giá
</t>
      </text>
    </comment>
    <comment ref="B15" authorId="0" shapeId="0">
      <text>
        <t>was 13990000
SV -400</t>
      </text>
    </comment>
    <comment ref="E15" authorId="0" shapeId="0">
      <text>
        <t>Last week was: 13.850K</t>
      </text>
    </comment>
    <comment ref="F15" authorId="5" shapeId="0">
      <text>
        <t>chit trang:
13.990k</t>
      </text>
    </comment>
    <comment ref="B16" authorId="0" shapeId="0">
      <text>
        <t>was 8590</t>
      </text>
    </comment>
    <comment ref="C16" authorId="0" shapeId="0">
      <text>
        <t>W13 8590</t>
      </text>
    </comment>
    <comment ref="D16" authorId="1" shapeId="0">
      <text>
        <t>Việt Hoàng:
Last week:
8.690.000</t>
      </text>
    </comment>
    <comment ref="E16" authorId="2" shapeId="0">
      <text>
        <t xml:space="preserve">Last week is: 8.690K
</t>
      </text>
    </comment>
    <comment ref="F16" authorId="5" shapeId="0">
      <text>
        <t>chit trang:
8.690k</t>
      </text>
    </comment>
    <comment ref="G16" authorId="4" shapeId="0">
      <text>
        <t>Tran Dat:
8590000</t>
      </text>
    </comment>
    <comment ref="E17" authorId="2" shapeId="0">
      <text>
        <t>Giảm 10% tối đa 120K khi mở ví VNPAY</t>
      </text>
    </comment>
    <comment ref="F17" authorId="5" shapeId="0">
      <text>
        <t>chit trang:
7.050k</t>
      </text>
    </comment>
    <comment ref="G17" authorId="4" shapeId="0">
      <text>
        <t>Tran Dat:
6990</t>
      </text>
    </comment>
    <comment ref="B18" authorId="0" shapeId="0">
      <text>
        <t>was 14890</t>
      </text>
    </comment>
    <comment ref="C18" authorId="0" shapeId="0">
      <text>
        <t>W13 14890</t>
      </text>
    </comment>
    <comment ref="D18" authorId="1" shapeId="0">
      <text>
        <t>Việt Hoàng:
Last week:
14.890.000</t>
      </text>
    </comment>
    <comment ref="E18" authorId="2" shapeId="0">
      <text>
        <t xml:space="preserve">Last week was: 14.340K
</t>
      </text>
    </comment>
    <comment ref="F18" authorId="5" shapeId="0">
      <text>
        <t>chit trang:
14.990k</t>
      </text>
    </comment>
    <comment ref="G18" authorId="4" shapeId="0">
      <text>
        <t>Tran Dat:
14190</t>
      </text>
    </comment>
    <comment ref="B19" authorId="0" shapeId="0">
      <text>
        <t>was 20590</t>
      </text>
    </comment>
    <comment ref="C19" authorId="0" shapeId="0">
      <text>
        <t>W13 20590</t>
      </text>
    </comment>
    <comment ref="D19" authorId="1" shapeId="0">
      <text>
        <t>Việt Hoàng:
Last week:
20.690.000</t>
      </text>
    </comment>
    <comment ref="E19" authorId="2" shapeId="0">
      <text>
        <t xml:space="preserve">Last week is: 21.275K
</t>
      </text>
    </comment>
    <comment ref="F19" authorId="5" shapeId="0">
      <text>
        <t>chit trang:
20.590k</t>
      </text>
    </comment>
    <comment ref="G19" authorId="4" shapeId="0">
      <text>
        <t>Tran Dat:
20390</t>
      </text>
    </comment>
    <comment ref="E20" authorId="2" shapeId="0">
      <text>
        <t xml:space="preserve">Last week is: 26.918K
</t>
      </text>
    </comment>
    <comment ref="E21" authorId="2" shapeId="0">
      <text>
        <t xml:space="preserve">Last week was: 36.790K
Nhập mã ZLP500 giảm ngay 500.000đ cho đơn hàng tối thiểu từ 20 triệu trở lên qua Zalopay (Yêu cầu thanh toán 100% giá trị đơn hàng) 
</t>
      </text>
    </comment>
    <comment ref="F21" authorId="5" shapeId="0">
      <text>
        <t>chit trang:
36.990k</t>
      </text>
    </comment>
    <comment ref="B22" authorId="0" shapeId="0">
      <text>
        <t>was 5690</t>
      </text>
    </comment>
    <comment ref="C22" authorId="0" shapeId="0">
      <text>
        <t>W13 5690</t>
      </text>
    </comment>
    <comment ref="E22" authorId="2" shapeId="0">
      <text>
        <t xml:space="preserve">Tặng voucher giảm giá 100,000đ cho khách hàng đổi điểm trên ứng dụng Btaskee </t>
      </text>
    </comment>
    <comment ref="B23" authorId="0" shapeId="0">
      <text>
        <t>was 6990</t>
      </text>
    </comment>
    <comment ref="C23" authorId="0" shapeId="0">
      <text>
        <t>W13 6990</t>
      </text>
    </comment>
    <comment ref="E23" authorId="2" shapeId="0">
      <text>
        <t xml:space="preserve">  Tặng voucher giảm giá 100,000đ cho khách hàng đổi điểm trên ứng dụng Btaskee </t>
      </text>
    </comment>
    <comment ref="G23" authorId="4" shapeId="0">
      <text>
        <t>Tran Dat:
7290000</t>
      </text>
    </comment>
    <comment ref="B24" authorId="0" shapeId="0">
      <text>
        <t>was 6490</t>
      </text>
    </comment>
    <comment ref="C24" authorId="0" shapeId="0">
      <text>
        <t>W13 6490</t>
      </text>
    </comment>
    <comment ref="E24" authorId="2" shapeId="0">
      <text>
        <t xml:space="preserve">Tặng voucher giảm giá 100,000đ cho khách hàng đổi điểm trên ứng dụng Btaskee </t>
      </text>
    </comment>
    <comment ref="F24" authorId="5" shapeId="0">
      <text>
        <t>chit trang:
6.490k</t>
      </text>
    </comment>
    <comment ref="B25" authorId="0" shapeId="0">
      <text>
        <t>was 7790</t>
      </text>
    </comment>
    <comment ref="C25" authorId="0" shapeId="0">
      <text>
        <t>W13 7790</t>
      </text>
    </comment>
    <comment ref="E25" authorId="2" shapeId="0">
      <text>
        <t xml:space="preserve">Tặng voucher giảm giá 100,000đ cho khách hàng đổi điểm trên ứng dụng Btaskee </t>
      </text>
    </comment>
    <comment ref="E26" authorId="3" shapeId="0">
      <text>
        <t>Last week was: 10.490K</t>
      </text>
    </comment>
    <comment ref="F26" authorId="5" shapeId="0">
      <text>
        <t>chit trang:
10.790k</t>
      </text>
    </comment>
    <comment ref="F27" authorId="5" shapeId="0">
      <text>
        <t>chit trang:
13.590k</t>
      </text>
    </comment>
    <comment ref="E30" authorId="2" shapeId="0">
      <text>
        <t xml:space="preserve">Last week was: 21.690K
</t>
      </text>
    </comment>
    <comment ref="D31" authorId="1" shapeId="0">
      <text>
        <t>Việt Hoàng:
Last week:
5.590.000</t>
      </text>
    </comment>
    <comment ref="E31" authorId="2" shapeId="0">
      <text>
        <t xml:space="preserve">Last week was: 5.290K
</t>
      </text>
    </comment>
    <comment ref="F31" authorId="5" shapeId="0">
      <text>
        <t>chit trang:
5.690k</t>
      </text>
    </comment>
    <comment ref="B32" authorId="0" shapeId="0">
      <text>
        <t>was 4590000</t>
      </text>
    </comment>
    <comment ref="C32" authorId="0" shapeId="0">
      <text>
        <t>W13 4590000</t>
      </text>
    </comment>
    <comment ref="D32" authorId="1" shapeId="0">
      <text>
        <t>Việt Hoàng:
Last week:
4.590.000</t>
      </text>
    </comment>
    <comment ref="E32" authorId="2" shapeId="0">
      <text>
        <t>Last week was: 4.790K
Voucher giảm 1% tối đa 300K VNPAY</t>
      </text>
    </comment>
    <comment ref="E33" authorId="0" shapeId="0">
      <text>
        <t>was 3490000</t>
      </text>
    </comment>
    <comment ref="B34" authorId="0" shapeId="0">
      <text>
        <t>was 3790</t>
      </text>
    </comment>
    <comment ref="C34" authorId="0" shapeId="0">
      <text>
        <t>W13 3790</t>
      </text>
    </comment>
    <comment ref="D34" authorId="1" shapeId="0">
      <text>
        <t>Việt Hoàng:
Last week:
3.590.000</t>
      </text>
    </comment>
    <comment ref="E34" authorId="2" shapeId="0">
      <text>
        <t>Last week was: 3.890K</t>
      </text>
    </comment>
    <comment ref="B35" authorId="0" shapeId="0">
      <text>
        <t>was 17990
HSSV - 300</t>
      </text>
    </comment>
    <comment ref="D35" authorId="1" shapeId="0">
      <text>
        <t>Việt Hoàng:
Last week:
17.990.000</t>
      </text>
    </comment>
    <comment ref="F35" authorId="5" shapeId="0">
      <text>
        <t>chit trang:
18.090k</t>
      </text>
    </comment>
    <comment ref="G35" authorId="4" shapeId="0">
      <text>
        <t>Tran Dat:
17490000</t>
      </text>
    </comment>
    <comment ref="B36" authorId="0" shapeId="0">
      <text>
        <t>was 24290
HSSV - 300</t>
      </text>
    </comment>
    <comment ref="D36" authorId="1" shapeId="0">
      <text>
        <t>Việt Hoàng:
Last week:
24.190.000</t>
      </text>
    </comment>
    <comment ref="B37" authorId="0" shapeId="0">
      <text>
        <t>was 27490
HSSV - 300</t>
      </text>
    </comment>
    <comment ref="D37" authorId="1" shapeId="0">
      <text>
        <t>Việt Hoàng:
Last week:
27.290.000</t>
      </text>
    </comment>
    <comment ref="F37" authorId="5" shapeId="0">
      <text>
        <t>chit trang:
27.390k</t>
      </text>
    </comment>
    <comment ref="G37" authorId="4" shapeId="0">
      <text>
        <t>Tran Dat:
27190000</t>
      </text>
    </comment>
    <comment ref="B38" authorId="0" shapeId="0">
      <text>
        <t>was 32490
HSSV - 500</t>
      </text>
    </comment>
    <comment ref="F38" authorId="5" shapeId="0">
      <text>
        <t>chit trang:
32.990k</t>
      </text>
    </comment>
  </commentList>
</comments>
</file>

<file path=xl/comments/comment39.xml><?xml version="1.0" encoding="utf-8"?>
<comments xmlns="http://schemas.openxmlformats.org/spreadsheetml/2006/main">
  <authors>
    <author>Microsoft Office User</author>
    <author>Việt Hoàng</author>
    <author>Sheva Son</author>
    <author>Người dùng Khách</author>
    <author>Tran Dat</author>
    <author>chit trang</author>
  </authors>
  <commentList>
    <comment ref="B2" authorId="0" shapeId="0">
      <text>
        <t>was 21490
VNP150</t>
      </text>
    </comment>
    <comment ref="C2" authorId="0" shapeId="0">
      <text>
        <t xml:space="preserve">
W1 21.490
</t>
      </text>
    </comment>
    <comment ref="D2" authorId="1" shapeId="0">
      <text>
        <t>Việt Hoàng:
Last week:
21.490.000</t>
      </text>
    </comment>
    <comment ref="E2" authorId="2" shapeId="0">
      <text>
        <t xml:space="preserve">Last week is: 21.990K
 Tết vui khui Túi vàng Cơ hội trúng hàng trăm Túi vàng đến ngày 14/02/2025 </t>
      </text>
    </comment>
    <comment ref="F2" authorId="3" shapeId="0">
      <text>
        <t>Người dùng Không xác định:
21.490.000</t>
      </text>
    </comment>
    <comment ref="G2" authorId="4" shapeId="0">
      <text>
        <t>Tran Dat:
21.490.000</t>
      </text>
    </comment>
    <comment ref="B3" authorId="0" shapeId="0">
      <text>
        <t>was 24990000
VNP150</t>
      </text>
    </comment>
    <comment ref="C3" authorId="0" shapeId="0">
      <text>
        <t xml:space="preserve">W1 24.990
</t>
      </text>
    </comment>
    <comment ref="D3" authorId="1" shapeId="0">
      <text>
        <t>Việt Hoàng:
Last week:
24.990.000</t>
      </text>
    </comment>
    <comment ref="E3" authorId="2" shapeId="0">
      <text>
        <t xml:space="preserve">Last week is: 24.990K
 Tết vui khui Túi vàng Cơ hội trúng hàng trăm Túi vàng đến ngày 14/02/2025 
</t>
      </text>
    </comment>
    <comment ref="F3" authorId="5" shapeId="0">
      <text>
        <t>chit trang:
24.990k</t>
      </text>
    </comment>
    <comment ref="G3" authorId="4" shapeId="0">
      <text>
        <t>Tran Dat:
24.990</t>
      </text>
    </comment>
    <comment ref="B4" authorId="0" shapeId="0">
      <text>
        <t>was 27490
VNP150</t>
      </text>
    </comment>
    <comment ref="C4" authorId="0" shapeId="0">
      <text>
        <t xml:space="preserve">W1 27.490
</t>
      </text>
    </comment>
    <comment ref="D4" authorId="1" shapeId="0">
      <text>
        <t>Việt Hoàng:
Last week:
27.490.000</t>
      </text>
    </comment>
    <comment ref="E4" authorId="0" shapeId="0">
      <text>
        <t xml:space="preserve">Last week was: 28.190K
 Tết vui khui Túi vàng Cơ hội trúng hàng trăm Túi vàng đến ngày 14/02/2025 </t>
      </text>
    </comment>
    <comment ref="F4" authorId="5" shapeId="0">
      <text>
        <t>chit trang:
27.490</t>
      </text>
    </comment>
    <comment ref="G4" authorId="4" shapeId="0">
      <text>
        <t>Tran Dat:
26590</t>
      </text>
    </comment>
    <comment ref="B5" authorId="0" shapeId="0">
      <text>
        <t>was 33790
VNP150</t>
      </text>
    </comment>
    <comment ref="C5" authorId="0" shapeId="0">
      <text>
        <t xml:space="preserve">W1 33.790
</t>
      </text>
    </comment>
    <comment ref="D5" authorId="1" shapeId="0">
      <text>
        <t>Việt Hoàng:
Last week:
33.290.000</t>
      </text>
    </comment>
    <comment ref="E5" authorId="2" shapeId="0">
      <text>
        <t xml:space="preserve">Last week is: 32.990K
 Tết vui khui Túi vàng Cơ hội trúng hàng trăm Túi vàng đến ngày 14/02/2025 </t>
      </text>
    </comment>
    <comment ref="F5" authorId="5" shapeId="0">
      <text>
        <t>chit trang:
33.290k</t>
      </text>
    </comment>
    <comment ref="G5" authorId="4" shapeId="0">
      <text>
        <t>Tran Dat:
32.490</t>
      </text>
    </comment>
    <comment ref="B6" authorId="0" shapeId="0">
      <text>
        <t>was 18990
VNP150</t>
      </text>
    </comment>
    <comment ref="C6" authorId="0" shapeId="0">
      <text>
        <t>W1 18.990</t>
      </text>
    </comment>
    <comment ref="E6" authorId="2" shapeId="0">
      <text>
        <t xml:space="preserve">Last week is: 19.490K
 Tết vui khui Túi vàng Cơ hội trúng hàng trăm Túi vàng đến ngày 14/02/2025 </t>
      </text>
    </comment>
    <comment ref="F6" authorId="5" shapeId="0">
      <text>
        <t>chit trang:
19.390k</t>
      </text>
    </comment>
    <comment ref="G6" authorId="4" shapeId="0">
      <text>
        <t>Tran Dat:
18490</t>
      </text>
    </comment>
    <comment ref="B7" authorId="0" shapeId="0">
      <text>
        <t>was 22690
VNP150</t>
      </text>
    </comment>
    <comment ref="C7" authorId="0" shapeId="0">
      <text>
        <t>W1 22.690</t>
      </text>
    </comment>
    <comment ref="E7" authorId="2" shapeId="0">
      <text>
        <t xml:space="preserve">Last week is: 22.990K
Giảm ngay 200,000đ cho khách hàng mua gói cước 3V200B </t>
      </text>
    </comment>
    <comment ref="F7" authorId="5" shapeId="0">
      <text>
        <t>chit trang:
22.790k</t>
      </text>
    </comment>
    <comment ref="G7" authorId="4" shapeId="0">
      <text>
        <t>Tran Dat:
22.190</t>
      </text>
    </comment>
    <comment ref="B9" authorId="0" shapeId="0">
      <text>
        <t>was 29290000
VNP150</t>
      </text>
    </comment>
    <comment ref="C9" authorId="0" shapeId="0">
      <text>
        <t>W1 29.290</t>
      </text>
    </comment>
    <comment ref="E9" authorId="2" shapeId="0">
      <text>
        <t xml:space="preserve">Last week was: 28.490.000
</t>
      </text>
    </comment>
    <comment ref="F9" authorId="5" shapeId="0">
      <text>
        <t>chit trang:
28.490k</t>
      </text>
    </comment>
    <comment ref="B10" authorId="0" shapeId="0">
      <text>
        <t>was 18590000
VNP150</t>
      </text>
    </comment>
    <comment ref="C10" authorId="0" shapeId="0">
      <text>
        <t>W1 18.590</t>
      </text>
    </comment>
    <comment ref="E10" authorId="2" shapeId="0">
      <text>
        <t xml:space="preserve">Last week was: 19.690K
Chỉ còn màu Purple, Blue, White số lượng ít
</t>
      </text>
    </comment>
    <comment ref="B11" authorId="0" shapeId="0">
      <text>
        <t>was 15890
VNP100</t>
      </text>
    </comment>
    <comment ref="C11" authorId="0" shapeId="0">
      <text>
        <t xml:space="preserve">W1 15.890
</t>
      </text>
    </comment>
    <comment ref="F11" authorId="5" shapeId="0">
      <text>
        <t>chit trang:
15.990k</t>
      </text>
    </comment>
    <comment ref="B12" authorId="0" shapeId="0">
      <text>
        <t>was 13290000
VNP100</t>
      </text>
    </comment>
    <comment ref="C12" authorId="0" shapeId="0">
      <text>
        <t>W1 13.290</t>
      </text>
    </comment>
    <comment ref="D12" authorId="1" shapeId="0">
      <text>
        <t>Việt Hoàng:
Last week:
13.590.000</t>
      </text>
    </comment>
    <comment ref="E12" authorId="2" shapeId="0">
      <text>
        <t xml:space="preserve">
- Tết vui khui Túi vàng Cơ hội trúng hàng trăm Túi vàng đến ngày 14/02/2025 
- Giảm 700K cho màu Đen và Starlight (trừ vào giá)
</t>
      </text>
    </comment>
    <comment ref="F12" authorId="5" shapeId="0">
      <text>
        <t>chit trang:
13.390</t>
      </text>
    </comment>
    <comment ref="B13" authorId="0" shapeId="0">
      <text>
        <t>was 11990
VNP100</t>
      </text>
    </comment>
    <comment ref="E13" authorId="3" shapeId="0">
      <text>
        <t>Last week was: 10.990K</t>
      </text>
    </comment>
    <comment ref="F13" authorId="5" shapeId="0">
      <text>
        <t>chit trang:
10.890</t>
      </text>
    </comment>
    <comment ref="B14" authorId="0" shapeId="0">
      <text>
        <t>was 8890
VNP50</t>
      </text>
    </comment>
    <comment ref="C14" authorId="0" shapeId="0">
      <text>
        <t xml:space="preserve">W1 8.890
</t>
      </text>
    </comment>
    <comment ref="E14" authorId="2" shapeId="0">
      <text>
        <t xml:space="preserve">Giảm 200K khi mua Online (đã trừ vào giá)
Trợ giá 4G giảm 300K đã trừ vào giá
</t>
      </text>
    </comment>
    <comment ref="B15" authorId="0" shapeId="0">
      <text>
        <t>was 13990000
SV -400
VNP100</t>
      </text>
    </comment>
    <comment ref="C15" authorId="0" shapeId="0">
      <text>
        <t>W1 13.990</t>
      </text>
    </comment>
    <comment ref="E15" authorId="0" shapeId="0">
      <text>
        <t>Last week was: 13.850K</t>
      </text>
    </comment>
    <comment ref="B16" authorId="0" shapeId="0">
      <text>
        <t>was 9490
VNP40</t>
      </text>
    </comment>
    <comment ref="C16" authorId="0" shapeId="0">
      <text>
        <t xml:space="preserve">W1 9.490
</t>
      </text>
    </comment>
    <comment ref="D16" authorId="1" shapeId="0">
      <text>
        <t>Việt Hoàng:
Last week:
9.490.000</t>
      </text>
    </comment>
    <comment ref="E16" authorId="2" shapeId="0">
      <text>
        <t xml:space="preserve">Last week is: 8.690K
</t>
      </text>
    </comment>
    <comment ref="F16" authorId="5" shapeId="0">
      <text>
        <t>chit trang:
9.490k</t>
      </text>
    </comment>
    <comment ref="G16" authorId="4" shapeId="0">
      <text>
        <t xml:space="preserve">9190
</t>
      </text>
    </comment>
    <comment ref="B17" authorId="0" shapeId="0">
      <text>
        <t>was 6990
VNP40</t>
      </text>
    </comment>
    <comment ref="C17" authorId="0" shapeId="0">
      <text>
        <t xml:space="preserve">W1 6.990
</t>
      </text>
    </comment>
    <comment ref="E17" authorId="2" shapeId="0">
      <text>
        <t>Giảm 10% tối đa 120K khi mở ví VNPAY</t>
      </text>
    </comment>
    <comment ref="F17" authorId="5" shapeId="0">
      <text>
        <t>chit trang:6.090</t>
      </text>
    </comment>
    <comment ref="G17" authorId="4" shapeId="0">
      <text>
        <t>Tran Dat:
6990</t>
      </text>
    </comment>
    <comment ref="B18" authorId="0" shapeId="0">
      <text>
        <t>was 16190
VNP100</t>
      </text>
    </comment>
    <comment ref="C18" authorId="0" shapeId="0">
      <text>
        <t xml:space="preserve">W1 16.190
</t>
      </text>
    </comment>
    <comment ref="D18" authorId="1" shapeId="0">
      <text>
        <t>Việt Hoàng:
Last week:
16.390.000</t>
      </text>
    </comment>
    <comment ref="E18" authorId="2" shapeId="0">
      <text>
        <t xml:space="preserve">Last week was: 14.340K
</t>
      </text>
    </comment>
    <comment ref="F18" authorId="5" shapeId="0">
      <text>
        <t>chit trang:
16.190k</t>
      </text>
    </comment>
    <comment ref="G18" authorId="4" shapeId="0">
      <text>
        <t>Tran Dat:
16090</t>
      </text>
    </comment>
    <comment ref="B19" authorId="0" shapeId="0">
      <text>
        <t>was 21490000
- 400 HSSV
VNP150</t>
      </text>
    </comment>
    <comment ref="C19" authorId="0" shapeId="0">
      <text>
        <t>W1 21.490</t>
      </text>
    </comment>
    <comment ref="D19" authorId="1" shapeId="0">
      <text>
        <t>Việt Hoàng:
Last week:
21.490.000</t>
      </text>
    </comment>
    <comment ref="E19" authorId="2" shapeId="0">
      <text>
        <t xml:space="preserve">Last week is: 21.275K
</t>
      </text>
    </comment>
    <comment ref="F19" authorId="5" shapeId="0">
      <text>
        <t>chit trang:
21.490k</t>
      </text>
    </comment>
    <comment ref="G19" authorId="4" shapeId="0">
      <text>
        <t>Tran Dat:
21090000</t>
      </text>
    </comment>
    <comment ref="B20" authorId="0" shapeId="0">
      <text>
        <t>was 27490
-500 HSSV
VNP150</t>
      </text>
    </comment>
    <comment ref="C20" authorId="0" shapeId="0">
      <text>
        <t xml:space="preserve">W1 27.490
</t>
      </text>
    </comment>
    <comment ref="E20" authorId="2" shapeId="0">
      <text>
        <t xml:space="preserve">Last week is: 26.918K
</t>
      </text>
    </comment>
    <comment ref="B21" authorId="0" shapeId="0">
      <text>
        <t>was 367900
VNP150</t>
      </text>
    </comment>
    <comment ref="C21" authorId="0" shapeId="0">
      <text>
        <t>W1 36.790</t>
      </text>
    </comment>
    <comment ref="E21" authorId="2" shapeId="0">
      <text>
        <t xml:space="preserve">Last week was: 36.790K
Nhập mã ZLP500 giảm ngay 500.000đ cho đơn hàng tối thiểu từ 20 triệu trở lên qua Zalopay (Yêu cầu thanh toán 100% giá trị đơn hàng) 
</t>
      </text>
    </comment>
    <comment ref="F21" authorId="5" shapeId="0">
      <text>
        <t>chit trang:
36.990k</t>
      </text>
    </comment>
    <comment ref="B22" authorId="0" shapeId="0">
      <text>
        <t>was 5790
VNP40</t>
      </text>
    </comment>
    <comment ref="C22" authorId="0" shapeId="0">
      <text>
        <t xml:space="preserve">W1 5.790
</t>
      </text>
    </comment>
    <comment ref="E22" authorId="2" shapeId="0">
      <text>
        <t xml:space="preserve">Tặng voucher giảm giá 100,000đ cho khách hàng đổi điểm trên ứng dụng Btaskee </t>
      </text>
    </comment>
    <comment ref="B23" authorId="0" shapeId="0">
      <text>
        <t>was 7090
VNP40</t>
      </text>
    </comment>
    <comment ref="C23" authorId="0" shapeId="0">
      <text>
        <t>W1 7.090</t>
      </text>
    </comment>
    <comment ref="E23" authorId="2" shapeId="0">
      <text>
        <t xml:space="preserve">  Tặng voucher giảm giá 100,000đ cho khách hàng đổi điểm trên ứng dụng Btaskee </t>
      </text>
    </comment>
    <comment ref="G23" authorId="4" shapeId="0">
      <text>
        <t>Tran Dat:
7290000</t>
      </text>
    </comment>
    <comment ref="B24" authorId="0" shapeId="0">
      <text>
        <t>was 6590
VNP40</t>
      </text>
    </comment>
    <comment ref="C24" authorId="0" shapeId="0">
      <text>
        <t xml:space="preserve">W1 6.590
</t>
      </text>
    </comment>
    <comment ref="E24" authorId="2" shapeId="0">
      <text>
        <t xml:space="preserve">Tặng voucher giảm giá 100,000đ cho khách hàng đổi điểm trên ứng dụng Btaskee </t>
      </text>
    </comment>
    <comment ref="F24" authorId="5" shapeId="0">
      <text>
        <t>chit trang:
6.490k</t>
      </text>
    </comment>
    <comment ref="B25" authorId="0" shapeId="0">
      <text>
        <t>was 7890
VNP40</t>
      </text>
    </comment>
    <comment ref="C25" authorId="0" shapeId="0">
      <text>
        <t xml:space="preserve">W1 7.890
</t>
      </text>
    </comment>
    <comment ref="E25" authorId="2" shapeId="0">
      <text>
        <t xml:space="preserve">Tặng voucher giảm giá 100,000đ cho khách hàng đổi điểm trên ứng dụng Btaskee </t>
      </text>
    </comment>
    <comment ref="B26" authorId="0" shapeId="0">
      <text>
        <t>was 10790
VNP100</t>
      </text>
    </comment>
    <comment ref="C26" authorId="0" shapeId="0">
      <text>
        <t xml:space="preserve">W1 10.790
</t>
      </text>
    </comment>
    <comment ref="E26" authorId="3" shapeId="0">
      <text>
        <t>Last week was: 10.490K</t>
      </text>
    </comment>
    <comment ref="F26" authorId="5" shapeId="0">
      <text>
        <t>chit trang:
10.890k</t>
      </text>
    </comment>
    <comment ref="B27" authorId="0" shapeId="0">
      <text>
        <t>was 13390
VNP100</t>
      </text>
    </comment>
    <comment ref="C27" authorId="0" shapeId="0">
      <text>
        <t xml:space="preserve">W1 13.390
</t>
      </text>
    </comment>
    <comment ref="G27" authorId="4" shapeId="0">
      <text>
        <t>Tran Dat:
13590000</t>
      </text>
    </comment>
    <comment ref="B28" authorId="0" shapeId="0">
      <text>
        <t>was 11590
VNP100</t>
      </text>
    </comment>
    <comment ref="C28" authorId="0" shapeId="0">
      <text>
        <t xml:space="preserve">W1 11.590
</t>
      </text>
    </comment>
    <comment ref="G28" authorId="4" shapeId="0">
      <text>
        <t>Tran Dat:
11790</t>
      </text>
    </comment>
    <comment ref="B29" authorId="0" shapeId="0">
      <text>
        <t>was 14190
VNP100</t>
      </text>
    </comment>
    <comment ref="C29" authorId="0" shapeId="0">
      <text>
        <t xml:space="preserve">W1 14.190
</t>
      </text>
    </comment>
    <comment ref="G29" authorId="4" shapeId="0">
      <text>
        <t>Tran Dat:
14390</t>
      </text>
    </comment>
    <comment ref="B30" authorId="0" shapeId="0">
      <text>
        <t>was 22490
VNP150</t>
      </text>
    </comment>
    <comment ref="C30" authorId="0" shapeId="0">
      <text>
        <t xml:space="preserve">W1 22.490
</t>
      </text>
    </comment>
    <comment ref="E30" authorId="2" shapeId="0">
      <text>
        <t xml:space="preserve">Last week was: 21.690K
</t>
      </text>
    </comment>
    <comment ref="B31" authorId="0" shapeId="0">
      <text>
        <t>was 5590
VNP40</t>
      </text>
    </comment>
    <comment ref="C31" authorId="0" shapeId="0">
      <text>
        <t xml:space="preserve">W1 5.590
</t>
      </text>
    </comment>
    <comment ref="D31" authorId="1" shapeId="0">
      <text>
        <t>Việt Hoàng:
Last week:
5.790.000</t>
      </text>
    </comment>
    <comment ref="E31" authorId="2" shapeId="0">
      <text>
        <t xml:space="preserve">Last week was: 5.290K
</t>
      </text>
    </comment>
    <comment ref="F31" authorId="5" shapeId="0">
      <text>
        <t>chit trang:
5.790k</t>
      </text>
    </comment>
    <comment ref="B32" authorId="0" shapeId="0">
      <text>
        <t xml:space="preserve">was 4550000
</t>
      </text>
    </comment>
    <comment ref="C32" authorId="0" shapeId="0">
      <text>
        <t xml:space="preserve">W1 4.550
</t>
      </text>
    </comment>
    <comment ref="D32" authorId="1" shapeId="0">
      <text>
        <t>Việt Hoàng:
Last week:
4.550.000</t>
      </text>
    </comment>
    <comment ref="E32" authorId="2" shapeId="0">
      <text>
        <t>Last week was: 4.790K
Voucher giảm 1% tối đa 300K VNPAY</t>
      </text>
    </comment>
    <comment ref="B33" authorId="0" shapeId="0">
      <text>
        <t>was 3290</t>
      </text>
    </comment>
    <comment ref="C33" authorId="0" shapeId="0">
      <text>
        <t>W1 3.290</t>
      </text>
    </comment>
    <comment ref="D33" authorId="1" shapeId="0">
      <text>
        <t>Việt Hoàng:
Last week:
3.290.000</t>
      </text>
    </comment>
    <comment ref="E33" authorId="0" shapeId="0">
      <text>
        <t>was 3490000</t>
      </text>
    </comment>
    <comment ref="E34" authorId="2" shapeId="0">
      <text>
        <t>Last week was: 3.890K</t>
      </text>
    </comment>
    <comment ref="B35" authorId="0" shapeId="0">
      <text>
        <t>was 17990
HSSV -300
VNP100</t>
      </text>
    </comment>
    <comment ref="C35" authorId="0" shapeId="0">
      <text>
        <t xml:space="preserve">W1 17.990
</t>
      </text>
    </comment>
    <comment ref="B36" authorId="0" shapeId="0">
      <text>
        <t>was 24290
VNP150
HSSV-500</t>
      </text>
    </comment>
    <comment ref="C36" authorId="0" shapeId="0">
      <text>
        <t xml:space="preserve">W1 24.290
</t>
      </text>
    </comment>
    <comment ref="D36" authorId="1" shapeId="0">
      <text>
        <t>Việt Hoàng:
Last week:
24.390.000</t>
      </text>
    </comment>
    <comment ref="F36" authorId="5" shapeId="0">
      <text>
        <t>chit trang:
24.290k</t>
      </text>
    </comment>
    <comment ref="B37" authorId="0" shapeId="0">
      <text>
        <t>was 27490
HSSV -500
VNP150</t>
      </text>
    </comment>
    <comment ref="D37" authorId="1" shapeId="0">
      <text>
        <t>Việt Hoàng:
Last week:
27.490.000</t>
      </text>
    </comment>
    <comment ref="G37" authorId="4" shapeId="0">
      <text>
        <t>Tran Dat:
26990</t>
      </text>
    </comment>
    <comment ref="B38" authorId="0" shapeId="0">
      <text>
        <t>was 32490
HSSV - 500
VNP150</t>
      </text>
    </comment>
    <comment ref="F38" authorId="5" shapeId="0">
      <text>
        <t>chit trang:
32.990k</t>
      </text>
    </comment>
    <comment ref="B39" authorId="0" shapeId="0">
      <text>
        <t>was OOS</t>
      </text>
    </comment>
    <comment ref="F39" authorId="5" shapeId="0">
      <text>
        <t>chit trang:
38.590k</t>
      </text>
    </comment>
  </commentList>
</comments>
</file>

<file path=xl/comments/comment40.xml><?xml version="1.0" encoding="utf-8"?>
<comments xmlns="http://schemas.openxmlformats.org/spreadsheetml/2006/main">
  <authors>
    <author>Duy</author>
    <author>Sheva Son</author>
    <author>Người dùng Khách</author>
    <author>Tran Dat</author>
    <author>Microsoft Office User</author>
    <author>chit trang</author>
    <author>Việt Hoàng</author>
  </authors>
  <commentList>
    <comment ref="C2" authorId="0" shapeId="0">
      <text>
        <t>Duy:
W2 21.340</t>
      </text>
    </comment>
    <comment ref="E2" authorId="1" shapeId="0">
      <text>
        <t xml:space="preserve">Last week is: 21.990K
 Tết vui khui Túi vàng Cơ hội trúng hàng trăm Túi vàng đến ngày 14/02/2025 </t>
      </text>
    </comment>
    <comment ref="F2" authorId="2" shapeId="0">
      <text>
        <t>Người dùng Không xác định:
21.190.000</t>
      </text>
    </comment>
    <comment ref="G2" authorId="3" shapeId="0">
      <text>
        <t>Tran Dat:
20.790.000</t>
      </text>
    </comment>
    <comment ref="B3" authorId="4" shapeId="0">
      <text>
        <t>was 24640000
VNP150</t>
      </text>
    </comment>
    <comment ref="C3" authorId="4" shapeId="0">
      <text>
        <t>W2 24.640</t>
      </text>
    </comment>
    <comment ref="E3" authorId="1" shapeId="0">
      <text>
        <t>Last week is: 24.990K
 Tết vui khui Túi vàng Cơ hội trúng hàng trăm Túi vàng đến ngày 14/02/2025 
Giảm thêm 100K cho khách hàng checkin tại tiểu cảnh Tết Corner của shop</t>
      </text>
    </comment>
    <comment ref="C4" authorId="0" shapeId="0">
      <text>
        <t>W2 27.340</t>
      </text>
    </comment>
    <comment ref="E4" authorId="4" shapeId="0">
      <text>
        <t xml:space="preserve">Last week was: 28.190K
Checkin tại khu vực Tết được giảm 100K
</t>
      </text>
    </comment>
    <comment ref="B5" authorId="4" shapeId="0">
      <text>
        <t>was 32840
VNP150</t>
      </text>
    </comment>
    <comment ref="C5" authorId="4" shapeId="0">
      <text>
        <t>W2 32.840</t>
      </text>
    </comment>
    <comment ref="E5" authorId="1" shapeId="0">
      <text>
        <t xml:space="preserve">Last week is: 32.990K
 Tết vui khui Túi vàng Cơ hội trúng hàng trăm Túi vàng đến ngày 14/02/2025 </t>
      </text>
    </comment>
    <comment ref="F5" authorId="5" shapeId="0">
      <text>
        <t>chit trang:
3.790k</t>
      </text>
    </comment>
    <comment ref="G5" authorId="3" shapeId="0">
      <text>
        <t>Tran Dat:
32.690</t>
      </text>
    </comment>
    <comment ref="C6" authorId="0" shapeId="0">
      <text>
        <t>W2 18.740</t>
      </text>
    </comment>
    <comment ref="E6" authorId="1" shapeId="0">
      <text>
        <t xml:space="preserve">Last week is: 19.490K
 Tết vui khui Túi vàng Cơ hội trúng hàng trăm Túi vàng đến ngày 14/02/2025 </t>
      </text>
    </comment>
    <comment ref="F6" authorId="5" shapeId="0">
      <text>
        <t>chit trang:
18.890k</t>
      </text>
    </comment>
    <comment ref="C7" authorId="0" shapeId="0">
      <text>
        <t>W2 22.440</t>
      </text>
    </comment>
    <comment ref="E7" authorId="1" shapeId="0">
      <text>
        <t xml:space="preserve">Last week is: 22.990K
Giảm ngay 200,000đ cho khách hàng mua gói cước 3V200B </t>
      </text>
    </comment>
    <comment ref="F7" authorId="5" shapeId="0">
      <text>
        <t>chit trang:
22.590k</t>
      </text>
    </comment>
    <comment ref="G7" authorId="3" shapeId="0">
      <text>
        <t>Tran Dat:
21.790</t>
      </text>
    </comment>
    <comment ref="C9" authorId="0" shapeId="0">
      <text>
        <t>W2 29.140</t>
      </text>
    </comment>
    <comment ref="E9" authorId="1" shapeId="0">
      <text>
        <t xml:space="preserve">Last week was: 28.490.000
</t>
      </text>
    </comment>
    <comment ref="F9" authorId="5" shapeId="0">
      <text>
        <t>chit trang:
29.290k</t>
      </text>
    </comment>
    <comment ref="C10" authorId="0" shapeId="0">
      <text>
        <t>W2 18.440</t>
      </text>
    </comment>
    <comment ref="E10" authorId="1" shapeId="0">
      <text>
        <t xml:space="preserve">Last week was: 19.690K
Chỉ còn màu Purple, Blue, White số lượng ít
</t>
      </text>
    </comment>
    <comment ref="C11" authorId="0" shapeId="0">
      <text>
        <t>W2 15.790</t>
      </text>
    </comment>
    <comment ref="F11" authorId="5" shapeId="0">
      <text>
        <t>chit trang:
16.590k</t>
      </text>
    </comment>
    <comment ref="C12" authorId="0" shapeId="0">
      <text>
        <t>W2 13.190</t>
      </text>
    </comment>
    <comment ref="E12" authorId="1" shapeId="0">
      <text>
        <t xml:space="preserve">
- Tết vui khui Túi vàng Cơ hội trúng hàng trăm Túi vàng đến ngày 14/02/2025 
- Giảm 700K cho màu Đen và Starlight (trừ vào giá)
</t>
      </text>
    </comment>
    <comment ref="F12" authorId="5" shapeId="0">
      <text>
        <t>chit trang:
12.890k</t>
      </text>
    </comment>
    <comment ref="G12" authorId="3" shapeId="0">
      <text>
        <t>Tran Dat:
12790</t>
      </text>
    </comment>
    <comment ref="C13" authorId="0" shapeId="0">
      <text>
        <t>W2 11.490</t>
      </text>
    </comment>
    <comment ref="E13" authorId="2" shapeId="0">
      <text>
        <t>Last week was: 10.990K</t>
      </text>
    </comment>
    <comment ref="F13" authorId="5" shapeId="0">
      <text>
        <t>chit trang:
10.490k</t>
      </text>
    </comment>
    <comment ref="E14" authorId="1" shapeId="0">
      <text>
        <t xml:space="preserve">Giảm 200K khi mua Online (đã trừ vào giá)
Trợ giá 4G giảm 300K đã trừ vào giá
</t>
      </text>
    </comment>
    <comment ref="E15" authorId="4" shapeId="0">
      <text>
        <t>Last week was: 13.850K</t>
      </text>
    </comment>
    <comment ref="D16" authorId="6" shapeId="0">
      <text>
        <t>Việt Hoàng:
Last week:
8.890.000</t>
      </text>
    </comment>
    <comment ref="E16" authorId="1" shapeId="0">
      <text>
        <t xml:space="preserve">Last week is: 8.490K
</t>
      </text>
    </comment>
    <comment ref="B17" authorId="4" shapeId="0">
      <text>
        <t>was 7040
VNP40</t>
      </text>
    </comment>
    <comment ref="C17" authorId="4" shapeId="0">
      <text>
        <t>W2 7.040</t>
      </text>
    </comment>
    <comment ref="D17" authorId="6" shapeId="0">
      <text>
        <t>Việt Hoàng:
Last week:
7.050.000</t>
      </text>
    </comment>
    <comment ref="E17" authorId="1" shapeId="0">
      <text>
        <t>Last week was: 6.890k</t>
      </text>
    </comment>
    <comment ref="F17" authorId="5" shapeId="0">
      <text>
        <t>6.990k</t>
      </text>
    </comment>
    <comment ref="D18" authorId="6" shapeId="0">
      <text>
        <t>Việt Hoàng:
Last week:
14.790.000</t>
      </text>
    </comment>
    <comment ref="E18" authorId="1" shapeId="0">
      <text>
        <t xml:space="preserve">Last week was: 14.340K
</t>
      </text>
    </comment>
    <comment ref="G18" authorId="3" shapeId="0">
      <text>
        <t>Tran Dat:14.790</t>
      </text>
    </comment>
    <comment ref="E19" authorId="1" shapeId="0">
      <text>
        <t xml:space="preserve">Last week is: 21.275K
</t>
      </text>
    </comment>
    <comment ref="F19" authorId="5" shapeId="0">
      <text>
        <t>chit trang:
20.390k</t>
      </text>
    </comment>
    <comment ref="G19" authorId="3" shapeId="0">
      <text>
        <t>Tran Dat:
20190000</t>
      </text>
    </comment>
    <comment ref="E20" authorId="1" shapeId="0">
      <text>
        <t xml:space="preserve">Last week is: 26.918K
</t>
      </text>
    </comment>
    <comment ref="E21" authorId="1" shapeId="0">
      <text>
        <t xml:space="preserve">Last week was: 36.790K
Nhập mã ZLP500 giảm ngay 500.000đ cho đơn hàng tối thiểu từ 20 triệu trở lên qua Zalopay (Yêu cầu thanh toán 100% giá trị đơn hàng) 
</t>
      </text>
    </comment>
    <comment ref="F21" authorId="5" shapeId="0">
      <text>
        <t>chit trang:
36.590k</t>
      </text>
    </comment>
    <comment ref="B22" authorId="4" shapeId="0">
      <text>
        <t>was 5750
VNP40</t>
      </text>
    </comment>
    <comment ref="C22" authorId="4" shapeId="0">
      <text>
        <t>W2 5.750</t>
      </text>
    </comment>
    <comment ref="D22" authorId="6" shapeId="0">
      <text>
        <t>Việt Hoàng:
Last week:
5.790.000</t>
      </text>
    </comment>
    <comment ref="E22" authorId="1" shapeId="0">
      <text>
        <t xml:space="preserve">Last week was: 5.790K
Tặng voucher giảm giá 100,000đ cho khách hàng đổi điểm trên ứng dụng Btaskee </t>
      </text>
    </comment>
    <comment ref="B23" authorId="4" shapeId="0">
      <text>
        <t>was 7050
VNP40</t>
      </text>
    </comment>
    <comment ref="C23" authorId="4" shapeId="0">
      <text>
        <t>W2 7.050</t>
      </text>
    </comment>
    <comment ref="D23" authorId="6" shapeId="0">
      <text>
        <t>Việt Hoàng:
Last week:
7.090.000</t>
      </text>
    </comment>
    <comment ref="E23" authorId="1" shapeId="0">
      <text>
        <t xml:space="preserve">  Tặng voucher giảm giá 100,000đ cho khách hàng đổi điểm trên ứng dụng Btaskee </t>
      </text>
    </comment>
    <comment ref="F23" authorId="5" shapeId="0">
      <text>
        <t>chit trang:
7.190k</t>
      </text>
    </comment>
    <comment ref="B24" authorId="4" shapeId="0">
      <text>
        <t>was 6550
VNP40</t>
      </text>
    </comment>
    <comment ref="C24" authorId="4" shapeId="0">
      <text>
        <t xml:space="preserve">W2 6.550
</t>
      </text>
    </comment>
    <comment ref="D24" authorId="6" shapeId="0">
      <text>
        <t>Việt Hoàng:
Last week:
6.590.000</t>
      </text>
    </comment>
    <comment ref="E24" authorId="1" shapeId="0">
      <text>
        <t xml:space="preserve">Tặng voucher giảm giá 100,000đ cho khách hàng đổi điểm trên ứng dụng Btaskee </t>
      </text>
    </comment>
    <comment ref="F24" authorId="5" shapeId="0">
      <text>
        <t>chit trang:
6.690k</t>
      </text>
    </comment>
    <comment ref="B25" authorId="4" shapeId="0">
      <text>
        <t>was 7850
VNP40</t>
      </text>
    </comment>
    <comment ref="C25" authorId="4" shapeId="0">
      <text>
        <t xml:space="preserve">W2 7.850
</t>
      </text>
    </comment>
    <comment ref="D25" authorId="6" shapeId="0">
      <text>
        <t>Việt Hoàng:
Last week:
7.890.000</t>
      </text>
    </comment>
    <comment ref="E25" authorId="1" shapeId="0">
      <text>
        <t xml:space="preserve">Tặng voucher giảm giá 100,000đ cho khách hàng đổi điểm trên ứng dụng Btaskee </t>
      </text>
    </comment>
    <comment ref="B26" authorId="4" shapeId="0">
      <text>
        <t>was 10690
VNP100</t>
      </text>
    </comment>
    <comment ref="C26" authorId="4" shapeId="0">
      <text>
        <t xml:space="preserve">W2 10.690
</t>
      </text>
    </comment>
    <comment ref="D26" authorId="6" shapeId="0">
      <text>
        <t>Việt Hoàng:
Last week:
10.790.000</t>
      </text>
    </comment>
    <comment ref="E26" authorId="2" shapeId="0">
      <text>
        <t>Last week was: 10.490K</t>
      </text>
    </comment>
    <comment ref="F26" authorId="5" shapeId="0">
      <text>
        <t>chit trang:
10.590k</t>
      </text>
    </comment>
    <comment ref="B27" authorId="4" shapeId="0">
      <text>
        <t>was 13290
VNP100</t>
      </text>
    </comment>
    <comment ref="C27" authorId="4" shapeId="0">
      <text>
        <t>W2 13.290</t>
      </text>
    </comment>
    <comment ref="D27" authorId="6" shapeId="0">
      <text>
        <t>Việt Hoàng:
Last week:
13.390.000</t>
      </text>
    </comment>
    <comment ref="F27" authorId="5" shapeId="0">
      <text>
        <t>chit trang:
13.190k</t>
      </text>
    </comment>
    <comment ref="B28" authorId="4" shapeId="0">
      <text>
        <t>was 11490
VNP100</t>
      </text>
    </comment>
    <comment ref="C28" authorId="4" shapeId="0">
      <text>
        <t>W2 11.490</t>
      </text>
    </comment>
    <comment ref="D28" authorId="6" shapeId="0">
      <text>
        <t>Việt Hoàng:
Last week:
11.590.000</t>
      </text>
    </comment>
    <comment ref="F28" authorId="5" shapeId="0">
      <text>
        <t>chit trang:
11.490k</t>
      </text>
    </comment>
    <comment ref="B29" authorId="4" shapeId="0">
      <text>
        <t>was 14090
VNP100</t>
      </text>
    </comment>
    <comment ref="C29" authorId="4" shapeId="0">
      <text>
        <t>W2 14.090</t>
      </text>
    </comment>
    <comment ref="D29" authorId="6" shapeId="0">
      <text>
        <t>Việt Hoàng:
Last week:
14.190.000</t>
      </text>
    </comment>
    <comment ref="E30" authorId="1" shapeId="0">
      <text>
        <t xml:space="preserve">Last week was: 21.690K
</t>
      </text>
    </comment>
    <comment ref="E31" authorId="1" shapeId="0">
      <text>
        <t xml:space="preserve">Last week was: 5.290K
</t>
      </text>
    </comment>
    <comment ref="F31" authorId="5" shapeId="0">
      <text>
        <t>chit trang:
5.590k</t>
      </text>
    </comment>
    <comment ref="E32" authorId="1" shapeId="0">
      <text>
        <t>Last week was: 4.790K
Voucher giảm 1% tối đa 300K VNPAY</t>
      </text>
    </comment>
    <comment ref="G32" authorId="3" shapeId="0">
      <text>
        <t>Tran Dat:
4590</t>
      </text>
    </comment>
    <comment ref="E33" authorId="4" shapeId="0">
      <text>
        <t>was 3490000</t>
      </text>
    </comment>
    <comment ref="G33" authorId="3" shapeId="0">
      <text>
        <t>Tran Dat:
3360</t>
      </text>
    </comment>
    <comment ref="E34" authorId="1" shapeId="0">
      <text>
        <t>Last week was: 3.890K</t>
      </text>
    </comment>
    <comment ref="D35" authorId="6" shapeId="0">
      <text>
        <t>Việt Hoàng:
Last week:
18.190.000</t>
      </text>
    </comment>
    <comment ref="F35" authorId="5" shapeId="0">
      <text>
        <t>chit trang:
17.990k</t>
      </text>
    </comment>
    <comment ref="G35" authorId="3" shapeId="0">
      <text>
        <t>Tran Dat:
17690</t>
      </text>
    </comment>
    <comment ref="D36" authorId="6" shapeId="0">
      <text>
        <t>Việt Hoàng:
Last week:
23.690.000</t>
      </text>
    </comment>
    <comment ref="F36" authorId="5" shapeId="0">
      <text>
        <t>chit trang:
23.190k</t>
      </text>
    </comment>
    <comment ref="G36" authorId="3" shapeId="0">
      <text>
        <t>Tran Dat:
23990</t>
      </text>
    </comment>
    <comment ref="D37" authorId="6" shapeId="0">
      <text>
        <t>Việt Hoàng:
Last week:
26.690.000</t>
      </text>
    </comment>
    <comment ref="G37" authorId="3" shapeId="0">
      <text>
        <t>Tran Dat:
26790</t>
      </text>
    </comment>
    <comment ref="D38" authorId="6" shapeId="0">
      <text>
        <t>Việt Hoàng:
Last week:
32.490.000</t>
      </text>
    </comment>
    <comment ref="F38" authorId="5" shapeId="0">
      <text>
        <t>chit trang:
32.690k</t>
      </text>
    </comment>
    <comment ref="B39" authorId="4" shapeId="0">
      <text>
        <t>was 39840</t>
      </text>
    </comment>
  </commentList>
</comments>
</file>

<file path=xl/comments/comment41.xml><?xml version="1.0" encoding="utf-8"?>
<comments xmlns="http://schemas.openxmlformats.org/spreadsheetml/2006/main">
  <authors>
    <author>Duy</author>
    <author>Việt Hoàng</author>
    <author>Sheva Son</author>
    <author>Tran Dat</author>
    <author>Microsoft Office User</author>
    <author>chit trang</author>
    <author>Người dùng Khách</author>
  </authors>
  <commentList>
    <comment ref="C2" authorId="0" shapeId="0">
      <text>
        <t>W3 21340</t>
      </text>
    </comment>
    <comment ref="D2" authorId="1" shapeId="0">
      <text>
        <t>Việt Hoàng:
Last week:
21.190.000</t>
      </text>
    </comment>
    <comment ref="E2" authorId="2" shapeId="0">
      <text>
        <t xml:space="preserve">Last week is: 21.990K
 Tết vui khui Túi vàng Cơ hội trúng hàng trăm Túi vàng đến ngày 14/02/2025 </t>
      </text>
    </comment>
    <comment ref="G2" authorId="3" shapeId="0">
      <text>
        <t>Tran Dat:
20.890.000</t>
      </text>
    </comment>
    <comment ref="B3" authorId="4" shapeId="0">
      <text>
        <t>was 24640000
VNP150</t>
      </text>
    </comment>
    <comment ref="C3" authorId="4" shapeId="0">
      <text>
        <t>W3 24640</t>
      </text>
    </comment>
    <comment ref="E3" authorId="2" shapeId="0">
      <text>
        <t>Last week is: 24.990K
 Tết vui khui Túi vàng Cơ hội trúng hàng trăm Túi vàng đến ngày 14/02/2025 
Giảm thêm 100K cho khách hàng checkin tại tiểu cảnh Tết Corner của shop</t>
      </text>
    </comment>
    <comment ref="G3" authorId="3" shapeId="0">
      <text>
        <t xml:space="preserve">Tran Dat:
24.690.000
</t>
      </text>
    </comment>
    <comment ref="C4" authorId="0" shapeId="0">
      <text>
        <t>W3 27340</t>
      </text>
    </comment>
    <comment ref="E4" authorId="4" shapeId="0">
      <text>
        <t xml:space="preserve">Last week was: 28.190K
Checkin tại khu vực Tết được giảm 100K
</t>
      </text>
    </comment>
    <comment ref="B5"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5" authorId="0" shapeId="0">
      <text>
        <t>W3 32640</t>
      </text>
    </comment>
    <comment ref="E5" authorId="2" shapeId="0">
      <text>
        <t xml:space="preserve">Last week is: 32.790K
Giảm giá shock giờ vàng từ 9-22h ngày 18-31/1/2025
 Tết vui khui Túi vàng Cơ hội trúng hàng trăm Túi vàng đến ngày 14/02/2025 </t>
      </text>
    </comment>
    <comment ref="F5" authorId="5" shapeId="0">
      <text>
        <t>chit trang:
326790k</t>
      </text>
    </comment>
    <comment ref="G5" authorId="3" shapeId="0">
      <text>
        <t>Tran Dat:
32.390</t>
      </text>
    </comment>
    <comment ref="C6" authorId="0" shapeId="0">
      <text>
        <t>W3 18740</t>
      </text>
    </comment>
    <comment ref="D6" authorId="1" shapeId="0">
      <text>
        <t>Việt Hoàng:
Last week:
18.990.000</t>
      </text>
    </comment>
    <comment ref="E6" authorId="2" shapeId="0">
      <text>
        <t xml:space="preserve">Last week is: 19.490K
 Tết vui khui Túi vàng Cơ hội trúng hàng trăm Túi vàng đến ngày 14/02/2025 </t>
      </text>
    </comment>
    <comment ref="C7" authorId="0" shapeId="0">
      <text>
        <t>W3 22440</t>
      </text>
    </comment>
    <comment ref="E7" authorId="2" shapeId="0">
      <text>
        <t xml:space="preserve">Last week is: 22.990K
Giảm ngay 200,000đ cho khách hàng mua gói cước 3V200B </t>
      </text>
    </comment>
    <comment ref="G7" authorId="3" shapeId="0">
      <text>
        <t>Tran Dat:
21.790</t>
      </text>
    </comment>
    <comment ref="B9" authorId="4" shapeId="0">
      <text>
        <t>was 29140000
VNP150</t>
      </text>
    </comment>
    <comment ref="C9" authorId="4" shapeId="0">
      <text>
        <t>W3 29140</t>
      </text>
    </comment>
    <comment ref="E9" authorId="2" shapeId="0">
      <text>
        <t xml:space="preserve">Last week was: 28.490.000
</t>
      </text>
    </comment>
    <comment ref="B10" authorId="4" shapeId="0">
      <text>
        <t>was 18440</t>
      </text>
    </comment>
    <comment ref="C10" authorId="4" shapeId="0">
      <text>
        <t>W3 18440</t>
      </text>
    </comment>
    <comment ref="E10" authorId="2" shapeId="0">
      <text>
        <t xml:space="preserve">Last week was: 19.690K
Chỉ còn màu Purple, Blue, White số lượng ít
</t>
      </text>
    </comment>
    <comment ref="B12" authorId="4" shapeId="0">
      <text>
        <t>was 13190
VNP100</t>
      </text>
    </comment>
    <comment ref="C12" authorId="4" shapeId="0">
      <text>
        <t xml:space="preserve">W3 13190
</t>
      </text>
    </comment>
    <comment ref="E12" authorId="2" shapeId="0">
      <text>
        <t xml:space="preserve">
- Tết vui khui Túi vàng Cơ hội trúng hàng trăm Túi vàng đến ngày 14/02/2025 
- Giảm 700K cho màu Đen và Starlight (trừ vào giá)
</t>
      </text>
    </comment>
    <comment ref="G12" authorId="3" shapeId="0">
      <text>
        <t>Tran Dat:
12790</t>
      </text>
    </comment>
    <comment ref="E13" authorId="6" shapeId="0">
      <text>
        <t>Last week was: 10.990K</t>
      </text>
    </comment>
    <comment ref="E14" authorId="2" shapeId="0">
      <text>
        <t xml:space="preserve">Giảm 200K khi mua Online (đã trừ vào giá)
Trợ giá 4G giảm 300K đã trừ vào giá
</t>
      </text>
    </comment>
    <comment ref="E15" authorId="4" shapeId="0">
      <text>
        <t>Last week was: 13.990K
 Màu Black và Starlight giảm thêm 700K còn 13.290K</t>
      </text>
    </comment>
    <comment ref="E16" authorId="2" shapeId="0">
      <text>
        <t xml:space="preserve">Last week is: 8.490K
</t>
      </text>
    </comment>
    <comment ref="B17" authorId="4" shapeId="0">
      <text>
        <t>was 7040
VNP40</t>
      </text>
    </comment>
    <comment ref="C17" authorId="4" shapeId="0">
      <text>
        <t xml:space="preserve">W3 7040
</t>
      </text>
    </comment>
    <comment ref="E17" authorId="2" shapeId="0">
      <text>
        <t>Last week was: 6.890k</t>
      </text>
    </comment>
    <comment ref="B18" authorId="4" shapeId="0">
      <text>
        <t>was 14390</t>
      </text>
    </comment>
    <comment ref="C18" authorId="4" shapeId="0">
      <text>
        <t>W3 14390</t>
      </text>
    </comment>
    <comment ref="E18" authorId="2" shapeId="0">
      <text>
        <t xml:space="preserve">Last week was: 14.340K
</t>
      </text>
    </comment>
    <comment ref="G18" authorId="3" shapeId="0">
      <text>
        <t>Tran Dat:14.790</t>
      </text>
    </comment>
    <comment ref="E19" authorId="2" shapeId="0">
      <text>
        <t xml:space="preserve">Last week is: 21.275K
</t>
      </text>
    </comment>
    <comment ref="G19" authorId="3" shapeId="0">
      <text>
        <t>Tran Dat:
20190000</t>
      </text>
    </comment>
    <comment ref="E20" authorId="2" shapeId="0">
      <text>
        <t xml:space="preserve">Last week is: 26.918K
</t>
      </text>
    </comment>
    <comment ref="B21" authorId="4" shapeId="0">
      <text>
        <t>was 36640</t>
      </text>
    </comment>
    <comment ref="C21" authorId="4" shapeId="0">
      <text>
        <t>W3 36640</t>
      </text>
    </comment>
    <comment ref="E21" authorId="2" shapeId="0">
      <text>
        <t xml:space="preserve">Last week was: 36.790K
Nhập mã ZLP500 giảm ngay 500.000đ cho đơn hàng tối thiểu từ 20 triệu trở lên qua Zalopay (Yêu cầu thanh toán 100% giá trị đơn hàng) 
</t>
      </text>
    </comment>
    <comment ref="E22" authorId="2" shapeId="0">
      <text>
        <t xml:space="preserve">Last week was: 5.790K
Tặng voucher giảm giá 100,000đ cho khách hàng đổi điểm trên ứng dụng Btaskee </t>
      </text>
    </comment>
    <comment ref="G22" authorId="3" shapeId="0">
      <text>
        <t>Tran Dat:
5790</t>
      </text>
    </comment>
    <comment ref="E23" authorId="2" shapeId="0">
      <text>
        <t xml:space="preserve">  Tặng voucher giảm giá 100,000đ cho khách hàng đổi điểm trên ứng dụng Btaskee </t>
      </text>
    </comment>
    <comment ref="F23" authorId="5" shapeId="0">
      <text>
        <t>chit trang:
7.190k</t>
      </text>
    </comment>
    <comment ref="E24" authorId="2" shapeId="0">
      <text>
        <t xml:space="preserve">Tặng voucher giảm giá 100,000đ cho khách hàng đổi điểm trên ứng dụng Btaskee </t>
      </text>
    </comment>
    <comment ref="G24" authorId="3" shapeId="0">
      <text>
        <t>Tran Dat:
6590000</t>
      </text>
    </comment>
    <comment ref="E25" authorId="2" shapeId="0">
      <text>
        <t xml:space="preserve">Tặng voucher giảm giá 100,000đ cho khách hàng đổi điểm trên ứng dụng Btaskee </t>
      </text>
    </comment>
    <comment ref="E26" authorId="6" shapeId="0">
      <text>
        <t>Last week was: 10.490K</t>
      </text>
    </comment>
    <comment ref="F26" authorId="5" shapeId="0">
      <text>
        <t>chit trang:
9.790.000</t>
      </text>
    </comment>
    <comment ref="G26" authorId="3" shapeId="0">
      <text>
        <t>Tran Dat:
10990000</t>
      </text>
    </comment>
    <comment ref="F27" authorId="5" shapeId="0">
      <text>
        <t>chit trang:
13.190k</t>
      </text>
    </comment>
    <comment ref="F28" authorId="5" shapeId="0">
      <text>
        <t>chit trang:
11.490k</t>
      </text>
    </comment>
    <comment ref="G28" authorId="3" shapeId="0">
      <text>
        <t>Tran Dat:
11690000</t>
      </text>
    </comment>
    <comment ref="B29" authorId="4" shapeId="0">
      <text>
        <t>was 13320
VNP100</t>
      </text>
    </comment>
    <comment ref="C29" authorId="4" shapeId="0">
      <text>
        <t xml:space="preserve">W3 13320
</t>
      </text>
    </comment>
    <comment ref="F29" authorId="5" shapeId="0">
      <text>
        <t>chit trang:
14.090k</t>
      </text>
    </comment>
    <comment ref="G29" authorId="3" shapeId="0">
      <text>
        <t>Tran Dat:
13290000</t>
      </text>
    </comment>
    <comment ref="E30" authorId="2" shapeId="0">
      <text>
        <t xml:space="preserve">Last week was: 21.690K
</t>
      </text>
    </comment>
    <comment ref="G30" authorId="3" shapeId="0">
      <text>
        <t xml:space="preserve">Tran Dat:
22990000
</t>
      </text>
    </comment>
    <comment ref="B31" authorId="4" shapeId="0">
      <text>
        <t>was 5550
VNP40</t>
      </text>
    </comment>
    <comment ref="C31" authorId="4" shapeId="0">
      <text>
        <t xml:space="preserve">W3 5550
</t>
      </text>
    </comment>
    <comment ref="D31" authorId="1" shapeId="0">
      <text>
        <t>Việt Hoàng:
Last week:
5.590.000</t>
      </text>
    </comment>
    <comment ref="E31" authorId="2" shapeId="0">
      <text>
        <t xml:space="preserve">Last week was: 5.290K
</t>
      </text>
    </comment>
    <comment ref="G31" authorId="3" shapeId="0">
      <text>
        <t>Tran Dat:
5490000</t>
      </text>
    </comment>
    <comment ref="B32" authorId="4" shapeId="0">
      <text>
        <t xml:space="preserve">was 4490
</t>
      </text>
    </comment>
    <comment ref="C32" authorId="4" shapeId="0">
      <text>
        <t xml:space="preserve">W3 4490
</t>
      </text>
    </comment>
    <comment ref="D32" authorId="1" shapeId="0">
      <text>
        <t>Việt Hoàng:
Last week:
4.490.000</t>
      </text>
    </comment>
    <comment ref="E32" authorId="2" shapeId="0">
      <text>
        <t>Last week was: 4.790K
Voucher giảm 1% tối đa 300K VNPAY</t>
      </text>
    </comment>
    <comment ref="B33" authorId="4" shapeId="0">
      <text>
        <t>was 3190</t>
      </text>
    </comment>
    <comment ref="C33" authorId="4" shapeId="0">
      <text>
        <t>W3 3190</t>
      </text>
    </comment>
    <comment ref="D33" authorId="1" shapeId="0">
      <text>
        <t>Việt Hoàng:
Last week:
3.190.000</t>
      </text>
    </comment>
    <comment ref="E33" authorId="4" shapeId="0">
      <text>
        <t>was 3490000</t>
      </text>
    </comment>
    <comment ref="E34" authorId="2" shapeId="0">
      <text>
        <t>Last week was: 3.890K</t>
      </text>
    </comment>
    <comment ref="B35" authorId="4" shapeId="0">
      <text>
        <t>was 18090
VNP100</t>
      </text>
    </comment>
    <comment ref="C35" authorId="4" shapeId="0">
      <text>
        <t xml:space="preserve">W3 18090
</t>
      </text>
    </comment>
    <comment ref="G35" authorId="3" shapeId="0">
      <text>
        <t>Tran Dat:
17690</t>
      </text>
    </comment>
    <comment ref="G36" authorId="3" shapeId="0">
      <text>
        <t>Tran Dat:
22990</t>
      </text>
    </comment>
    <comment ref="B37" authorId="4" shapeId="0">
      <text>
        <t>was 26140
VNP150</t>
      </text>
    </comment>
    <comment ref="G37" authorId="3" shapeId="0">
      <text>
        <t>Tran Dat:
25890</t>
      </text>
    </comment>
    <comment ref="G38" authorId="3" shapeId="0">
      <text>
        <t>Tran Dat:
32890000</t>
      </text>
    </comment>
  </commentList>
</comments>
</file>

<file path=xl/comments/comment42.xml><?xml version="1.0" encoding="utf-8"?>
<comments xmlns="http://schemas.openxmlformats.org/spreadsheetml/2006/main">
  <authors>
    <author>Microsoft Office User</author>
    <author>Guest User</author>
    <author>Sheva Son</author>
    <author>Tran Dat</author>
    <author>Việt Hoàng</author>
    <author>Duy</author>
    <author>chit trang</author>
    <author>Người dùng Khách</author>
  </authors>
  <commentList>
    <comment ref="B3" authorId="0" shapeId="0">
      <text>
        <t>was 24640000
VNP150</t>
      </text>
    </comment>
    <comment ref="F4" authorId="1" shapeId="0">
      <text>
        <t xml:space="preserve">Unknown User:
</t>
      </text>
    </comment>
    <comment ref="B5"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5" authorId="2" shapeId="0">
      <text>
        <t>Web: 32.790K
Giảm giá shock giờ vàng từ 9-22h</t>
      </text>
    </comment>
    <comment ref="G5" authorId="3" shapeId="0">
      <text>
        <t>Tran Dat:
32.590</t>
      </text>
    </comment>
    <comment ref="F6" authorId="1" shapeId="0">
      <text>
        <t>Unknown User:
18.690k</t>
      </text>
    </comment>
    <comment ref="G7" authorId="3" shapeId="0">
      <text>
        <t>Tran Dat:
21.790</t>
      </text>
    </comment>
    <comment ref="B9" authorId="0" shapeId="0">
      <text>
        <t>was 29140000
VNP150</t>
      </text>
    </comment>
    <comment ref="C9" authorId="0" shapeId="0">
      <text>
        <t>W5 28990</t>
      </text>
    </comment>
    <comment ref="D9" authorId="4" shapeId="0">
      <text>
        <t>Việt Hoàng:
Last week:
29.290.000</t>
      </text>
    </comment>
    <comment ref="F9" authorId="1" shapeId="0">
      <text>
        <t>Unknown User:
28.990k</t>
      </text>
    </comment>
    <comment ref="B10" authorId="0" shapeId="0">
      <text>
        <t>was 18440</t>
      </text>
    </comment>
    <comment ref="C10" authorId="0" shapeId="0">
      <text>
        <t>W5 18840</t>
      </text>
    </comment>
    <comment ref="D10" authorId="4" shapeId="0">
      <text>
        <t>Việt Hoàng:
Last week:
19.690.000</t>
      </text>
    </comment>
    <comment ref="E10" authorId="0" shapeId="0">
      <text>
        <t>Chỉ có Blue</t>
      </text>
    </comment>
    <comment ref="C11" authorId="5" shapeId="0">
      <text>
        <t>W5 15.790</t>
      </text>
    </comment>
    <comment ref="F11" authorId="1" shapeId="0">
      <text>
        <t>Unknown User:
15.890k</t>
      </text>
    </comment>
    <comment ref="B12" authorId="0" shapeId="0">
      <text>
        <t>was 13190
VNP100</t>
      </text>
    </comment>
    <comment ref="C12" authorId="0" shapeId="0">
      <text>
        <t xml:space="preserve">W5 12790
</t>
      </text>
    </comment>
    <comment ref="E12" authorId="2" shapeId="0">
      <text>
        <t>- Giảm 700K cho màu Đen và Starlight (trừ vào giá)
- Màu khác 13290</t>
      </text>
    </comment>
    <comment ref="C13" authorId="5" shapeId="0">
      <text>
        <t>W5 11.490</t>
      </text>
    </comment>
    <comment ref="F13" authorId="1" shapeId="0">
      <text>
        <t>Unknown User:
10.990</t>
      </text>
    </comment>
    <comment ref="C15" authorId="5" shapeId="0">
      <text>
        <t xml:space="preserve">W5 13890
</t>
      </text>
    </comment>
    <comment ref="F15" authorId="1" shapeId="0">
      <text>
        <t>Unknown User:
13.890</t>
      </text>
    </comment>
    <comment ref="C16" authorId="5" shapeId="0">
      <text>
        <t>W5 8540</t>
      </text>
    </comment>
    <comment ref="D16" authorId="4" shapeId="0">
      <text>
        <t>Việt Hoàng:
Last week
8.490.000</t>
      </text>
    </comment>
    <comment ref="E16" authorId="2" shapeId="0">
      <text>
        <t>was 8290</t>
      </text>
    </comment>
    <comment ref="F16" authorId="1" shapeId="0">
      <text>
        <t>Unknown User:
8.490k</t>
      </text>
    </comment>
    <comment ref="B17" authorId="0" shapeId="0">
      <text>
        <t>was 7040
VNP40</t>
      </text>
    </comment>
    <comment ref="C17" authorId="0" shapeId="0">
      <text>
        <t xml:space="preserve">W5 6950
</t>
      </text>
    </comment>
    <comment ref="B18" authorId="0" shapeId="0">
      <text>
        <t>was 14390</t>
      </text>
    </comment>
    <comment ref="C18" authorId="0" shapeId="0">
      <text>
        <t>W5 14490</t>
      </text>
    </comment>
    <comment ref="F18" authorId="1" shapeId="0">
      <text>
        <t>Unknown User:
14.490k</t>
      </text>
    </comment>
    <comment ref="G18" authorId="3" shapeId="0">
      <text>
        <t>Tran Dat:14.190</t>
      </text>
    </comment>
    <comment ref="C19" authorId="5" shapeId="0">
      <text>
        <t>W5 20440</t>
      </text>
    </comment>
    <comment ref="E19" authorId="2" shapeId="0">
      <text>
        <t>was 19990</t>
      </text>
    </comment>
    <comment ref="F19" authorId="1" shapeId="0">
      <text>
        <t>Unknown User:
20.090</t>
      </text>
    </comment>
    <comment ref="G19" authorId="3" shapeId="0">
      <text>
        <t>Tran Dat:
20090000</t>
      </text>
    </comment>
    <comment ref="C20" authorId="5" shapeId="0">
      <text>
        <t>W5 27340</t>
      </text>
    </comment>
    <comment ref="B21" authorId="0" shapeId="0">
      <text>
        <t>was 36640</t>
      </text>
    </comment>
    <comment ref="C21" authorId="0" shapeId="0">
      <text>
        <t>W5 36740</t>
      </text>
    </comment>
    <comment ref="C22" authorId="5" shapeId="0">
      <text>
        <t>W5 5530</t>
      </text>
    </comment>
    <comment ref="D22" authorId="4" shapeId="0">
      <text>
        <t>Việt Hoàng:
5.690.000</t>
      </text>
    </comment>
    <comment ref="E22" authorId="2" shapeId="0">
      <text>
        <t>was 5590</t>
      </text>
    </comment>
    <comment ref="G22" authorId="3" shapeId="0">
      <text>
        <t>Tran Dat:
5590</t>
      </text>
    </comment>
    <comment ref="C23" authorId="5" shapeId="0">
      <text>
        <t>W5 6830</t>
      </text>
    </comment>
    <comment ref="D23" authorId="4" shapeId="0">
      <text>
        <t>Việt Hoàng:
6.890.000</t>
      </text>
    </comment>
    <comment ref="E23" authorId="2" shapeId="0">
      <text>
        <t>was 6990</t>
      </text>
    </comment>
    <comment ref="F23" authorId="6" shapeId="0">
      <text>
        <t>chit trang:
7.190k</t>
      </text>
    </comment>
    <comment ref="C24" authorId="5" shapeId="0">
      <text>
        <t>W5 6330</t>
      </text>
    </comment>
    <comment ref="D24" authorId="4" shapeId="0">
      <text>
        <t>Việt Hoàng:
6.490.000</t>
      </text>
    </comment>
    <comment ref="E24" authorId="2" shapeId="0">
      <text>
        <t>was 6390</t>
      </text>
    </comment>
    <comment ref="G24" authorId="3" shapeId="0">
      <text>
        <t>Tran Dat:
6590000</t>
      </text>
    </comment>
    <comment ref="C25" authorId="5" shapeId="0">
      <text>
        <t>W5 7630</t>
      </text>
    </comment>
    <comment ref="D25" authorId="4" shapeId="0">
      <text>
        <t>Việt Hoàng:
7.690.000</t>
      </text>
    </comment>
    <comment ref="E25" authorId="2" shapeId="0">
      <text>
        <t>was 7790</t>
      </text>
    </comment>
    <comment ref="D26" authorId="4" shapeId="0">
      <text>
        <t>Việt Hoàng:
10.090.000</t>
      </text>
    </comment>
    <comment ref="E26" authorId="7" shapeId="0">
      <text>
        <t>was 9990</t>
      </text>
    </comment>
    <comment ref="F26" authorId="6" shapeId="0">
      <text>
        <t>chit trang:
10.490k</t>
      </text>
    </comment>
    <comment ref="G26" authorId="3" shapeId="0">
      <text>
        <t>Tran Dat:
9.890</t>
      </text>
    </comment>
    <comment ref="C27" authorId="5" shapeId="0">
      <text>
        <t>W5 12520</t>
      </text>
    </comment>
    <comment ref="D27" authorId="4" shapeId="0">
      <text>
        <t>Việt Hoàng:
Last week:
12.690.000</t>
      </text>
    </comment>
    <comment ref="E27" authorId="0" shapeId="0">
      <text>
        <t>was 12490</t>
      </text>
    </comment>
    <comment ref="F27" authorId="6" shapeId="0">
      <text>
        <t>chit trang:
13.190k</t>
      </text>
    </comment>
    <comment ref="G27" authorId="3" shapeId="0">
      <text>
        <t>Tran Dat:
13.290</t>
      </text>
    </comment>
    <comment ref="C28" authorId="5" shapeId="0">
      <text>
        <t>W5 10720</t>
      </text>
    </comment>
    <comment ref="D28" authorId="4" shapeId="0">
      <text>
        <t>Việt Hoàng:
Last week:
10.790.000</t>
      </text>
    </comment>
    <comment ref="E28" authorId="0" shapeId="0">
      <text>
        <t>was 10690</t>
      </text>
    </comment>
    <comment ref="F28" authorId="6" shapeId="0">
      <text>
        <t>chit trang:
10.590</t>
      </text>
    </comment>
    <comment ref="G28" authorId="3" shapeId="0">
      <text>
        <t>Tran Dat:
10490</t>
      </text>
    </comment>
    <comment ref="B29" authorId="0" shapeId="0">
      <text>
        <t>was 13320
VNP100</t>
      </text>
    </comment>
    <comment ref="C29" authorId="0" shapeId="0">
      <text>
        <t xml:space="preserve">W5 13990
</t>
      </text>
    </comment>
    <comment ref="D29" authorId="4" shapeId="0">
      <text>
        <t>Việt Hoàng:
Last week:
13.390.000</t>
      </text>
    </comment>
    <comment ref="E29" authorId="0" shapeId="0">
      <text>
        <t>was 13390</t>
      </text>
    </comment>
    <comment ref="F29" authorId="6" shapeId="0">
      <text>
        <t>chit trang:
14.090k</t>
      </text>
    </comment>
    <comment ref="G29" authorId="3" shapeId="0">
      <text>
        <t>Tran Dat:
13290000</t>
      </text>
    </comment>
    <comment ref="C30" authorId="5" shapeId="0">
      <text>
        <t>W5 22340</t>
      </text>
    </comment>
    <comment ref="G30" authorId="3" shapeId="0">
      <text>
        <t xml:space="preserve">Tran Dat:
22.590
</t>
      </text>
    </comment>
    <comment ref="B31" authorId="0" shapeId="0">
      <text>
        <t>was 5550
VNP40</t>
      </text>
    </comment>
    <comment ref="C31" authorId="0" shapeId="0">
      <text>
        <t xml:space="preserve">W5 5350
</t>
      </text>
    </comment>
    <comment ref="D31" authorId="4" shapeId="0">
      <text>
        <t>Việt Hoàng:
Last week:
5.390.000</t>
      </text>
    </comment>
    <comment ref="E31" authorId="2" shapeId="0">
      <text>
        <t>was 5390</t>
      </text>
    </comment>
    <comment ref="F31" authorId="1" shapeId="0">
      <text>
        <t>Unknown User:
5.290</t>
      </text>
    </comment>
    <comment ref="G31" authorId="3" shapeId="0">
      <text>
        <t>Tran Dat:
5490000</t>
      </text>
    </comment>
    <comment ref="B32" authorId="0" shapeId="0">
      <text>
        <t xml:space="preserve">was 4490
</t>
      </text>
    </comment>
    <comment ref="C32" authorId="0" shapeId="0">
      <text>
        <t xml:space="preserve">W5 4290
</t>
      </text>
    </comment>
    <comment ref="D32" authorId="4" shapeId="0">
      <text>
        <t>Việt Hoàng:
Last week:
4.290.000</t>
      </text>
    </comment>
    <comment ref="E32" authorId="2" shapeId="0">
      <text>
        <t>was 4290</t>
      </text>
    </comment>
    <comment ref="F32" authorId="1" shapeId="0">
      <text>
        <t>Unknown User:
4.290</t>
      </text>
    </comment>
    <comment ref="G32" authorId="3" shapeId="0">
      <text>
        <t>Tran Dat:
4490000</t>
      </text>
    </comment>
    <comment ref="B33" authorId="0" shapeId="0">
      <text>
        <t>was 3190</t>
      </text>
    </comment>
    <comment ref="C33" authorId="0" shapeId="0">
      <text>
        <t>W5 3090</t>
      </text>
    </comment>
    <comment ref="D33" authorId="4" shapeId="0">
      <text>
        <t>Việt Hoàng:
Last week:
3.090.000</t>
      </text>
    </comment>
    <comment ref="E33" authorId="0" shapeId="0">
      <text>
        <t>was 2990</t>
      </text>
    </comment>
    <comment ref="F33" authorId="1" shapeId="0">
      <text>
        <t>Unknown User:
3.090</t>
      </text>
    </comment>
    <comment ref="G33" authorId="3" shapeId="0">
      <text>
        <t>Tran Dat:
3.290</t>
      </text>
    </comment>
    <comment ref="E34" authorId="2" shapeId="0">
      <text>
        <t>was 3990</t>
      </text>
    </comment>
    <comment ref="B35" authorId="0" shapeId="0">
      <text>
        <t>was 18090
VNP100</t>
      </text>
    </comment>
    <comment ref="C35" authorId="0" shapeId="0">
      <text>
        <t xml:space="preserve">W5 17590
</t>
      </text>
    </comment>
    <comment ref="G35" authorId="3" shapeId="0">
      <text>
        <t>Tran Dat:
17690</t>
      </text>
    </comment>
    <comment ref="C36" authorId="5" shapeId="0">
      <text>
        <t>W5 22740</t>
      </text>
    </comment>
    <comment ref="G36" authorId="3" shapeId="0">
      <text>
        <t>Tran Dat:
22990</t>
      </text>
    </comment>
    <comment ref="B37" authorId="0" shapeId="0">
      <text>
        <t>was 26140
VNP150</t>
      </text>
    </comment>
    <comment ref="F37" authorId="1" shapeId="0">
      <text>
        <t>Unknown User:
26.290k</t>
      </text>
    </comment>
    <comment ref="G37" authorId="3" shapeId="0">
      <text>
        <t>Tran Dat:
26.290</t>
      </text>
    </comment>
    <comment ref="G38" authorId="3" shapeId="0">
      <text>
        <t>Tran Dat:
32890000</t>
      </text>
    </comment>
    <comment ref="F39" authorId="1" shapeId="0">
      <text>
        <t>Unknown User:
39.990</t>
      </text>
    </comment>
  </commentList>
</comments>
</file>

<file path=xl/comments/comment43.xml><?xml version="1.0" encoding="utf-8"?>
<comments xmlns="http://schemas.openxmlformats.org/spreadsheetml/2006/main">
  <authors>
    <author>Việt Hoàng</author>
    <author>Tran Dat</author>
    <author>Microsoft Office User</author>
    <author>Guest User</author>
    <author>Sheva Son</author>
    <author>Duy</author>
    <author>chit trang</author>
    <author>Người dùng Khách</author>
  </authors>
  <commentList>
    <comment ref="D2" authorId="0" shapeId="0">
      <text>
        <t>Việt Hoàng:
Last week:
20.490.000</t>
      </text>
    </comment>
    <comment ref="G2" authorId="1" shapeId="0">
      <text>
        <t>Tran Dat:
20.590</t>
      </text>
    </comment>
    <comment ref="B3" authorId="2" shapeId="0">
      <text>
        <t>was 24640000
VNP150</t>
      </text>
    </comment>
    <comment ref="D3" authorId="0" shapeId="0">
      <text>
        <t>Việt Hoàng:
Last week:
24.190.000</t>
      </text>
    </comment>
    <comment ref="F3" authorId="3" shapeId="0">
      <text>
        <t>Unknown User:
24.690k</t>
      </text>
    </comment>
    <comment ref="D4" authorId="0" shapeId="0">
      <text>
        <t>Việt Hoàng:
Last week:
26.890.000</t>
      </text>
    </comment>
    <comment ref="F4" authorId="3" shapeId="0">
      <text>
        <t>Unknown User:
27.090k</t>
      </text>
    </comment>
    <comment ref="G4" authorId="1" shapeId="0">
      <text>
        <t>Tran Dat:
26.990</t>
      </text>
    </comment>
    <comment ref="B5"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5" authorId="0" shapeId="0">
      <text>
        <t>Việt Hoàng:
Last week:
32.790.000</t>
      </text>
    </comment>
    <comment ref="E5" authorId="4" shapeId="0">
      <text>
        <t>Web: 32.790K
Giảm giá shock giờ vàng từ 9-22h</t>
      </text>
    </comment>
    <comment ref="F6" authorId="3" shapeId="0">
      <text>
        <t>Unknown User:
18.990k</t>
      </text>
    </comment>
    <comment ref="C7" authorId="5" shapeId="0">
      <text>
        <t>W6 22.690</t>
      </text>
    </comment>
    <comment ref="G7" authorId="1" shapeId="0">
      <text>
        <t>Tran Dat:
21.790</t>
      </text>
    </comment>
    <comment ref="B9" authorId="2" shapeId="0">
      <text>
        <t>was 29140000
VNP150</t>
      </text>
    </comment>
    <comment ref="F9" authorId="3" shapeId="0">
      <text>
        <t>Unknown User:
29.090</t>
      </text>
    </comment>
    <comment ref="G9" authorId="1" shapeId="0">
      <text>
        <t>Tran Dat:
28.690</t>
      </text>
    </comment>
    <comment ref="B10" authorId="2" shapeId="0">
      <text>
        <t>was 18440</t>
      </text>
    </comment>
    <comment ref="D10" authorId="0" shapeId="0">
      <text>
        <t>Việt Hoàng:
Last week:
18.990.000</t>
      </text>
    </comment>
    <comment ref="G11" authorId="1" shapeId="0">
      <text>
        <t>Tran Dat:
16.390</t>
      </text>
    </comment>
    <comment ref="B12" authorId="2" shapeId="0">
      <text>
        <t>was 13190
VNP100</t>
      </text>
    </comment>
    <comment ref="C12" authorId="2" shapeId="0">
      <text>
        <t xml:space="preserve">W6 12950
</t>
      </text>
    </comment>
    <comment ref="C13" authorId="5" shapeId="0">
      <text>
        <t>W6 9900</t>
      </text>
    </comment>
    <comment ref="D16" authorId="0" shapeId="0">
      <text>
        <t>Việt Hoàng:
Last week
8.790.000</t>
      </text>
    </comment>
    <comment ref="B17" authorId="2" shapeId="0">
      <text>
        <t>was 7040
VNP40</t>
      </text>
    </comment>
    <comment ref="B18" authorId="2" shapeId="0">
      <text>
        <t>was 14390</t>
      </text>
    </comment>
    <comment ref="D18" authorId="0" shapeId="0">
      <text>
        <t>Việt Hoàng:
Last week:
14.590.000</t>
      </text>
    </comment>
    <comment ref="F18" authorId="3" shapeId="0">
      <text>
        <t>Unknown User:
14.690k</t>
      </text>
    </comment>
    <comment ref="G18" authorId="1" shapeId="0">
      <text>
        <t>Tran Dat:14.190</t>
      </text>
    </comment>
    <comment ref="G19" authorId="1" shapeId="0">
      <text>
        <t>Tran Dat:
19.890.000</t>
      </text>
    </comment>
    <comment ref="B21" authorId="2" shapeId="0">
      <text>
        <t>was 36640</t>
      </text>
    </comment>
    <comment ref="D21" authorId="0" shapeId="0">
      <text>
        <t>Việt Hoàng:
Last week:
36.790.000</t>
      </text>
    </comment>
    <comment ref="C22" authorId="5" shapeId="0">
      <text>
        <t>W6 5890</t>
      </text>
    </comment>
    <comment ref="D22" authorId="0" shapeId="0">
      <text>
        <t>Việt Hoàng:
5.890.000</t>
      </text>
    </comment>
    <comment ref="E22" authorId="4" shapeId="0">
      <text>
        <t>was 5790</t>
      </text>
    </comment>
    <comment ref="G22" authorId="1" shapeId="0">
      <text>
        <t>Tran Dat:
5690</t>
      </text>
    </comment>
    <comment ref="C23" authorId="5" shapeId="0">
      <text>
        <t>W6 7190</t>
      </text>
    </comment>
    <comment ref="D23" authorId="0" shapeId="0">
      <text>
        <t>Việt Hoàng:
6.990.000</t>
      </text>
    </comment>
    <comment ref="E23" authorId="4" shapeId="0">
      <text>
        <t>was 7290</t>
      </text>
    </comment>
    <comment ref="F23" authorId="6" shapeId="0">
      <text>
        <t>chit trang:
7.190k</t>
      </text>
    </comment>
    <comment ref="G23" authorId="1" shapeId="0">
      <text>
        <t>Tran Dat:
7.190.000</t>
      </text>
    </comment>
    <comment ref="C24" authorId="5" shapeId="0">
      <text>
        <t>W6 6690</t>
      </text>
    </comment>
    <comment ref="D24" authorId="0" shapeId="0">
      <text>
        <t>Việt Hoàng:
6.590.000</t>
      </text>
    </comment>
    <comment ref="E24" authorId="4" shapeId="0">
      <text>
        <t>was 6590</t>
      </text>
    </comment>
    <comment ref="G24" authorId="1" shapeId="0">
      <text>
        <t>Tran Dat:
6.450</t>
      </text>
    </comment>
    <comment ref="C25" authorId="5" shapeId="0">
      <text>
        <t>W6 7990</t>
      </text>
    </comment>
    <comment ref="E25" authorId="4" shapeId="0">
      <text>
        <t>was 7990</t>
      </text>
    </comment>
    <comment ref="G25" authorId="1" shapeId="0">
      <text>
        <t>Tran Dat:
7.890.000</t>
      </text>
    </comment>
    <comment ref="D26" authorId="0" shapeId="0">
      <text>
        <t>Việt Hoàng:
10.790.000</t>
      </text>
    </comment>
    <comment ref="E26" authorId="7" shapeId="0">
      <text>
        <t>was 10390</t>
      </text>
    </comment>
    <comment ref="F26" authorId="6" shapeId="0">
      <text>
        <t>chit trang:
10.990k</t>
      </text>
    </comment>
    <comment ref="G26" authorId="1" shapeId="0">
      <text>
        <t>Tran Dat:
10.490.000</t>
      </text>
    </comment>
    <comment ref="C27" authorId="5" shapeId="0">
      <text>
        <t>W6 13190</t>
      </text>
    </comment>
    <comment ref="D27" authorId="0" shapeId="0">
      <text>
        <t>Việt Hoàng:
Last week:
13.290.000</t>
      </text>
    </comment>
    <comment ref="E27" authorId="2" shapeId="0">
      <text>
        <t>was 12990</t>
      </text>
    </comment>
    <comment ref="F27" authorId="6" shapeId="0">
      <text>
        <t>chit trang:
12.590k</t>
      </text>
    </comment>
    <comment ref="G27" authorId="1" shapeId="0">
      <text>
        <t>Tran Dat:
12.590</t>
      </text>
    </comment>
    <comment ref="C28" authorId="5" shapeId="0">
      <text>
        <t>W6 11590</t>
      </text>
    </comment>
    <comment ref="D28" authorId="0" shapeId="0">
      <text>
        <t>Việt Hoàng:
Last week:
11.490.000</t>
      </text>
    </comment>
    <comment ref="E28" authorId="2" shapeId="0">
      <text>
        <t>was 11290</t>
      </text>
    </comment>
    <comment ref="F28" authorId="6" shapeId="0">
      <text>
        <t>chit trang:
11.390</t>
      </text>
    </comment>
    <comment ref="G28" authorId="1" shapeId="0">
      <text>
        <t>Tran Dat:
11.490</t>
      </text>
    </comment>
    <comment ref="B29" authorId="2" shapeId="0">
      <text>
        <t>was 13320
VNP100</t>
      </text>
    </comment>
    <comment ref="C29" authorId="2" shapeId="0">
      <text>
        <t xml:space="preserve">W6 14190
</t>
      </text>
    </comment>
    <comment ref="D29" authorId="0" shapeId="0">
      <text>
        <t>Việt Hoàng:
Last week:
13.990.000</t>
      </text>
    </comment>
    <comment ref="E29" authorId="2" shapeId="0">
      <text>
        <t>was 13890</t>
      </text>
    </comment>
    <comment ref="F29" authorId="6" shapeId="0">
      <text>
        <t>chit trang:
14.090k</t>
      </text>
    </comment>
    <comment ref="G29" authorId="1" shapeId="0">
      <text>
        <t>Tran Dat:
13.890</t>
      </text>
    </comment>
    <comment ref="F30" authorId="3" shapeId="0">
      <text>
        <t>Unknown User:
22.490</t>
      </text>
    </comment>
    <comment ref="B31" authorId="2" shapeId="0">
      <text>
        <t>was 5550
VNP40</t>
      </text>
    </comment>
    <comment ref="C31" authorId="2" shapeId="0">
      <text>
        <t xml:space="preserve">W6 5790
</t>
      </text>
    </comment>
    <comment ref="D31" authorId="0" shapeId="0">
      <text>
        <t>Việt Hoàng:
Last week:
5.790.000</t>
      </text>
    </comment>
    <comment ref="E31" authorId="4" shapeId="0">
      <text>
        <t>was 5690</t>
      </text>
    </comment>
    <comment ref="F31" authorId="3" shapeId="0">
      <text>
        <t>Unknown User:
5.690</t>
      </text>
    </comment>
    <comment ref="G31" authorId="1" shapeId="0">
      <text>
        <t>Tran Dat:
5290000</t>
      </text>
    </comment>
    <comment ref="B32" authorId="2" shapeId="0">
      <text>
        <t xml:space="preserve">was 4490
</t>
      </text>
    </comment>
    <comment ref="C32" authorId="2" shapeId="0">
      <text>
        <t xml:space="preserve">W6 4650
</t>
      </text>
    </comment>
    <comment ref="D32" authorId="0" shapeId="0">
      <text>
        <t>Việt Hoàng:
Last week:
4.650.000</t>
      </text>
    </comment>
    <comment ref="E32" authorId="4" shapeId="0">
      <text>
        <t>was 4590</t>
      </text>
    </comment>
    <comment ref="F32" authorId="3" shapeId="0">
      <text>
        <t>Unknown User:
4.590</t>
      </text>
    </comment>
    <comment ref="G32" authorId="1" shapeId="0">
      <text>
        <t>Tran Dat:
4690000</t>
      </text>
    </comment>
    <comment ref="B33" authorId="2" shapeId="0">
      <text>
        <t>was 3190</t>
      </text>
    </comment>
    <comment ref="C33" authorId="2" shapeId="0">
      <text>
        <t>W6 3390</t>
      </text>
    </comment>
    <comment ref="D33" authorId="0" shapeId="0">
      <text>
        <t>Việt Hoàng:
Last week:
3.090.000</t>
      </text>
    </comment>
    <comment ref="E33" authorId="2" shapeId="0">
      <text>
        <t>was 3290</t>
      </text>
    </comment>
    <comment ref="F33" authorId="3" shapeId="0">
      <text>
        <t>Unknown User:
3.390</t>
      </text>
    </comment>
    <comment ref="G33" authorId="1" shapeId="0">
      <text>
        <t>Tran Dat:
3.340</t>
      </text>
    </comment>
    <comment ref="B35" authorId="2" shapeId="0">
      <text>
        <t>was 18090
VNP100</t>
      </text>
    </comment>
    <comment ref="D35" authorId="0" shapeId="0">
      <text>
        <t>Việt Hoàng:
Last week:
17.490.000</t>
      </text>
    </comment>
    <comment ref="G35" authorId="1" shapeId="0">
      <text>
        <t>Tran Dat:
17690</t>
      </text>
    </comment>
    <comment ref="G36" authorId="1" shapeId="0">
      <text>
        <t>Tran Dat:
23990</t>
      </text>
    </comment>
    <comment ref="B37" authorId="2" shapeId="0">
      <text>
        <t>was 26140
VNP150</t>
      </text>
    </comment>
    <comment ref="D37" authorId="0" shapeId="0">
      <text>
        <t>Việt Hoàng:
25.790.000</t>
      </text>
    </comment>
    <comment ref="G37" authorId="1" shapeId="0">
      <text>
        <t>Tran Dat:
26.290</t>
      </text>
    </comment>
    <comment ref="D38" authorId="0" shapeId="0">
      <text>
        <t>Việt Hoàng:
Last week:
32.190.000</t>
      </text>
    </comment>
    <comment ref="G38" authorId="1" shapeId="0">
      <text>
        <t>Tran Dat:
32890000</t>
      </text>
    </comment>
  </commentList>
</comments>
</file>

<file path=xl/comments/comment44.xml><?xml version="1.0" encoding="utf-8"?>
<comments xmlns="http://schemas.openxmlformats.org/spreadsheetml/2006/main">
  <authors>
    <author>Việt Hoàng</author>
    <author>Microsoft Office User</author>
    <author>Tran Dat</author>
    <author>Guest User</author>
    <author>Sheva Son</author>
    <author>Duy</author>
    <author>chit trang</author>
  </authors>
  <commentList>
    <comment ref="D2" authorId="0" shapeId="0">
      <text>
        <t>Việt Hoàng:
Last week:
20.890.000</t>
      </text>
    </comment>
    <comment ref="B3" authorId="1" shapeId="0">
      <text>
        <t>was 24640000
VNP150</t>
      </text>
    </comment>
    <comment ref="D3" authorId="0" shapeId="0">
      <text>
        <t>Việt Hoàng:
Last week:
24.290.000</t>
      </text>
    </comment>
    <comment ref="G3" authorId="2" shapeId="0">
      <text>
        <t>Tran Dat:
24190</t>
      </text>
    </comment>
    <comment ref="D4" authorId="0" shapeId="0">
      <text>
        <t>Việt Hoàng:
Last week:
26.990.000</t>
      </text>
    </comment>
    <comment ref="F4" authorId="3" shapeId="0">
      <text>
        <t>Unknown User:
27.390k</t>
      </text>
    </comment>
    <comment ref="G4" authorId="2" shapeId="0">
      <text>
        <t>Tran Dat:
27190</t>
      </text>
    </comment>
    <comment ref="B5"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5" authorId="0" shapeId="0">
      <text>
        <t>Việt Hoàng:
Last week:
32.390.000</t>
      </text>
    </comment>
    <comment ref="E5" authorId="4" shapeId="0">
      <text>
        <t>Web: 32.790K
Giảm giá shock giờ vàng từ 9-22h</t>
      </text>
    </comment>
    <comment ref="G5" authorId="2" shapeId="0">
      <text>
        <t>Tran Dat:
32.490</t>
      </text>
    </comment>
    <comment ref="D6" authorId="0" shapeId="0">
      <text>
        <t>Việt Hoàng:
Last week:
18.690.000</t>
      </text>
    </comment>
    <comment ref="G6" authorId="2" shapeId="0">
      <text>
        <t>Tran Dat:
18.790.000</t>
      </text>
    </comment>
    <comment ref="B9" authorId="1" shapeId="0">
      <text>
        <t>was 29140000
VNP150</t>
      </text>
    </comment>
    <comment ref="C9" authorId="5" shapeId="0">
      <text>
        <t xml:space="preserve">W7 29690
</t>
      </text>
    </comment>
    <comment ref="F9" authorId="3" shapeId="0">
      <text>
        <t>Unknown User:
28.890</t>
      </text>
    </comment>
    <comment ref="B10" authorId="1" shapeId="0">
      <text>
        <t>was 18440</t>
      </text>
    </comment>
    <comment ref="G11" authorId="2" shapeId="0">
      <text>
        <t>Tran Dat:
15.990</t>
      </text>
    </comment>
    <comment ref="B12" authorId="1" shapeId="0">
      <text>
        <t>was 13190
VNP100</t>
      </text>
    </comment>
    <comment ref="C12" authorId="1" shapeId="0">
      <text>
        <t xml:space="preserve">W7 12890
</t>
      </text>
    </comment>
    <comment ref="C13" authorId="5" shapeId="0">
      <text>
        <t>W7 9590</t>
      </text>
    </comment>
    <comment ref="D14" authorId="0" shapeId="0">
      <text>
        <t>Việt Hoàng:
Last week:
8.990.000</t>
      </text>
    </comment>
    <comment ref="D16" authorId="0" shapeId="0">
      <text>
        <t>Việt Hoàng:
Last week
8.990.000</t>
      </text>
    </comment>
    <comment ref="G16" authorId="2" shapeId="0">
      <text>
        <t>Tran Dat:
8.390</t>
      </text>
    </comment>
    <comment ref="B17" authorId="1" shapeId="0">
      <text>
        <t>was 7040
VNP40</t>
      </text>
    </comment>
    <comment ref="B18" authorId="1" shapeId="0">
      <text>
        <t>was 14390</t>
      </text>
    </comment>
    <comment ref="F20" authorId="3" shapeId="0">
      <text>
        <t>Unknown User:
27.690k</t>
      </text>
    </comment>
    <comment ref="B21" authorId="1" shapeId="0">
      <text>
        <t>was 36640</t>
      </text>
    </comment>
    <comment ref="G22" authorId="2" shapeId="0">
      <text>
        <t>Tran Dat:
5590</t>
      </text>
    </comment>
    <comment ref="F23" authorId="6" shapeId="0">
      <text>
        <t>chit trang:
7.190k</t>
      </text>
    </comment>
    <comment ref="G23" authorId="2" shapeId="0">
      <text>
        <t>Tran Dat:
7.190.000</t>
      </text>
    </comment>
    <comment ref="G24" authorId="2" shapeId="0">
      <text>
        <t>Tran Dat:
6.390</t>
      </text>
    </comment>
    <comment ref="G25" authorId="2" shapeId="0">
      <text>
        <t>7.790</t>
      </text>
    </comment>
    <comment ref="F26" authorId="6" shapeId="0">
      <text>
        <t>chit trang:
9,990k</t>
      </text>
    </comment>
    <comment ref="G26" authorId="2" shapeId="0">
      <text>
        <t>Tran Dat:
10.490.000</t>
      </text>
    </comment>
    <comment ref="G27" authorId="2" shapeId="0">
      <text>
        <t>Tran Dat:
12.190</t>
      </text>
    </comment>
    <comment ref="G28" authorId="2" shapeId="0">
      <text>
        <t>Tran Dat:
10.590</t>
      </text>
    </comment>
    <comment ref="B29" authorId="1" shapeId="0">
      <text>
        <t>was 13320
VNP100</t>
      </text>
    </comment>
    <comment ref="G29" authorId="2" shapeId="0">
      <text>
        <t>Tran Dat:
13.690</t>
      </text>
    </comment>
    <comment ref="F30" authorId="3" shapeId="0">
      <text>
        <t>Unknown User:
22.490</t>
      </text>
    </comment>
    <comment ref="B31" authorId="1" shapeId="0">
      <text>
        <t>was 5550
VNP40</t>
      </text>
    </comment>
    <comment ref="G31" authorId="2" shapeId="0">
      <text>
        <t>Tran Dat:
5290000</t>
      </text>
    </comment>
    <comment ref="B32" authorId="1" shapeId="0">
      <text>
        <t xml:space="preserve">was 4490
</t>
      </text>
    </comment>
    <comment ref="G32" authorId="2" shapeId="0">
      <text>
        <t>Tran Dat:
4690000</t>
      </text>
    </comment>
    <comment ref="B33" authorId="1" shapeId="0">
      <text>
        <t>was 3190</t>
      </text>
    </comment>
    <comment ref="D33" authorId="0" shapeId="0">
      <text>
        <t>Việt Hoàng:
Last week:
3.390.000</t>
      </text>
    </comment>
    <comment ref="G33" authorId="2" shapeId="0">
      <text>
        <t>Tran Dat:
3.340</t>
      </text>
    </comment>
    <comment ref="B35" authorId="1" shapeId="0">
      <text>
        <t>was 18090
VNP100</t>
      </text>
    </comment>
    <comment ref="D35" authorId="0" shapeId="0">
      <text>
        <t>Việt Hoàng:
Last week:
17.590.000</t>
      </text>
    </comment>
    <comment ref="D36" authorId="0" shapeId="0">
      <text>
        <t>Việt Hoàng:
Last week:
22.790.000</t>
      </text>
    </comment>
    <comment ref="B37" authorId="1" shapeId="0">
      <text>
        <t>was 26140
VNP150</t>
      </text>
    </comment>
    <comment ref="D37" authorId="0" shapeId="0">
      <text>
        <t>Việt Hoàng:
25.890.000</t>
      </text>
    </comment>
    <comment ref="D38" authorId="0" shapeId="0">
      <text>
        <t>Việt Hoàng:
Last week:
31.890.000</t>
      </text>
    </comment>
    <comment ref="D39" authorId="0" shapeId="0">
      <text>
        <t>Việt Hoàng:
Last week:
39.790.000</t>
      </text>
    </comment>
  </commentList>
</comments>
</file>

<file path=xl/comments/comment45.xml><?xml version="1.0" encoding="utf-8"?>
<comments xmlns="http://schemas.openxmlformats.org/spreadsheetml/2006/main">
  <authors>
    <author>Microsoft Office User</author>
    <author>Duy</author>
    <author>Guest User</author>
    <author>Tran Dat</author>
    <author>Việt Hoàng</author>
    <author>Sheva Son</author>
    <author>chit trang</author>
  </authors>
  <commentList>
    <comment ref="E2" authorId="0" shapeId="0">
      <text>
        <t>Hotsale 20490</t>
      </text>
    </comment>
    <comment ref="B3" authorId="0" shapeId="0">
      <text>
        <t>was 24640000
VNP150</t>
      </text>
    </comment>
    <comment ref="E3" authorId="0" shapeId="0">
      <text>
        <t>Hotsale 24290</t>
      </text>
    </comment>
    <comment ref="C4" authorId="1" shapeId="0">
      <text>
        <t>W8 27590</t>
      </text>
    </comment>
    <comment ref="F4" authorId="2" shapeId="0">
      <text>
        <t>Unknown User:
27.290k</t>
      </text>
    </comment>
    <comment ref="G4" authorId="3" shapeId="0">
      <text>
        <t>Tran Dat:
26890</t>
      </text>
    </comment>
    <comment ref="B5"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5" authorId="1" shapeId="0">
      <text>
        <t>W8 32890</t>
      </text>
    </comment>
    <comment ref="D5" authorId="4" shapeId="0">
      <text>
        <t>Việt Hoàng:
Last week:
32.890.000</t>
      </text>
    </comment>
    <comment ref="E5" authorId="5" shapeId="0">
      <text>
        <t>Web: 32.790K
Giảm giá shock giờ vàng từ 9-22h</t>
      </text>
    </comment>
    <comment ref="F5" authorId="6" shapeId="0">
      <text>
        <t>chit trang:
32.890k</t>
      </text>
    </comment>
    <comment ref="G5" authorId="3" shapeId="0">
      <text>
        <t>Tran Dat:
32.290</t>
      </text>
    </comment>
    <comment ref="E6" authorId="0" shapeId="0">
      <text>
        <t>hotsale 18490</t>
      </text>
    </comment>
    <comment ref="C7" authorId="1" shapeId="0">
      <text>
        <t>W8 22990</t>
      </text>
    </comment>
    <comment ref="E7" authorId="0" shapeId="0">
      <text>
        <t>Hotsale 21990</t>
      </text>
    </comment>
    <comment ref="F7" authorId="6" shapeId="0">
      <text>
        <t>chit trang:
22.390k</t>
      </text>
    </comment>
    <comment ref="B9" authorId="0" shapeId="0">
      <text>
        <t>was 29140000
VNP150</t>
      </text>
    </comment>
    <comment ref="F9" authorId="2" shapeId="0">
      <text>
        <t>Unknown User:
29.090k</t>
      </text>
    </comment>
    <comment ref="B10" authorId="0" shapeId="0">
      <text>
        <t>was 18440</t>
      </text>
    </comment>
    <comment ref="D10" authorId="4" shapeId="0">
      <text>
        <t>Việt Hoàng:
Last week:
19.690.000</t>
      </text>
    </comment>
    <comment ref="F10" authorId="6" shapeId="0">
      <text>
        <t>chit trang:
19.490k</t>
      </text>
    </comment>
    <comment ref="F11" authorId="6" shapeId="0">
      <text>
        <t>chit trang:
15.590k</t>
      </text>
    </comment>
    <comment ref="B12" authorId="0" shapeId="0">
      <text>
        <t>was 13190
VNP100</t>
      </text>
    </comment>
    <comment ref="C12" authorId="0" shapeId="0">
      <text>
        <t xml:space="preserve">W8 12850
</t>
      </text>
    </comment>
    <comment ref="E13" authorId="0" shapeId="0">
      <text>
        <t>was 10490</t>
      </text>
    </comment>
    <comment ref="C16" authorId="1" shapeId="0">
      <text>
        <t>W8 8990</t>
      </text>
    </comment>
    <comment ref="D16" authorId="4" shapeId="0">
      <text>
        <t>Việt Hoàng:
Last week
8.890.000</t>
      </text>
    </comment>
    <comment ref="E16" authorId="0" shapeId="0">
      <text>
        <t>was 8390
giảm thêm 200k onl</t>
      </text>
    </comment>
    <comment ref="F16" authorId="6" shapeId="0">
      <text>
        <t>chit trang:
8.790k</t>
      </text>
    </comment>
    <comment ref="G16" authorId="3" shapeId="0">
      <text>
        <t>Tran Dat:
8.690</t>
      </text>
    </comment>
    <comment ref="B17" authorId="0" shapeId="0">
      <text>
        <t>was 7040
VNP40</t>
      </text>
    </comment>
    <comment ref="B18" authorId="0" shapeId="0">
      <text>
        <t>was 14390</t>
      </text>
    </comment>
    <comment ref="D18" authorId="4" shapeId="0">
      <text>
        <t>Việt Hoàng:
Last week:
14.890.000</t>
      </text>
    </comment>
    <comment ref="E18" authorId="0" shapeId="0">
      <text>
        <t>was 13990</t>
      </text>
    </comment>
    <comment ref="F18" authorId="6" shapeId="0">
      <text>
        <t>chit trang:
14.990k</t>
      </text>
    </comment>
    <comment ref="G18" authorId="3" shapeId="0">
      <text>
        <t>Tran Dat:
14590</t>
      </text>
    </comment>
    <comment ref="D19" authorId="4" shapeId="0">
      <text>
        <t>Việt Hoàng:
Last week:
20.490.000</t>
      </text>
    </comment>
    <comment ref="E19" authorId="0" shapeId="0">
      <text>
        <t>was 19490</t>
      </text>
    </comment>
    <comment ref="G19" authorId="3" shapeId="0">
      <text>
        <t>Tran Dat:
20090</t>
      </text>
    </comment>
    <comment ref="D20" authorId="4" shapeId="0">
      <text>
        <t>Việt Hoàng:
Last week:
27.690.000</t>
      </text>
    </comment>
    <comment ref="B21" authorId="0" shapeId="0">
      <text>
        <t>was 36640</t>
      </text>
    </comment>
    <comment ref="C22" authorId="1" shapeId="0">
      <text>
        <t>W8 5770</t>
      </text>
    </comment>
    <comment ref="D22" authorId="4" shapeId="0">
      <text>
        <t>Việt Hoàng:
Last week:
5.690.000</t>
      </text>
    </comment>
    <comment ref="E22" authorId="0" shapeId="0">
      <text>
        <t>was 5590</t>
      </text>
    </comment>
    <comment ref="G22" authorId="3" shapeId="0">
      <text>
        <t>Tran Dat:
5690</t>
      </text>
    </comment>
    <comment ref="C23" authorId="1" shapeId="0">
      <text>
        <t>W8 7070</t>
      </text>
    </comment>
    <comment ref="D23" authorId="4" shapeId="0">
      <text>
        <t>Việt Hoàng:
Last week:
7.090.000</t>
      </text>
    </comment>
    <comment ref="E23" authorId="0" shapeId="0">
      <text>
        <t>was 6990</t>
      </text>
    </comment>
    <comment ref="F23" authorId="6" shapeId="0">
      <text>
        <t>chit trang:
7.190k</t>
      </text>
    </comment>
    <comment ref="G23" authorId="3" shapeId="0">
      <text>
        <t>Tran Dat:
7.190.000</t>
      </text>
    </comment>
    <comment ref="C24" authorId="1" shapeId="0">
      <text>
        <t>W8 6570</t>
      </text>
    </comment>
    <comment ref="D24" authorId="4" shapeId="0">
      <text>
        <t>Việt Hoàng:
Last week:
6.490.000</t>
      </text>
    </comment>
    <comment ref="E24" authorId="0" shapeId="0">
      <text>
        <t>was 6390</t>
      </text>
    </comment>
    <comment ref="G24" authorId="3" shapeId="0">
      <text>
        <t>Tran Dat:
6.490</t>
      </text>
    </comment>
    <comment ref="C25" authorId="1" shapeId="0">
      <text>
        <t>W8 7870</t>
      </text>
    </comment>
    <comment ref="D25" authorId="4" shapeId="0">
      <text>
        <t>Việt Hoàng:
Last week:
7.890.000</t>
      </text>
    </comment>
    <comment ref="E25" authorId="0" shapeId="0">
      <text>
        <t>was 7790</t>
      </text>
    </comment>
    <comment ref="F25" authorId="6" shapeId="0">
      <text>
        <t>chit trang:
8.090k</t>
      </text>
    </comment>
    <comment ref="G25" authorId="3" shapeId="0">
      <text>
        <t>7.790</t>
      </text>
    </comment>
    <comment ref="C26" authorId="1" shapeId="0">
      <text>
        <t>W8 9690</t>
      </text>
    </comment>
    <comment ref="D26" authorId="4" shapeId="0">
      <text>
        <t>Việt Hoàng:
Last week:
9.990.000</t>
      </text>
    </comment>
    <comment ref="E26" authorId="0" shapeId="0">
      <text>
        <t>was 9990</t>
      </text>
    </comment>
    <comment ref="F26" authorId="6" shapeId="0">
      <text>
        <t>chit trang:
9,790k</t>
      </text>
    </comment>
    <comment ref="G26" authorId="3" shapeId="0">
      <text>
        <t>Tran Dat:
9.750</t>
      </text>
    </comment>
    <comment ref="C27" authorId="1" shapeId="0">
      <text>
        <t>W8 12390</t>
      </text>
    </comment>
    <comment ref="D27" authorId="4" shapeId="0">
      <text>
        <t>Việt Hoàng:
Last week:
12.390.000</t>
      </text>
    </comment>
    <comment ref="E27" authorId="0" shapeId="0">
      <text>
        <t>was 12490</t>
      </text>
    </comment>
    <comment ref="F27" authorId="6" shapeId="0">
      <text>
        <t>chit trang:
12.390</t>
      </text>
    </comment>
    <comment ref="G27" authorId="3" shapeId="0">
      <text>
        <t>Tran Dat:
12.390</t>
      </text>
    </comment>
    <comment ref="C28" authorId="1" shapeId="0">
      <text>
        <t>W8 10790</t>
      </text>
    </comment>
    <comment ref="D28" authorId="4" shapeId="0">
      <text>
        <t>Việt Hoàng:
Last week:
10.890.000</t>
      </text>
    </comment>
    <comment ref="E28" authorId="0" shapeId="0">
      <text>
        <t>was 10690</t>
      </text>
    </comment>
    <comment ref="F28" authorId="6" shapeId="0">
      <text>
        <t>chit trang:
10.790k</t>
      </text>
    </comment>
    <comment ref="G28" authorId="3" shapeId="0">
      <text>
        <t>Tran Dat:
10.990</t>
      </text>
    </comment>
    <comment ref="B29" authorId="0" shapeId="0">
      <text>
        <t>was 13320
VNP100</t>
      </text>
    </comment>
    <comment ref="C29" authorId="1" shapeId="0">
      <text>
        <t>W8 13390</t>
      </text>
    </comment>
    <comment ref="D29" authorId="4" shapeId="0">
      <text>
        <t>Việt Hoàng:
Last week:
13.390.000</t>
      </text>
    </comment>
    <comment ref="E29" authorId="0" shapeId="0">
      <text>
        <t>was 13390</t>
      </text>
    </comment>
    <comment ref="E30" authorId="0" shapeId="0">
      <text>
        <t>was 21990</t>
      </text>
    </comment>
    <comment ref="F30" authorId="2" shapeId="0">
      <text>
        <t>Unknown User:
22.490</t>
      </text>
    </comment>
    <comment ref="B31" authorId="0" shapeId="0">
      <text>
        <t>was 5550
VNP40</t>
      </text>
    </comment>
    <comment ref="C31" authorId="1" shapeId="0">
      <text>
        <t>W8 5690</t>
      </text>
    </comment>
    <comment ref="E31" authorId="0" shapeId="0">
      <text>
        <t>was 5390</t>
      </text>
    </comment>
    <comment ref="F31" authorId="6" shapeId="0">
      <text>
        <t>chit trang:
5.590</t>
      </text>
    </comment>
    <comment ref="B32" authorId="0" shapeId="0">
      <text>
        <t xml:space="preserve">was 4490
</t>
      </text>
    </comment>
    <comment ref="C32" authorId="1" shapeId="0">
      <text>
        <t>W8 4490</t>
      </text>
    </comment>
    <comment ref="D32" authorId="4" shapeId="0">
      <text>
        <t>Việt Hoàng:
Last week:
4.490.000</t>
      </text>
    </comment>
    <comment ref="E32" authorId="0" shapeId="0">
      <text>
        <t>was 4290</t>
      </text>
    </comment>
    <comment ref="F32" authorId="6" shapeId="0">
      <text>
        <t>chit trang:
4.450k</t>
      </text>
    </comment>
    <comment ref="B33" authorId="0" shapeId="0">
      <text>
        <t>was 3190</t>
      </text>
    </comment>
    <comment ref="C33" authorId="1" shapeId="0">
      <text>
        <t>W8 3190</t>
      </text>
    </comment>
    <comment ref="D33" authorId="4" shapeId="0">
      <text>
        <t>Việt Hoàng:
Last week:
3.190.000</t>
      </text>
    </comment>
    <comment ref="E33" authorId="0" shapeId="0">
      <text>
        <t>was 2990</t>
      </text>
    </comment>
    <comment ref="G33" authorId="3" shapeId="0">
      <text>
        <t>Tran Dat:
3.190</t>
      </text>
    </comment>
    <comment ref="B35" authorId="0" shapeId="0">
      <text>
        <t>was 18090
VNP100</t>
      </text>
    </comment>
    <comment ref="D35" authorId="4" shapeId="0">
      <text>
        <t>Việt Hoàng:
Last week:
17.790.000</t>
      </text>
    </comment>
    <comment ref="G35" authorId="3" shapeId="0">
      <text>
        <t>Tran Dat:
17.290</t>
      </text>
    </comment>
    <comment ref="C36" authorId="1" shapeId="0">
      <text>
        <t>W8 22990</t>
      </text>
    </comment>
    <comment ref="D36" authorId="4" shapeId="0">
      <text>
        <t>Việt Hoàng:
Last week:
22.990.000</t>
      </text>
    </comment>
    <comment ref="F36" authorId="6" shapeId="0">
      <text>
        <t>chit trang:
22.990k</t>
      </text>
    </comment>
    <comment ref="G36" authorId="3" shapeId="0">
      <text>
        <t>Tran Dat:
23090</t>
      </text>
    </comment>
    <comment ref="B37" authorId="0" shapeId="0">
      <text>
        <t>was 26140
VNP150</t>
      </text>
    </comment>
    <comment ref="D37" authorId="4" shapeId="0">
      <text>
        <t>Việt Hoàng:
26.090.000</t>
      </text>
    </comment>
    <comment ref="F37" authorId="6" shapeId="0">
      <text>
        <t>chit trang:
25,990k</t>
      </text>
    </comment>
    <comment ref="G37" authorId="3" shapeId="0">
      <text>
        <t>Tran Dat:
25490</t>
      </text>
    </comment>
  </commentList>
</comments>
</file>

<file path=xl/comments/comment46.xml><?xml version="1.0" encoding="utf-8"?>
<comments xmlns="http://schemas.openxmlformats.org/spreadsheetml/2006/main">
  <authors>
    <author>Duy</author>
    <author>Việt Hoàng</author>
    <author>Microsoft Office User</author>
    <author>chit trang</author>
    <author>Tran Dat</author>
    <author>Guest User</author>
    <author>Sheva Son</author>
  </authors>
  <commentList>
    <comment ref="C3" authorId="0" shapeId="0">
      <text>
        <t>W9 21490</t>
      </text>
    </comment>
    <comment ref="D3" authorId="1" shapeId="0">
      <text>
        <t>Việt Hoàng:
Last week:
21.390.000</t>
      </text>
    </comment>
    <comment ref="E3" authorId="2" shapeId="0">
      <text>
        <t>was 20790</t>
      </text>
    </comment>
    <comment ref="F3" authorId="3" shapeId="0">
      <text>
        <t>chit trang:
20.990k</t>
      </text>
    </comment>
    <comment ref="G3" authorId="4" shapeId="0">
      <text>
        <t>Tran Dat:
20490</t>
      </text>
    </comment>
    <comment ref="B4" authorId="2" shapeId="0">
      <text>
        <t>was 24640000
VNP150</t>
      </text>
    </comment>
    <comment ref="C4" authorId="0" shapeId="0">
      <text>
        <t>W9 24790</t>
      </text>
    </comment>
    <comment ref="D4" authorId="1" shapeId="0">
      <text>
        <t>Việt Hoàng:
Last week:
24.790.000</t>
      </text>
    </comment>
    <comment ref="E4" authorId="2" shapeId="0">
      <text>
        <t>was 24790</t>
      </text>
    </comment>
    <comment ref="F4" authorId="3" shapeId="0">
      <text>
        <t>chit trang:
24.990k</t>
      </text>
    </comment>
    <comment ref="G4" authorId="4" shapeId="0">
      <text>
        <t>Tran Dat:
24590</t>
      </text>
    </comment>
    <comment ref="C5" authorId="0" shapeId="0">
      <text>
        <t>W9 27490</t>
      </text>
    </comment>
    <comment ref="D5" authorId="1" shapeId="0">
      <text>
        <t>Việt Hoàng:
Last week:
27.490.000</t>
      </text>
    </comment>
    <comment ref="E5" authorId="2" shapeId="0">
      <text>
        <t>was 26990</t>
      </text>
    </comment>
    <comment ref="F5" authorId="5" shapeId="0">
      <text>
        <t>Unknown User:
26.990k</t>
      </text>
    </comment>
    <comment ref="G5" authorId="4" shapeId="0">
      <text>
        <t>26590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0" shapeId="0">
      <text>
        <t>W9 32090</t>
      </text>
    </comment>
    <comment ref="D6" authorId="1" shapeId="0">
      <text>
        <t>Việt Hoàng:
Last week:
31.990.000</t>
      </text>
    </comment>
    <comment ref="E6" authorId="6" shapeId="0">
      <text>
        <t>was 31790</t>
      </text>
    </comment>
    <comment ref="F6" authorId="3" shapeId="0">
      <text>
        <t>chit trang:
31.990k</t>
      </text>
    </comment>
    <comment ref="G6" authorId="4" shapeId="0">
      <text>
        <t>Tran Dat:
31.590</t>
      </text>
    </comment>
    <comment ref="C7" authorId="0" shapeId="0">
      <text>
        <t>w9 18990</t>
      </text>
    </comment>
    <comment ref="D7" authorId="1" shapeId="0">
      <text>
        <t>Việt Hoàng:
Last week:
18.990.000</t>
      </text>
    </comment>
    <comment ref="E7" authorId="2" shapeId="0">
      <text>
        <t>was 18990</t>
      </text>
    </comment>
    <comment ref="F7" authorId="3" shapeId="0">
      <text>
        <t>chit trang:
18.690k</t>
      </text>
    </comment>
    <comment ref="G7" authorId="4" shapeId="0">
      <text>
        <t>Tran Dat:
18390</t>
      </text>
    </comment>
    <comment ref="C8" authorId="0" shapeId="0">
      <text>
        <t>W8 22690</t>
      </text>
    </comment>
    <comment ref="D8" authorId="1" shapeId="0">
      <text>
        <t>Việt Hoàng:
Last week:
22.590.000</t>
      </text>
    </comment>
    <comment ref="E8" authorId="2" shapeId="0">
      <text>
        <t>was 22290</t>
      </text>
    </comment>
    <comment ref="F8" authorId="3" shapeId="0">
      <text>
        <t>chit trang:21.890k</t>
      </text>
    </comment>
    <comment ref="G8" authorId="4" shapeId="0">
      <text>
        <t>Tran Dat:
22090</t>
      </text>
    </comment>
    <comment ref="B10" authorId="2" shapeId="0">
      <text>
        <t>was 29140000
VNP150</t>
      </text>
    </comment>
    <comment ref="B11" authorId="2" shapeId="0">
      <text>
        <t>was 18440</t>
      </text>
    </comment>
    <comment ref="F11" authorId="3" shapeId="0">
      <text>
        <t>chit trang:
19.490k</t>
      </text>
    </comment>
    <comment ref="G11" authorId="4" shapeId="0">
      <text>
        <t>Tran Dat:
19690</t>
      </text>
    </comment>
    <comment ref="C12" authorId="0" shapeId="0">
      <text>
        <t>W9 15990</t>
      </text>
    </comment>
    <comment ref="D12" authorId="1" shapeId="0">
      <text>
        <t>Việt Hoàng:
Last week:
15.990.000</t>
      </text>
    </comment>
    <comment ref="E12" authorId="2" shapeId="0">
      <text>
        <t>was 15290</t>
      </text>
    </comment>
    <comment ref="F12" authorId="3" shapeId="0">
      <text>
        <t>chit trang:
15.090k</t>
      </text>
    </comment>
    <comment ref="G12" authorId="4" shapeId="0">
      <text>
        <t>Tran Dat:
15690</t>
      </text>
    </comment>
    <comment ref="B13" authorId="2" shapeId="0">
      <text>
        <t>was 13190
VNP100</t>
      </text>
    </comment>
    <comment ref="C13" authorId="2" shapeId="0">
      <text>
        <t xml:space="preserve">W9 13290
</t>
      </text>
    </comment>
    <comment ref="D13" authorId="1" shapeId="0">
      <text>
        <t>Việt Hoàng:
Last week:
12.890.000</t>
      </text>
    </comment>
    <comment ref="E13" authorId="2" shapeId="0">
      <text>
        <t>was 12590</t>
      </text>
    </comment>
    <comment ref="F13" authorId="3" shapeId="0">
      <text>
        <t>chit trang:
12.590k</t>
      </text>
    </comment>
    <comment ref="G13" authorId="4" shapeId="0">
      <text>
        <t>12590</t>
      </text>
    </comment>
    <comment ref="C14" authorId="0" shapeId="0">
      <text>
        <t>W9 9990</t>
      </text>
    </comment>
    <comment ref="F14" authorId="3" shapeId="0">
      <text>
        <t>chit trang:
9.990k</t>
      </text>
    </comment>
    <comment ref="E17" authorId="2" shapeId="0">
      <text>
        <t>was 9690
giảm online 200k, vnp 1%</t>
      </text>
    </comment>
    <comment ref="B18" authorId="2" shapeId="0">
      <text>
        <t>was 7040
VNP40</t>
      </text>
    </comment>
    <comment ref="B19" authorId="2" shapeId="0">
      <text>
        <t>was 14390</t>
      </text>
    </comment>
    <comment ref="E19" authorId="2" shapeId="0">
      <text>
        <t>was 15790
VNP1%</t>
      </text>
    </comment>
    <comment ref="E20" authorId="2" shapeId="0">
      <text>
        <t>was 21490
vnp1%</t>
      </text>
    </comment>
    <comment ref="F21" authorId="3" shapeId="0">
      <text>
        <t>chit trang:
27.890k</t>
      </text>
    </comment>
    <comment ref="B22" authorId="2" shapeId="0">
      <text>
        <t>was 36640</t>
      </text>
    </comment>
    <comment ref="E22" authorId="2" shapeId="0">
      <text>
        <t>was 36490</t>
      </text>
    </comment>
    <comment ref="C23" authorId="0" shapeId="0">
      <text>
        <t>W9 5990</t>
      </text>
    </comment>
    <comment ref="D23" authorId="1" shapeId="0">
      <text>
        <t>Việt Hoàng:
Last week:
5.890.000</t>
      </text>
    </comment>
    <comment ref="E23" authorId="2" shapeId="0">
      <text>
        <t>was 5690
vnp1%</t>
      </text>
    </comment>
    <comment ref="F23" authorId="3" shapeId="0">
      <text>
        <t>chit trang:
5.690k</t>
      </text>
    </comment>
    <comment ref="G23" authorId="4" shapeId="0">
      <text>
        <t>Tran Dat:
5890</t>
      </text>
    </comment>
    <comment ref="C24" authorId="0" shapeId="0">
      <text>
        <t>W9 7190</t>
      </text>
    </comment>
    <comment ref="D24" authorId="1" shapeId="0">
      <text>
        <t>Việt Hoàng:
Last week:
7.190.000</t>
      </text>
    </comment>
    <comment ref="E24" authorId="2" shapeId="0">
      <text>
        <t>was 6890</t>
      </text>
    </comment>
    <comment ref="C25" authorId="0" shapeId="0">
      <text>
        <t>W9 6690</t>
      </text>
    </comment>
    <comment ref="D25" authorId="1" shapeId="0">
      <text>
        <t>Việt Hoàng:
Last week:
6.690.000</t>
      </text>
    </comment>
    <comment ref="E25" authorId="2" shapeId="0">
      <text>
        <t>was 6490
vnp1%</t>
      </text>
    </comment>
    <comment ref="G25" authorId="4" shapeId="0">
      <text>
        <t>Tran Dat:
6.490</t>
      </text>
    </comment>
    <comment ref="C26" authorId="0" shapeId="0">
      <text>
        <t>W9 7990</t>
      </text>
    </comment>
    <comment ref="D26" authorId="1" shapeId="0">
      <text>
        <t>Việt Hoàng:
Last week:
7.990.000</t>
      </text>
    </comment>
    <comment ref="E26" authorId="2" shapeId="0">
      <text>
        <t>was 7690
vnp1%</t>
      </text>
    </comment>
    <comment ref="F26" authorId="3" shapeId="0">
      <text>
        <t>chit trang:
8.090k</t>
      </text>
    </comment>
    <comment ref="G26" authorId="4" shapeId="0">
      <text>
        <t>7.790</t>
      </text>
    </comment>
    <comment ref="C27" authorId="0" shapeId="0">
      <text>
        <t>W9 10990</t>
      </text>
    </comment>
    <comment ref="D27" authorId="1" shapeId="0">
      <text>
        <t>Việt Hoàng:
Last week:
10.890.000</t>
      </text>
    </comment>
    <comment ref="E27" authorId="2" shapeId="0">
      <text>
        <t>was 10390
vnp1%</t>
      </text>
    </comment>
    <comment ref="F27" authorId="3" shapeId="0">
      <text>
        <t>chit trang:9.390k</t>
      </text>
    </comment>
    <comment ref="G27" authorId="4" shapeId="0">
      <text>
        <t>10790</t>
      </text>
    </comment>
    <comment ref="C28" authorId="0" shapeId="0">
      <text>
        <t>W9 13490</t>
      </text>
    </comment>
    <comment ref="D28" authorId="1" shapeId="0">
      <text>
        <t>Việt Hoàng:
Last week:
13.390.000</t>
      </text>
    </comment>
    <comment ref="E28" authorId="2" shapeId="0">
      <text>
        <t>was 12990
vnp1%</t>
      </text>
    </comment>
    <comment ref="F28" authorId="3" shapeId="0">
      <text>
        <t>chit trang:
12.990</t>
      </text>
    </comment>
    <comment ref="G28" authorId="4" shapeId="0">
      <text>
        <t>Tran Dat:
13190</t>
      </text>
    </comment>
    <comment ref="C29" authorId="0" shapeId="0">
      <text>
        <t>W9 11690</t>
      </text>
    </comment>
    <comment ref="D29" authorId="1" shapeId="0">
      <text>
        <t>Việt Hoàng:
Last week:
11.690.000</t>
      </text>
    </comment>
    <comment ref="E29" authorId="2" shapeId="0">
      <text>
        <t>was 11290
vnp1%</t>
      </text>
    </comment>
    <comment ref="F29" authorId="3" shapeId="0">
      <text>
        <t>11.290k</t>
      </text>
    </comment>
    <comment ref="G29" authorId="4" shapeId="0">
      <text>
        <t>Tran Dat:
10.790</t>
      </text>
    </comment>
    <comment ref="B30" authorId="2" shapeId="0">
      <text>
        <t>was 13320
VNP100</t>
      </text>
    </comment>
    <comment ref="C30" authorId="0" shapeId="0">
      <text>
        <t>W9 14290</t>
      </text>
    </comment>
    <comment ref="D30" authorId="1" shapeId="0">
      <text>
        <t>Việt Hoàng:
Last week:
14.190.000</t>
      </text>
    </comment>
    <comment ref="E30" authorId="2" shapeId="0">
      <text>
        <t>was 13890
vnp1%</t>
      </text>
    </comment>
    <comment ref="E31" authorId="2" shapeId="0">
      <text>
        <t>was 21490
vnp1%</t>
      </text>
    </comment>
    <comment ref="B32" authorId="2" shapeId="0">
      <text>
        <t>was 5550
VNP40</t>
      </text>
    </comment>
    <comment ref="C32" authorId="0" shapeId="0">
      <text>
        <t>W9 5790</t>
      </text>
    </comment>
    <comment ref="D32" authorId="1" shapeId="0">
      <text>
        <t>Việt Hoàng:
Last week:
5.590.000</t>
      </text>
    </comment>
    <comment ref="E32" authorId="2" shapeId="0">
      <text>
        <t>was 5590</t>
      </text>
    </comment>
    <comment ref="F32" authorId="3" shapeId="0">
      <text>
        <t>chit trang:
5.690</t>
      </text>
    </comment>
    <comment ref="B33" authorId="2" shapeId="0">
      <text>
        <t xml:space="preserve">was 4490
</t>
      </text>
    </comment>
    <comment ref="C33" authorId="0" shapeId="0">
      <text>
        <t>W9 4650</t>
      </text>
    </comment>
    <comment ref="D33" authorId="1" shapeId="0">
      <text>
        <t>Việt Hoàng:
Last week:
4.650.000</t>
      </text>
    </comment>
    <comment ref="E33" authorId="2" shapeId="0">
      <text>
        <t>was 4390</t>
      </text>
    </comment>
    <comment ref="F33" authorId="3" shapeId="0">
      <text>
        <t>chit trang:
4.590k</t>
      </text>
    </comment>
    <comment ref="B34" authorId="2" shapeId="0">
      <text>
        <t>was 3190</t>
      </text>
    </comment>
    <comment ref="C34" authorId="0" shapeId="0">
      <text>
        <t>W9 3390</t>
      </text>
    </comment>
    <comment ref="D34" authorId="1" shapeId="0">
      <text>
        <t>Việt Hoàng:
Last week:
3.350.000</t>
      </text>
    </comment>
    <comment ref="E34" authorId="2" shapeId="0">
      <text>
        <t>was 3190</t>
      </text>
    </comment>
    <comment ref="G34" authorId="4" shapeId="0">
      <text>
        <t>Tran Dat:
3.390</t>
      </text>
    </comment>
    <comment ref="B36" authorId="2" shapeId="0">
      <text>
        <t>was 18090
VNP100</t>
      </text>
    </comment>
    <comment ref="C36" authorId="0" shapeId="0">
      <text>
        <t>W9 17790</t>
      </text>
    </comment>
    <comment ref="G36" authorId="4" shapeId="0">
      <text>
        <t>Tran Dat:
17.290</t>
      </text>
    </comment>
    <comment ref="D37" authorId="1" shapeId="0">
      <text>
        <t>Việt Hoàng:
Last week:
23.590.000</t>
      </text>
    </comment>
    <comment ref="G37" authorId="4" shapeId="0">
      <text>
        <t>Tran Dat:
23090</t>
      </text>
    </comment>
    <comment ref="B38" authorId="2" shapeId="0">
      <text>
        <t>was 26140
VNP150</t>
      </text>
    </comment>
    <comment ref="D38" authorId="1" shapeId="0">
      <text>
        <t>Việt Hoàng:
26.290.000</t>
      </text>
    </comment>
    <comment ref="G38" authorId="4" shapeId="0">
      <text>
        <t>Tran Dat:
25490</t>
      </text>
    </comment>
  </commentList>
</comments>
</file>

<file path=xl/comments/comment47.xml><?xml version="1.0" encoding="utf-8"?>
<comments xmlns="http://schemas.openxmlformats.org/spreadsheetml/2006/main">
  <authors>
    <author>Duy</author>
    <author>Việt Hoàng</author>
    <author>chit trang</author>
    <author>Tran Dat</author>
    <author>Microsoft Office User</author>
  </authors>
  <commentList>
    <comment ref="C2" authorId="0" shapeId="0">
      <text>
        <t>W10 16990</t>
      </text>
    </comment>
    <comment ref="D2" authorId="1" shapeId="0">
      <text>
        <t>Việt Hoàng:
Last week
16.990.000</t>
      </text>
    </comment>
    <comment ref="C3" authorId="0" shapeId="0">
      <text>
        <t>W10 19890</t>
      </text>
    </comment>
    <comment ref="D3" authorId="1" shapeId="0">
      <text>
        <t>Việt Hoàng:
Last week:
19.890.000</t>
      </text>
    </comment>
    <comment ref="F3" authorId="2" shapeId="0">
      <text>
        <t>chit trang:
19.790k</t>
      </text>
    </comment>
    <comment ref="G3" authorId="3" shapeId="0">
      <text>
        <t>Tran Dat:
20490</t>
      </text>
    </comment>
    <comment ref="B4" authorId="4" shapeId="0">
      <text>
        <t>was 24640000
VNP150</t>
      </text>
    </comment>
    <comment ref="C4" authorId="0" shapeId="0">
      <text>
        <t>W10 22890</t>
      </text>
    </comment>
    <comment ref="D4" authorId="1" shapeId="0">
      <text>
        <t>Việt Hoàng:
Last week:
22.790.000</t>
      </text>
    </comment>
    <comment ref="F4" authorId="2" shapeId="0">
      <text>
        <t>chit trang:
22.690k</t>
      </text>
    </comment>
    <comment ref="C5" authorId="0" shapeId="0">
      <text>
        <t>W10 25590</t>
      </text>
    </comment>
    <comment ref="G5" authorId="3" shapeId="0">
      <text>
        <t>25990</t>
      </text>
    </comment>
    <comment ref="B6"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6" authorId="2" shapeId="0">
      <text>
        <t>chit trang:
31.390k</t>
      </text>
    </comment>
    <comment ref="G6" authorId="3" shapeId="0">
      <text>
        <t>Tran Dat:
30.790</t>
      </text>
    </comment>
    <comment ref="G7" authorId="3" shapeId="0">
      <text>
        <t>Tran Dat:
15.990</t>
      </text>
    </comment>
    <comment ref="D8" authorId="1" shapeId="0">
      <text>
        <t>Việt Hoàng:
Last week:
19.790.000</t>
      </text>
    </comment>
    <comment ref="B10" authorId="4" shapeId="0">
      <text>
        <t>was 29140000
VNP150</t>
      </text>
    </comment>
    <comment ref="B11" authorId="4" shapeId="0">
      <text>
        <t>was 18440</t>
      </text>
    </comment>
    <comment ref="F11" authorId="2" shapeId="0">
      <text>
        <t>chit trang:
18.690k</t>
      </text>
    </comment>
    <comment ref="C12" authorId="0" shapeId="0">
      <text>
        <t>W10 13090</t>
      </text>
    </comment>
    <comment ref="F12" authorId="2" shapeId="0">
      <text>
        <t>12.990k</t>
      </text>
    </comment>
    <comment ref="B13" authorId="4" shapeId="0">
      <text>
        <t>was 13190
VNP100</t>
      </text>
    </comment>
    <comment ref="C13" authorId="4" shapeId="0">
      <text>
        <t xml:space="preserve">W10 12090
</t>
      </text>
    </comment>
    <comment ref="F13" authorId="2" shapeId="0">
      <text>
        <t>chit trang:
11.990k</t>
      </text>
    </comment>
    <comment ref="G13" authorId="3" shapeId="0">
      <text>
        <t>Tran Dat:
11790</t>
      </text>
    </comment>
    <comment ref="E16" authorId="4" shapeId="0">
      <text>
        <t>was 13790
vnp1%</t>
      </text>
    </comment>
    <comment ref="C17" authorId="0" shapeId="0">
      <text>
        <t>W10 9690</t>
      </text>
    </comment>
    <comment ref="D17" authorId="1" shapeId="0">
      <text>
        <t>Việt Hoàng:
Last week:
9.690.000</t>
      </text>
    </comment>
    <comment ref="E17" authorId="4" shapeId="0">
      <text>
        <t>was 9395
vnp1%</t>
      </text>
    </comment>
    <comment ref="F17" authorId="2" shapeId="0">
      <text>
        <t>chit trang:
9.590k</t>
      </text>
    </comment>
    <comment ref="B18" authorId="4" shapeId="0">
      <text>
        <t>was 7040
VNP40</t>
      </text>
    </comment>
    <comment ref="B19" authorId="4" shapeId="0">
      <text>
        <t>was 14390</t>
      </text>
    </comment>
    <comment ref="C19" authorId="0" shapeId="0">
      <text>
        <t>W10 16190</t>
      </text>
    </comment>
    <comment ref="D19" authorId="1" shapeId="0">
      <text>
        <t>Việt Hoàng:
Last week:
16.090.000</t>
      </text>
    </comment>
    <comment ref="D20" authorId="1" shapeId="0">
      <text>
        <t>Việt Hoàng:
Last week:
21.790.000</t>
      </text>
    </comment>
    <comment ref="F20" authorId="2" shapeId="0">
      <text>
        <t>chit trang:
20.990</t>
      </text>
    </comment>
    <comment ref="B22" authorId="4" shapeId="0">
      <text>
        <t>was 36640</t>
      </text>
    </comment>
    <comment ref="E23" authorId="4" shapeId="0">
      <text>
        <t>was 5138
vnp1%</t>
      </text>
    </comment>
    <comment ref="F23" authorId="2" shapeId="0">
      <text>
        <t>chit trang:
5.290k</t>
      </text>
    </comment>
    <comment ref="E25" authorId="4" shapeId="0">
      <text>
        <t>was 5831
vnp1%</t>
      </text>
    </comment>
    <comment ref="F26" authorId="2" shapeId="0">
      <text>
        <t>chit trang:
8.090k</t>
      </text>
    </comment>
    <comment ref="G26" authorId="3" shapeId="0">
      <text>
        <t xml:space="preserve">809000
</t>
      </text>
    </comment>
    <comment ref="C27" authorId="0" shapeId="0">
      <text>
        <t>W10 9390</t>
      </text>
    </comment>
    <comment ref="D27" authorId="1" shapeId="0">
      <text>
        <t>Việt Hoàng:
Last week:
10.190.000</t>
      </text>
    </comment>
    <comment ref="F27" authorId="2" shapeId="0">
      <text>
        <t>chit trang:9.590k</t>
      </text>
    </comment>
    <comment ref="G27" authorId="3" shapeId="0">
      <text>
        <t>10790</t>
      </text>
    </comment>
    <comment ref="D28" authorId="1" shapeId="0">
      <text>
        <t>Việt Hoàng:
Last week:
12.790.000</t>
      </text>
    </comment>
    <comment ref="F28" authorId="2" shapeId="0">
      <text>
        <t>chit trang:
12.990</t>
      </text>
    </comment>
    <comment ref="D29" authorId="1" shapeId="0">
      <text>
        <t>Việt Hoàng:
Last week:
10.990.000</t>
      </text>
    </comment>
    <comment ref="F29" authorId="2" shapeId="0">
      <text>
        <t>10.590k</t>
      </text>
    </comment>
    <comment ref="G29" authorId="3" shapeId="0">
      <text>
        <t>Tran Dat:
10.790</t>
      </text>
    </comment>
    <comment ref="B30" authorId="4" shapeId="0">
      <text>
        <t>was 13320
VNP100</t>
      </text>
    </comment>
    <comment ref="D30" authorId="1" shapeId="0">
      <text>
        <t>Việt Hoàng:
Last week:
13.590.000</t>
      </text>
    </comment>
    <comment ref="F30" authorId="2" shapeId="0">
      <text>
        <t>chit trang:
13.290k</t>
      </text>
    </comment>
    <comment ref="B32" authorId="4" shapeId="0">
      <text>
        <t>was 5550
VNP40</t>
      </text>
    </comment>
    <comment ref="D32" authorId="1" shapeId="0">
      <text>
        <t>Việt Hoàng:
Last week:
5.690.000</t>
      </text>
    </comment>
    <comment ref="F32" authorId="2" shapeId="0">
      <text>
        <t>chit trang:
5.290</t>
      </text>
    </comment>
    <comment ref="B33" authorId="4" shapeId="0">
      <text>
        <t xml:space="preserve">was 4490
</t>
      </text>
    </comment>
    <comment ref="D33" authorId="1" shapeId="0">
      <text>
        <t>Việt Hoàng:
Last week:
4.490.000</t>
      </text>
    </comment>
    <comment ref="F33" authorId="2" shapeId="0">
      <text>
        <t>chit trang:
4.290k</t>
      </text>
    </comment>
    <comment ref="G33" authorId="3" shapeId="0">
      <text>
        <t>Tran Dat:
4590</t>
      </text>
    </comment>
    <comment ref="B34" authorId="4" shapeId="0">
      <text>
        <t>was 3190</t>
      </text>
    </comment>
    <comment ref="F34" authorId="2" shapeId="0">
      <text>
        <t>chit trang:
3.090k</t>
      </text>
    </comment>
    <comment ref="G34" authorId="3" shapeId="0">
      <text>
        <t>Tran Dat:
3.390</t>
      </text>
    </comment>
    <comment ref="B36" authorId="4" shapeId="0">
      <text>
        <t>was 18090
VNP100</t>
      </text>
    </comment>
    <comment ref="C36" authorId="0" shapeId="0">
      <text>
        <t>W10 17090</t>
      </text>
    </comment>
    <comment ref="F36" authorId="2" shapeId="0">
      <text>
        <t>chit trang:
17.490k</t>
      </text>
    </comment>
    <comment ref="F37" authorId="2" shapeId="0">
      <text>
        <t>chit trang:
23.890k</t>
      </text>
    </comment>
    <comment ref="G37" authorId="3" shapeId="0">
      <text>
        <t>Tran Dat:
24090</t>
      </text>
    </comment>
    <comment ref="B38" authorId="4" shapeId="0">
      <text>
        <t>was 26140
VNP150</t>
      </text>
    </comment>
    <comment ref="F38" authorId="2" shapeId="0">
      <text>
        <t>chit trang:
26.890k</t>
      </text>
    </comment>
    <comment ref="G38" authorId="3" shapeId="0">
      <text>
        <t>27090000</t>
      </text>
    </comment>
    <comment ref="F39" authorId="2" shapeId="0">
      <text>
        <t>chit trang:
31.590k</t>
      </text>
    </comment>
  </commentList>
</comments>
</file>

<file path=xl/comments/comment48.xml><?xml version="1.0" encoding="utf-8"?>
<comments xmlns="http://schemas.openxmlformats.org/spreadsheetml/2006/main">
  <authors>
    <author>Duy</author>
    <author>chit trang</author>
    <author>Microsoft Office User</author>
    <author>Việt Hoàng</author>
    <author>Tran Dat</author>
  </authors>
  <commentList>
    <comment ref="C2" authorId="0" shapeId="0">
      <text>
        <t>W10 16990</t>
      </text>
    </comment>
    <comment ref="C3" authorId="0" shapeId="0">
      <text>
        <t>W10 19890</t>
      </text>
    </comment>
    <comment ref="F3" authorId="1" shapeId="0">
      <text>
        <t>chit trang:
19.790k</t>
      </text>
    </comment>
    <comment ref="B4" authorId="2" shapeId="0">
      <text>
        <t>was 24640000
VNP150</t>
      </text>
    </comment>
    <comment ref="C4" authorId="0" shapeId="0">
      <text>
        <t>W10 22890</t>
      </text>
    </comment>
    <comment ref="D4" authorId="3" shapeId="0">
      <text>
        <t>Việt Hoàng:
Last week:
22.690.000</t>
      </text>
    </comment>
    <comment ref="F4" authorId="1" shapeId="0">
      <text>
        <t>chit trang:
22.490k</t>
      </text>
    </comment>
    <comment ref="C5" authorId="0" shapeId="0">
      <text>
        <t>W10 25590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6" authorId="3" shapeId="0">
      <text>
        <t>Việt Hoàng:
Last week:
31.390.000</t>
      </text>
    </comment>
    <comment ref="F6" authorId="1" shapeId="0">
      <text>
        <t>chit trang:
31.190k</t>
      </text>
    </comment>
    <comment ref="D8" authorId="3" shapeId="0">
      <text>
        <t>Việt Hoàng:
Last week:
19.690.000</t>
      </text>
    </comment>
    <comment ref="F8" authorId="1" shapeId="0">
      <text>
        <t>chit trang:
19.690k</t>
      </text>
    </comment>
    <comment ref="G8" authorId="4" shapeId="0">
      <text>
        <t>Tran Dat:
19290</t>
      </text>
    </comment>
    <comment ref="B9" authorId="2" shapeId="0">
      <text>
        <t>was 29140000
VNP150</t>
      </text>
    </comment>
    <comment ref="B10" authorId="2" shapeId="0">
      <text>
        <t>was 18440</t>
      </text>
    </comment>
    <comment ref="F10" authorId="1" shapeId="0">
      <text>
        <t>chit trang:
18.690k</t>
      </text>
    </comment>
    <comment ref="C11" authorId="0" shapeId="0">
      <text>
        <t>W10 13090</t>
      </text>
    </comment>
    <comment ref="F11" authorId="1" shapeId="0">
      <text>
        <t>13.490k</t>
      </text>
    </comment>
    <comment ref="B12" authorId="2" shapeId="0">
      <text>
        <t>was 13190
VNP100</t>
      </text>
    </comment>
    <comment ref="C12" authorId="2" shapeId="0">
      <text>
        <t xml:space="preserve">W10 12090
</t>
      </text>
    </comment>
    <comment ref="F12" authorId="1" shapeId="0">
      <text>
        <t>chit trang:
11.890k</t>
      </text>
    </comment>
    <comment ref="G12" authorId="4" shapeId="0">
      <text>
        <t>Tran Dat:
11890</t>
      </text>
    </comment>
    <comment ref="C15" authorId="0" shapeId="0">
      <text>
        <t>W10 9690</t>
      </text>
    </comment>
    <comment ref="D15" authorId="3" shapeId="0">
      <text>
        <t>Việt Hoàng:
Last week:
9.390.000</t>
      </text>
    </comment>
    <comment ref="B16" authorId="2" shapeId="0">
      <text>
        <t>was 7040
VNP40</t>
      </text>
    </comment>
    <comment ref="B17" authorId="2" shapeId="0">
      <text>
        <t>was 14390</t>
      </text>
    </comment>
    <comment ref="C17" authorId="0" shapeId="0">
      <text>
        <t>W10 16190</t>
      </text>
    </comment>
    <comment ref="D17" authorId="3" shapeId="0">
      <text>
        <t>Việt Hoàng:
Last week:
16.190.000</t>
      </text>
    </comment>
    <comment ref="E17" authorId="2" shapeId="0">
      <text>
        <t>was 15830
VNP1%</t>
      </text>
    </comment>
    <comment ref="F17" authorId="1" shapeId="0">
      <text>
        <t>chit trang:
16.490k</t>
      </text>
    </comment>
    <comment ref="D18" authorId="3" shapeId="0">
      <text>
        <t>Việt Hoàng:
Last week:
21.590.000</t>
      </text>
    </comment>
    <comment ref="E18" authorId="2" shapeId="0">
      <text>
        <t>was 20483
VNP1%</t>
      </text>
    </comment>
    <comment ref="G18" authorId="4" shapeId="0">
      <text>
        <t>Tran Dat:
20.790</t>
      </text>
    </comment>
    <comment ref="D19" authorId="3" shapeId="0">
      <text>
        <t>Việt Hoàng:
Last week:
27.790.000</t>
      </text>
    </comment>
    <comment ref="F19" authorId="1" shapeId="0">
      <text>
        <t>chit trang:
28.290k</t>
      </text>
    </comment>
    <comment ref="B20" authorId="2" shapeId="0">
      <text>
        <t>was 36640</t>
      </text>
    </comment>
    <comment ref="D20" authorId="3" shapeId="0">
      <text>
        <t>Việt Hoàng:
Last week:
36.890.000</t>
      </text>
    </comment>
    <comment ref="D21" authorId="3" shapeId="0">
      <text>
        <t>Việt Hoàng:
Last week:
5.690.000</t>
      </text>
    </comment>
    <comment ref="E21" authorId="2" shapeId="0">
      <text>
        <t>was 5435
vnp1%</t>
      </text>
    </comment>
    <comment ref="D22" authorId="3" shapeId="0">
      <text>
        <t>Việt Hoàng:
Last week:
6.990.000</t>
      </text>
    </comment>
    <comment ref="G22" authorId="4" shapeId="0">
      <text>
        <t>Tran Dat:
6.990.000</t>
      </text>
    </comment>
    <comment ref="D23" authorId="3" shapeId="0">
      <text>
        <t>Việt Hoàng:
Last week:
6.490.000</t>
      </text>
    </comment>
    <comment ref="E23" authorId="2" shapeId="0">
      <text>
        <t>was 6227
VNP1%</t>
      </text>
    </comment>
    <comment ref="D24" authorId="3" shapeId="0">
      <text>
        <t>Việt Hoàng:
Last week:
7.790.000</t>
      </text>
    </comment>
    <comment ref="E24" authorId="2" shapeId="0">
      <text>
        <t>was 7316
VNP1%</t>
      </text>
    </comment>
    <comment ref="F24" authorId="1" shapeId="0">
      <text>
        <t>chit trang:
8.090k</t>
      </text>
    </comment>
    <comment ref="G24" authorId="4" shapeId="0">
      <text>
        <t xml:space="preserve">809000
</t>
      </text>
    </comment>
    <comment ref="C25" authorId="0" shapeId="0">
      <text>
        <t>W10 9390</t>
      </text>
    </comment>
    <comment ref="D25" authorId="3" shapeId="0">
      <text>
        <t>Việt Hoàng:
Last week:
9.490.000</t>
      </text>
    </comment>
    <comment ref="E25" authorId="2" shapeId="0">
      <text>
        <t>was 9593
VNP1%</t>
      </text>
    </comment>
    <comment ref="G25" authorId="4" shapeId="0">
      <text>
        <t>9690</t>
      </text>
    </comment>
    <comment ref="D26" authorId="3" shapeId="0">
      <text>
        <t>Việt Hoàng:
Last week:
12.690.000</t>
      </text>
    </comment>
    <comment ref="E26" authorId="2" shapeId="0">
      <text>
        <t>was 12365
VNP1%</t>
      </text>
    </comment>
    <comment ref="G26" authorId="4" shapeId="0">
      <text>
        <t>Tran Dat:
12590</t>
      </text>
    </comment>
    <comment ref="D27" authorId="3" shapeId="0">
      <text>
        <t>Việt Hoàng:
Last week:
10.890.000</t>
      </text>
    </comment>
    <comment ref="E27" authorId="2" shapeId="0">
      <text>
        <t>was 10583
VNP1%</t>
      </text>
    </comment>
    <comment ref="F27" authorId="1" shapeId="0">
      <text>
        <t>10.590k</t>
      </text>
    </comment>
    <comment ref="G27" authorId="4" shapeId="0">
      <text>
        <t>Tran Dat:
10.590</t>
      </text>
    </comment>
    <comment ref="B28" authorId="2" shapeId="0">
      <text>
        <t>was 13320
VNP100</t>
      </text>
    </comment>
    <comment ref="D28" authorId="3" shapeId="0">
      <text>
        <t>Việt Hoàng:
Last week:
13.490.000</t>
      </text>
    </comment>
    <comment ref="F28" authorId="1" shapeId="0">
      <text>
        <t>chit trang:
13.290k</t>
      </text>
    </comment>
    <comment ref="E29" authorId="2" shapeId="0">
      <text>
        <t>was 21572
VNP1%</t>
      </text>
    </comment>
    <comment ref="B30" authorId="2" shapeId="0">
      <text>
        <t>was 5550
VNP40</t>
      </text>
    </comment>
    <comment ref="D30" authorId="3" shapeId="0">
      <text>
        <t>Việt Hoàng:
Last week:
5.490.000</t>
      </text>
    </comment>
    <comment ref="E30" authorId="2" shapeId="0">
      <text>
        <t>was 5390
vnp1%</t>
      </text>
    </comment>
    <comment ref="F30" authorId="1" shapeId="0">
      <text>
        <t>chit trang:
5.290</t>
      </text>
    </comment>
    <comment ref="B31" authorId="2" shapeId="0">
      <text>
        <t xml:space="preserve">was 4490
</t>
      </text>
    </comment>
    <comment ref="D31" authorId="3" shapeId="0">
      <text>
        <t>Việt Hoàng:
Last week:
4.390.000</t>
      </text>
    </comment>
    <comment ref="E31" authorId="2" shapeId="0">
      <text>
        <t>was 4290
vnp1%</t>
      </text>
    </comment>
    <comment ref="F31" authorId="1" shapeId="0">
      <text>
        <t>chit trang:
4.290k</t>
      </text>
    </comment>
    <comment ref="G31" authorId="4" shapeId="0">
      <text>
        <t>Tran Dat:
4590</t>
      </text>
    </comment>
    <comment ref="B32" authorId="2" shapeId="0">
      <text>
        <t>was 3190</t>
      </text>
    </comment>
    <comment ref="D32" authorId="3" shapeId="0">
      <text>
        <t>Việt Hoàng:
Last week:
3.190.000</t>
      </text>
    </comment>
    <comment ref="E32" authorId="2" shapeId="0">
      <text>
        <t>was 2990
vnp1%</t>
      </text>
    </comment>
    <comment ref="F32" authorId="1" shapeId="0">
      <text>
        <t>chit trang:
3.190k</t>
      </text>
    </comment>
    <comment ref="G32" authorId="4" shapeId="0">
      <text>
        <t>Tran Dat:
3.090</t>
      </text>
    </comment>
    <comment ref="B33" authorId="2" shapeId="0">
      <text>
        <t>was 18090
VNP100</t>
      </text>
    </comment>
    <comment ref="C33" authorId="0" shapeId="0">
      <text>
        <t>W10 17090</t>
      </text>
    </comment>
    <comment ref="F33" authorId="1" shapeId="0">
      <text>
        <t>chit trang:
16.990k</t>
      </text>
    </comment>
    <comment ref="D34" authorId="3" shapeId="0">
      <text>
        <t>Việt Hoàng:
Last week:
23.890.000</t>
      </text>
    </comment>
    <comment ref="F34" authorId="1" shapeId="0">
      <text>
        <t>chit trang:
23.590k</t>
      </text>
    </comment>
    <comment ref="B35" authorId="2" shapeId="0">
      <text>
        <t>was 26140
VNP150</t>
      </text>
    </comment>
    <comment ref="D35" authorId="3" shapeId="0">
      <text>
        <t>Việt Hoàng:
Last week:
26.990.000</t>
      </text>
    </comment>
    <comment ref="F35" authorId="1" shapeId="0">
      <text>
        <t>chit trang:
26.490k</t>
      </text>
    </comment>
    <comment ref="D36" authorId="3" shapeId="0">
      <text>
        <t>Việt Hoàng:
Last week:
32.090.000</t>
      </text>
    </comment>
    <comment ref="F36" authorId="1" shapeId="0">
      <text>
        <t>chit trang:
31.590k</t>
      </text>
    </comment>
    <comment ref="F37" authorId="1" shapeId="0">
      <text>
        <t>chit trang:
39.990k</t>
      </text>
    </comment>
  </commentList>
</comments>
</file>

<file path=xl/comments/comment49.xml><?xml version="1.0" encoding="utf-8"?>
<comments xmlns="http://schemas.openxmlformats.org/spreadsheetml/2006/main">
  <authors>
    <author>Tran Dat</author>
    <author>Duy</author>
    <author>Việt Hoàng</author>
    <author>chit trang</author>
    <author>Microsoft Office User</author>
  </authors>
  <commentList>
    <comment ref="G2" authorId="0" shapeId="0">
      <text>
        <t>Tran Dat:
16.490</t>
      </text>
    </comment>
    <comment ref="C3" authorId="1" shapeId="0">
      <text>
        <t>W12 19690</t>
      </text>
    </comment>
    <comment ref="D3" authorId="2" shapeId="0">
      <text>
        <t>Việt Hoàng:
Last week:
19.490.000</t>
      </text>
    </comment>
    <comment ref="F3" authorId="3" shapeId="0">
      <text>
        <t>chit trang:
19.190k</t>
      </text>
    </comment>
    <comment ref="G3" authorId="0" shapeId="0">
      <text>
        <t>Tran Dat:
18.890</t>
      </text>
    </comment>
    <comment ref="B4" authorId="4" shapeId="0">
      <text>
        <t>was 24640000
VNP150</t>
      </text>
    </comment>
    <comment ref="G4" authorId="0" shapeId="0">
      <text>
        <t>22190</t>
      </text>
    </comment>
    <comment ref="C5" authorId="1" shapeId="0">
      <text>
        <t>W12 25690</t>
      </text>
    </comment>
    <comment ref="F5" authorId="3" shapeId="0">
      <text>
        <t>chit trang:
25.390k</t>
      </text>
    </comment>
    <comment ref="G5" authorId="0" shapeId="0">
      <text>
        <t>Tran Dat:
24990</t>
      </text>
    </comment>
    <comment ref="B6"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1" shapeId="0">
      <text>
        <t>W12 31390</t>
      </text>
    </comment>
    <comment ref="F6" authorId="3" shapeId="0">
      <text>
        <t>chit trang:
30.990k</t>
      </text>
    </comment>
    <comment ref="G6" authorId="0" shapeId="0">
      <text>
        <t>Tran Dat:
30490</t>
      </text>
    </comment>
    <comment ref="G7" authorId="0" shapeId="0">
      <text>
        <t xml:space="preserve">Tran Dat:
15.590
</t>
      </text>
    </comment>
    <comment ref="G8" authorId="0" shapeId="0">
      <text>
        <t>Tran Dat:
19290</t>
      </text>
    </comment>
    <comment ref="B9" authorId="4" shapeId="0">
      <text>
        <t>was 29140000
VNP150</t>
      </text>
    </comment>
    <comment ref="D9" authorId="2" shapeId="0">
      <text>
        <t>Việt Hoàng:
Last week:
29.090.000</t>
      </text>
    </comment>
    <comment ref="F9" authorId="3" shapeId="0">
      <text>
        <t>chit trang:
28.690k</t>
      </text>
    </comment>
    <comment ref="G9" authorId="0" shapeId="0">
      <text>
        <t xml:space="preserve">Tran Dat:
28290
</t>
      </text>
    </comment>
    <comment ref="B10" authorId="4" shapeId="0">
      <text>
        <t>was 18440</t>
      </text>
    </comment>
    <comment ref="F10" authorId="3" shapeId="0">
      <text>
        <t>chit trang:
18.690k</t>
      </text>
    </comment>
    <comment ref="G10" authorId="0" shapeId="0">
      <text>
        <t>Tran Dat:
18990</t>
      </text>
    </comment>
    <comment ref="C11" authorId="1" shapeId="0">
      <text>
        <t>W12 13490</t>
      </text>
    </comment>
    <comment ref="B12" authorId="4" shapeId="0">
      <text>
        <t>was 13190
VNP100</t>
      </text>
    </comment>
    <comment ref="F12" authorId="3" shapeId="0">
      <text>
        <t>chit trang:
11.790k</t>
      </text>
    </comment>
    <comment ref="G12" authorId="0" shapeId="0">
      <text>
        <t>Tran Dat:
11790</t>
      </text>
    </comment>
    <comment ref="D14" authorId="2" shapeId="0">
      <text>
        <t>Việt Hoàng:
Last week:
13.990.000</t>
      </text>
    </comment>
    <comment ref="C15" authorId="1" shapeId="0">
      <text>
        <t>W12 9390</t>
      </text>
    </comment>
    <comment ref="D15" authorId="2" shapeId="0">
      <text>
        <t>Việt Hoàng:
Last week:
9.290.000</t>
      </text>
    </comment>
    <comment ref="E15" authorId="4" shapeId="0">
      <text>
        <t>was 8801
VNP1%</t>
      </text>
    </comment>
    <comment ref="F15" authorId="3" shapeId="0">
      <text>
        <t>chit trang:
9.290k</t>
      </text>
    </comment>
    <comment ref="G15" authorId="0" shapeId="0">
      <text>
        <t>Tran Dat:
9490</t>
      </text>
    </comment>
    <comment ref="B16" authorId="4" shapeId="0">
      <text>
        <t>was 7040
VNP40</t>
      </text>
    </comment>
    <comment ref="G16" authorId="0" shapeId="0">
      <text>
        <t>Tran Dat:
6890</t>
      </text>
    </comment>
    <comment ref="B17" authorId="4" shapeId="0">
      <text>
        <t>was 14390</t>
      </text>
    </comment>
    <comment ref="G17" authorId="0" shapeId="0">
      <text>
        <t>Tran Dat:
15790</t>
      </text>
    </comment>
    <comment ref="C18" authorId="1" shapeId="0">
      <text>
        <t>W12 21590</t>
      </text>
    </comment>
    <comment ref="D18" authorId="2" shapeId="0">
      <text>
        <t>Việt Hoàng:
Last week:
21.090.000</t>
      </text>
    </comment>
    <comment ref="F18" authorId="3" shapeId="0">
      <text>
        <t>chit trang:
20.790k</t>
      </text>
    </comment>
    <comment ref="F19" authorId="3" shapeId="0">
      <text>
        <t>chit trang:
28.290k</t>
      </text>
    </comment>
    <comment ref="B20" authorId="4" shapeId="0">
      <text>
        <t>was 36640</t>
      </text>
    </comment>
    <comment ref="C21" authorId="1" shapeId="0">
      <text>
        <t>W12 5770</t>
      </text>
    </comment>
    <comment ref="C22" authorId="1" shapeId="0">
      <text>
        <t>W12 7070</t>
      </text>
    </comment>
    <comment ref="G22" authorId="0" shapeId="0">
      <text>
        <t>7390</t>
      </text>
    </comment>
    <comment ref="C23" authorId="1" shapeId="0">
      <text>
        <t>W12 6570</t>
      </text>
    </comment>
    <comment ref="C24" authorId="1" shapeId="0">
      <text>
        <t>W12 7870</t>
      </text>
    </comment>
    <comment ref="F24" authorId="3" shapeId="0">
      <text>
        <t>chit trang:
8.090k</t>
      </text>
    </comment>
    <comment ref="G24" authorId="0" shapeId="0">
      <text>
        <t>7850</t>
      </text>
    </comment>
    <comment ref="C26" authorId="1" shapeId="0">
      <text>
        <t>W12 12690</t>
      </text>
    </comment>
    <comment ref="G26" authorId="0" shapeId="0">
      <text>
        <t>13190000</t>
      </text>
    </comment>
    <comment ref="C27" authorId="1" shapeId="0">
      <text>
        <t>W12 10890</t>
      </text>
    </comment>
    <comment ref="G27" authorId="0" shapeId="0">
      <text>
        <t>11290</t>
      </text>
    </comment>
    <comment ref="B28" authorId="4" shapeId="0">
      <text>
        <t>was 13320
VNP100</t>
      </text>
    </comment>
    <comment ref="C28" authorId="1" shapeId="0">
      <text>
        <t>W12 13490</t>
      </text>
    </comment>
    <comment ref="F28" authorId="3" shapeId="0">
      <text>
        <t>chit trang:
13.290k</t>
      </text>
    </comment>
    <comment ref="G28" authorId="0" shapeId="0">
      <text>
        <t>Tran Dat:
13890</t>
      </text>
    </comment>
    <comment ref="B30" authorId="4" shapeId="0">
      <text>
        <t>was 5550
VNP40</t>
      </text>
    </comment>
    <comment ref="C30" authorId="1" shapeId="0">
      <text>
        <t>W12 5690</t>
      </text>
    </comment>
    <comment ref="E30" authorId="4" shapeId="0">
      <text>
        <t>was 5690
vnp1%</t>
      </text>
    </comment>
    <comment ref="B31" authorId="4" shapeId="0">
      <text>
        <t xml:space="preserve">was 4490
</t>
      </text>
    </comment>
    <comment ref="E31" authorId="4" shapeId="0">
      <text>
        <t>was 4490
vnp1%</t>
      </text>
    </comment>
    <comment ref="B32" authorId="4" shapeId="0">
      <text>
        <t>was 3190</t>
      </text>
    </comment>
    <comment ref="C32" authorId="1" shapeId="0">
      <text>
        <t>W12 3190</t>
      </text>
    </comment>
    <comment ref="E32" authorId="4" shapeId="0">
      <text>
        <t>was 3190
vnp1%</t>
      </text>
    </comment>
    <comment ref="B33" authorId="4" shapeId="0">
      <text>
        <t>was 18090
VNP100</t>
      </text>
    </comment>
    <comment ref="D33" authorId="2" shapeId="0">
      <text>
        <t>Việt Hoàng:
Last week:
17.490.000</t>
      </text>
    </comment>
    <comment ref="F33" authorId="3" shapeId="0">
      <text>
        <t>chit trang:
161990k</t>
      </text>
    </comment>
    <comment ref="G33" authorId="0" shapeId="0">
      <text>
        <t>Tran Dat:
16990</t>
      </text>
    </comment>
    <comment ref="C34" authorId="1" shapeId="0">
      <text>
        <t>W12 23990</t>
      </text>
    </comment>
    <comment ref="D34" authorId="2" shapeId="0">
      <text>
        <t>Việt Hoàng:
Last week:
23.090.000</t>
      </text>
    </comment>
    <comment ref="G34" authorId="0" shapeId="0">
      <text>
        <t>Tran Dat:
23590</t>
      </text>
    </comment>
    <comment ref="B35" authorId="4" shapeId="0">
      <text>
        <t>was 26140
VNP150</t>
      </text>
    </comment>
    <comment ref="C35" authorId="1" shapeId="0">
      <text>
        <t>w12 27090</t>
      </text>
    </comment>
    <comment ref="D35" authorId="2" shapeId="0">
      <text>
        <t>Việt Hoàng:
Last week:
26.090.000</t>
      </text>
    </comment>
    <comment ref="F35" authorId="3" shapeId="0">
      <text>
        <t>chit trang:
25.990k</t>
      </text>
    </comment>
    <comment ref="C36" authorId="1" shapeId="0">
      <text>
        <t>W12 32490</t>
      </text>
    </comment>
    <comment ref="D36" authorId="2" shapeId="0">
      <text>
        <t>Việt Hoàng:
Last week:
30.590.000</t>
      </text>
    </comment>
  </commentList>
</comments>
</file>

<file path=xl/comments/comment50.xml><?xml version="1.0" encoding="utf-8"?>
<comments xmlns="http://schemas.openxmlformats.org/spreadsheetml/2006/main">
  <authors>
    <author>Việt Hoàng</author>
    <author>Microsoft Office User</author>
    <author>chit trang</author>
    <author>Tran Dat</author>
    <author>Duy</author>
  </authors>
  <commentList>
    <comment ref="D2" authorId="0" shapeId="0">
      <text>
        <t>Việt Hoàng:
Last week:
16.590.000</t>
      </text>
    </comment>
    <comment ref="E2" authorId="1" shapeId="0">
      <text>
        <t>was 16990
VNP1%</t>
      </text>
    </comment>
    <comment ref="F3" authorId="2" shapeId="0">
      <text>
        <t>chit trang:
19.190k</t>
      </text>
    </comment>
    <comment ref="G3" authorId="3" shapeId="0">
      <text>
        <t>Tran Dat:
18.990</t>
      </text>
    </comment>
    <comment ref="B4" authorId="1" shapeId="0">
      <text>
        <t>was 24640000
VNP150</t>
      </text>
    </comment>
    <comment ref="G4" authorId="3" shapeId="0">
      <text>
        <t>21790</t>
      </text>
    </comment>
    <comment ref="G5" authorId="3" shapeId="0">
      <text>
        <t>Tran Dat:
24890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4" shapeId="0">
      <text>
        <t>W13 31090</t>
      </text>
    </comment>
    <comment ref="F6" authorId="2" shapeId="0">
      <text>
        <t>chit trang:
30.790k</t>
      </text>
    </comment>
    <comment ref="G6" authorId="3" shapeId="0">
      <text>
        <t>Tran Dat:
30290</t>
      </text>
    </comment>
    <comment ref="F7" authorId="2" shapeId="0">
      <text>
        <t>chit trang:
15.990k</t>
      </text>
    </comment>
    <comment ref="B9" authorId="1" shapeId="0">
      <text>
        <t>was 29140000
VNP150</t>
      </text>
    </comment>
    <comment ref="D9" authorId="0" shapeId="0">
      <text>
        <t>Việt Hoàng:
Last week:
28.490.000</t>
      </text>
    </comment>
    <comment ref="F9" authorId="2" shapeId="0">
      <text>
        <t>chit trang:
28.490k</t>
      </text>
    </comment>
    <comment ref="G9" authorId="3" shapeId="0">
      <text>
        <t xml:space="preserve">Tran Dat:
28090
</t>
      </text>
    </comment>
    <comment ref="B10" authorId="1" shapeId="0">
      <text>
        <t>was 18440</t>
      </text>
    </comment>
    <comment ref="B12" authorId="1" shapeId="0">
      <text>
        <t>was 13190
VNP100</t>
      </text>
    </comment>
    <comment ref="E12" authorId="1" shapeId="0">
      <text>
        <t>was 11990
VNP1%</t>
      </text>
    </comment>
    <comment ref="D15" authorId="0" shapeId="0">
      <text>
        <t>Việt Hoàng:
Last week:
8.690.000</t>
      </text>
    </comment>
    <comment ref="E15" authorId="1" shapeId="0">
      <text>
        <t>was 7910
vnp1%</t>
      </text>
    </comment>
    <comment ref="G15" authorId="3" shapeId="0">
      <text>
        <t>Tran Dat:
8390</t>
      </text>
    </comment>
    <comment ref="B16" authorId="1" shapeId="0">
      <text>
        <t>was 7040
VNP40</t>
      </text>
    </comment>
    <comment ref="E16" authorId="1" shapeId="0">
      <text>
        <t>was 6990</t>
      </text>
    </comment>
    <comment ref="B17" authorId="1" shapeId="0">
      <text>
        <t>was 14390</t>
      </text>
    </comment>
    <comment ref="D17" authorId="0" shapeId="0">
      <text>
        <t>Việt Hoàng:
Last week:
16.590.000</t>
      </text>
    </comment>
    <comment ref="G17" authorId="3" shapeId="0">
      <text>
        <t>Tran Dat:
16590</t>
      </text>
    </comment>
    <comment ref="F18" authorId="2" shapeId="0">
      <text>
        <t>chit trang:
20.490k</t>
      </text>
    </comment>
    <comment ref="G18" authorId="3" shapeId="0">
      <text>
        <t>Tran Dat:
20890</t>
      </text>
    </comment>
    <comment ref="E19" authorId="1" shapeId="0">
      <text>
        <t xml:space="preserve">was OOS
</t>
      </text>
    </comment>
    <comment ref="G19" authorId="3" shapeId="0">
      <text>
        <t>Tran Dat:
27090</t>
      </text>
    </comment>
    <comment ref="B20" authorId="1" shapeId="0">
      <text>
        <t>was 36640</t>
      </text>
    </comment>
    <comment ref="G20" authorId="3" shapeId="0">
      <text>
        <t>Tran Dat:
36490</t>
      </text>
    </comment>
    <comment ref="C21" authorId="4" shapeId="0">
      <text>
        <t>W13 5990</t>
      </text>
    </comment>
    <comment ref="F21" authorId="2" shapeId="0">
      <text>
        <t>chit trang:
5.590k</t>
      </text>
    </comment>
    <comment ref="C22" authorId="4" shapeId="0">
      <text>
        <t>W13 7190</t>
      </text>
    </comment>
    <comment ref="D22" authorId="0" shapeId="0">
      <text>
        <t>Việt Hoàng:
Last week:
7.190.000</t>
      </text>
    </comment>
    <comment ref="E22" authorId="1" shapeId="0">
      <text>
        <t xml:space="preserve">was 6524
vnp1%
</t>
      </text>
    </comment>
    <comment ref="G22" authorId="3" shapeId="0">
      <text>
        <t>6990</t>
      </text>
    </comment>
    <comment ref="C23" authorId="4" shapeId="0">
      <text>
        <t>W13 6690</t>
      </text>
    </comment>
    <comment ref="D23" authorId="0" shapeId="0">
      <text>
        <t>Việt Hoàng:
Last week:
6.690.000</t>
      </text>
    </comment>
    <comment ref="E23" authorId="1" shapeId="0">
      <text>
        <t xml:space="preserve">was 6425
vnp1%
</t>
      </text>
    </comment>
    <comment ref="G23" authorId="3" shapeId="0">
      <text>
        <t>Tran Dat:
6490</t>
      </text>
    </comment>
    <comment ref="G24" authorId="3" shapeId="0">
      <text>
        <t>7390</t>
      </text>
    </comment>
    <comment ref="C25" authorId="4" shapeId="0">
      <text>
        <t>W13 10190</t>
      </text>
    </comment>
    <comment ref="D25" authorId="0" shapeId="0">
      <text>
        <t>Việt Hoàng:
Last week:
10.690.000</t>
      </text>
    </comment>
    <comment ref="E25" authorId="1" shapeId="0">
      <text>
        <t>was 10286
vnp1%</t>
      </text>
    </comment>
    <comment ref="F25" authorId="2" shapeId="0">
      <text>
        <t>chit trang:
10.190k</t>
      </text>
    </comment>
    <comment ref="G25" authorId="3" shapeId="0">
      <text>
        <t>Tran Dat:
10190</t>
      </text>
    </comment>
    <comment ref="C26" authorId="4" shapeId="0">
      <text>
        <t>W13 13490</t>
      </text>
    </comment>
    <comment ref="D26" authorId="0" shapeId="0">
      <text>
        <t>Việt Hoàng:
Last week:
13.290.000</t>
      </text>
    </comment>
    <comment ref="E26" authorId="1" shapeId="0">
      <text>
        <t xml:space="preserve">was 12860
vnp1%
</t>
      </text>
    </comment>
    <comment ref="F26" authorId="2" shapeId="0">
      <text>
        <t>chit trang:
12.990k</t>
      </text>
    </comment>
    <comment ref="C27" authorId="4" shapeId="0">
      <text>
        <t>W13 11690</t>
      </text>
    </comment>
    <comment ref="D27" authorId="0" shapeId="0">
      <text>
        <t>Việt Hoàng:
Last week:
11.490.000</t>
      </text>
    </comment>
    <comment ref="E27" authorId="1" shapeId="0">
      <text>
        <t>was 11177
vnp1%</t>
      </text>
    </comment>
    <comment ref="B28" authorId="1" shapeId="0">
      <text>
        <t>was 13320
VNP100</t>
      </text>
    </comment>
    <comment ref="C28" authorId="4" shapeId="0">
      <text>
        <t>W13 14290</t>
      </text>
    </comment>
    <comment ref="D28" authorId="0" shapeId="0">
      <text>
        <t>Việt Hoàng:
Last week:
13.990.000</t>
      </text>
    </comment>
    <comment ref="E28" authorId="1" shapeId="0">
      <text>
        <t>was 13256
vnp1%</t>
      </text>
    </comment>
    <comment ref="F28" authorId="2" shapeId="0">
      <text>
        <t>chit trang:
13.290k</t>
      </text>
    </comment>
    <comment ref="E29" authorId="1" shapeId="0">
      <text>
        <t>was 21590
vnp1%</t>
      </text>
    </comment>
    <comment ref="B30" authorId="1" shapeId="0">
      <text>
        <t>was 5550
VNP40</t>
      </text>
    </comment>
    <comment ref="C30" authorId="4" shapeId="0">
      <text>
        <t>W13 5590</t>
      </text>
    </comment>
    <comment ref="D30" authorId="0" shapeId="0">
      <text>
        <t>Việt Hoàng:
Last week:
5.390.000</t>
      </text>
    </comment>
    <comment ref="E30" authorId="1" shapeId="0">
      <text>
        <t>was 5336</t>
      </text>
    </comment>
    <comment ref="B31" authorId="1" shapeId="0">
      <text>
        <t xml:space="preserve">was 4490
</t>
      </text>
    </comment>
    <comment ref="C31" authorId="4" shapeId="0">
      <text>
        <t>W13 4490</t>
      </text>
    </comment>
    <comment ref="D31" authorId="0" shapeId="0">
      <text>
        <t>Việt Hoàng:
Last week:
4.290.000</t>
      </text>
    </comment>
    <comment ref="E31" authorId="1" shapeId="0">
      <text>
        <t>was 4247</t>
      </text>
    </comment>
    <comment ref="G31" authorId="3" shapeId="0">
      <text>
        <t>Tran Dat:
4290</t>
      </text>
    </comment>
    <comment ref="B32" authorId="1" shapeId="0">
      <text>
        <t>was 3190</t>
      </text>
    </comment>
    <comment ref="C32" authorId="4" shapeId="0">
      <text>
        <t>W13 3290</t>
      </text>
    </comment>
    <comment ref="D32" authorId="0" shapeId="0">
      <text>
        <t>Việt Hoàng:
Last week:
3.090.000</t>
      </text>
    </comment>
    <comment ref="E32" authorId="1" shapeId="0">
      <text>
        <t>was 2960</t>
      </text>
    </comment>
    <comment ref="G32" authorId="3" shapeId="0">
      <text>
        <t>Tran Dat:
3390</t>
      </text>
    </comment>
    <comment ref="B33" authorId="1" shapeId="0">
      <text>
        <t>was 18090
VNP100</t>
      </text>
    </comment>
    <comment ref="C33" authorId="4" shapeId="0">
      <text>
        <t>W13 17490</t>
      </text>
    </comment>
    <comment ref="D33" authorId="0" shapeId="0">
      <text>
        <t>Việt Hoàng:
Last week:
16.990.000</t>
      </text>
    </comment>
    <comment ref="F33" authorId="2" shapeId="0">
      <text>
        <t>chit trang:
17.490k</t>
      </text>
    </comment>
    <comment ref="C34" authorId="4" shapeId="0">
      <text>
        <t>W13 22990</t>
      </text>
    </comment>
    <comment ref="D34" authorId="0" shapeId="0">
      <text>
        <t>Việt Hoàng:
Last week:
22.990.000</t>
      </text>
    </comment>
    <comment ref="F34" authorId="2" shapeId="0">
      <text>
        <t>chit trang:
22.890k</t>
      </text>
    </comment>
    <comment ref="G34" authorId="3" shapeId="0">
      <text>
        <t>Tran Dat:
22790</t>
      </text>
    </comment>
    <comment ref="B35" authorId="1" shapeId="0">
      <text>
        <t>was 26140
VNP150</t>
      </text>
    </comment>
    <comment ref="F35" authorId="2" shapeId="0">
      <text>
        <t>chit trang:
25.390k</t>
      </text>
    </comment>
    <comment ref="G35" authorId="3" shapeId="0">
      <text>
        <t>Tran Dat:
26690</t>
      </text>
    </comment>
    <comment ref="D36" authorId="0" shapeId="0">
      <text>
        <t>Việt Hoàng:
Last week:
30.590.000</t>
      </text>
    </comment>
  </commentList>
</comments>
</file>

<file path=xl/comments/comment51.xml><?xml version="1.0" encoding="utf-8"?>
<comments xmlns="http://schemas.openxmlformats.org/spreadsheetml/2006/main">
  <authors>
    <author>Tran Dat</author>
    <author>chit trang</author>
    <author>Microsoft Office User</author>
    <author>Duy</author>
    <author>Việt Hoàng</author>
  </authors>
  <commentList>
    <comment ref="G2" authorId="0" shapeId="0">
      <text>
        <t>Tran Dat:
16190</t>
      </text>
    </comment>
    <comment ref="F3" authorId="1" shapeId="0">
      <text>
        <t>chit trang:
18.990k</t>
      </text>
    </comment>
    <comment ref="B4" authorId="2" shapeId="0">
      <text>
        <t>was 24640000
VNP150</t>
      </text>
    </comment>
    <comment ref="C4" authorId="3" shapeId="0">
      <text>
        <t>W1 22.690</t>
      </text>
    </comment>
    <comment ref="D4" authorId="4" shapeId="0">
      <text>
        <t>Việt Hoàng:
Last week:
22.590.000</t>
      </text>
    </comment>
    <comment ref="E5" authorId="2" shapeId="0">
      <text>
        <t>was 24990
-300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2" shapeId="0">
      <text>
        <t>was 30490
Online -300</t>
      </text>
    </comment>
    <comment ref="C8" authorId="3" shapeId="0">
      <text>
        <t>W1 19.790</t>
      </text>
    </comment>
    <comment ref="D8" authorId="4" shapeId="0">
      <text>
        <t>Việt Hoàng:
Last week:
19.790.000</t>
      </text>
    </comment>
    <comment ref="B9" authorId="2" shapeId="0">
      <text>
        <t>was 29140000
VNP150</t>
      </text>
    </comment>
    <comment ref="D9" authorId="4" shapeId="0">
      <text>
        <t>Việt Hoàng:
Last week:
27.990.000</t>
      </text>
    </comment>
    <comment ref="F9" authorId="1" shapeId="0">
      <text>
        <t>chit trang:
28.690k</t>
      </text>
    </comment>
    <comment ref="B10" authorId="2" shapeId="0">
      <text>
        <t>was 18440</t>
      </text>
    </comment>
    <comment ref="C11" authorId="3" shapeId="0">
      <text>
        <t>W1 12.990</t>
      </text>
    </comment>
    <comment ref="B12" authorId="2" shapeId="0">
      <text>
        <t>was 13190
VNP100</t>
      </text>
    </comment>
    <comment ref="C15" authorId="3" shapeId="0">
      <text>
        <t>W1 8.690</t>
      </text>
    </comment>
    <comment ref="D15" authorId="4" shapeId="0">
      <text>
        <t>Việt Hoàng:
Last week:
8.590.000</t>
      </text>
    </comment>
    <comment ref="B16" authorId="2" shapeId="0">
      <text>
        <t>was 7040
VNP40</t>
      </text>
    </comment>
    <comment ref="B17" authorId="2" shapeId="0">
      <text>
        <t>was 14390</t>
      </text>
    </comment>
    <comment ref="C17" authorId="3" shapeId="0">
      <text>
        <t>W1 16490</t>
      </text>
    </comment>
    <comment ref="C18" authorId="3" shapeId="0">
      <text>
        <t>W1 20490</t>
      </text>
    </comment>
    <comment ref="C19" authorId="3" shapeId="0">
      <text>
        <t>W1 27890</t>
      </text>
    </comment>
    <comment ref="B20" authorId="2" shapeId="0">
      <text>
        <t>was 36640</t>
      </text>
    </comment>
    <comment ref="E21" authorId="2" shapeId="0">
      <text>
        <t>was 5336</t>
      </text>
    </comment>
    <comment ref="F21" authorId="1" shapeId="0">
      <text>
        <t>chit trang:
5.790k</t>
      </text>
    </comment>
    <comment ref="G21" authorId="0" shapeId="0">
      <text>
        <t>Tran Dat:
5590</t>
      </text>
    </comment>
    <comment ref="E23" authorId="2" shapeId="0">
      <text>
        <t>was 5930</t>
      </text>
    </comment>
    <comment ref="G23" authorId="0" shapeId="0">
      <text>
        <t>Tran Dat:
6790</t>
      </text>
    </comment>
    <comment ref="G24" authorId="0" shapeId="0">
      <text>
        <t>7390</t>
      </text>
    </comment>
    <comment ref="C25" authorId="3" shapeId="0">
      <text>
        <t>W1 10690</t>
      </text>
    </comment>
    <comment ref="F25" authorId="1" shapeId="0">
      <text>
        <t>chit trang:
10.590k</t>
      </text>
    </comment>
    <comment ref="G25" authorId="0" shapeId="0">
      <text>
        <t>Tran Dat:
10090</t>
      </text>
    </comment>
    <comment ref="C26" authorId="3" shapeId="0">
      <text>
        <t>W1 12790</t>
      </text>
    </comment>
    <comment ref="E26" authorId="2" shapeId="0">
      <text>
        <t>was 12731
vnp1%</t>
      </text>
    </comment>
    <comment ref="B28" authorId="2" shapeId="0">
      <text>
        <t>was 13320
VNP100</t>
      </text>
    </comment>
    <comment ref="D28" authorId="4" shapeId="0">
      <text>
        <t>Việt Hoàng:
Last week:
13.690.000</t>
      </text>
    </comment>
    <comment ref="B30" authorId="2" shapeId="0">
      <text>
        <t>was 5550
VNP40</t>
      </text>
    </comment>
    <comment ref="D30" authorId="4" shapeId="0">
      <text>
        <t>Việt Hoàng:
Last week:
5.590.000</t>
      </text>
    </comment>
    <comment ref="B31" authorId="2" shapeId="0">
      <text>
        <t xml:space="preserve">was 4490
</t>
      </text>
    </comment>
    <comment ref="D31" authorId="4" shapeId="0">
      <text>
        <t>Việt Hoàng:
Last week:
4.390.000</t>
      </text>
    </comment>
    <comment ref="B32" authorId="2" shapeId="0">
      <text>
        <t>was 3190</t>
      </text>
    </comment>
    <comment ref="D32" authorId="4" shapeId="0">
      <text>
        <t>Việt Hoàng:
Last week:
3.190.000</t>
      </text>
    </comment>
    <comment ref="G32" authorId="0" shapeId="0">
      <text>
        <t>Tran Dat:
3390</t>
      </text>
    </comment>
    <comment ref="B33" authorId="2" shapeId="0">
      <text>
        <t>was 18090
VNP100</t>
      </text>
    </comment>
    <comment ref="C33" authorId="3" shapeId="0">
      <text>
        <t>W1 17690</t>
      </text>
    </comment>
    <comment ref="C34" authorId="3" shapeId="0">
      <text>
        <t>W1 22090</t>
      </text>
    </comment>
    <comment ref="D34" authorId="4" shapeId="0">
      <text>
        <t>Việt Hoàng:
Last week:
21.990.000</t>
      </text>
    </comment>
    <comment ref="F34" authorId="1" shapeId="0">
      <text>
        <t>chit trang:
21.990k</t>
      </text>
    </comment>
    <comment ref="B35" authorId="2" shapeId="0">
      <text>
        <t>was 26140
VNP150</t>
      </text>
    </comment>
    <comment ref="G35" authorId="0" shapeId="0">
      <text>
        <t>Tran Dat:
25890</t>
      </text>
    </comment>
    <comment ref="D36" authorId="4" shapeId="0">
      <text>
        <t>Việt Hoàng:
Last week:
30.590.000</t>
      </text>
    </comment>
  </commentList>
</comments>
</file>

<file path=xl/comments/comment52.xml><?xml version="1.0" encoding="utf-8"?>
<comments xmlns="http://schemas.openxmlformats.org/spreadsheetml/2006/main">
  <authors>
    <author>Duy</author>
    <author>Việt Hoàng</author>
    <author>Tran Dat</author>
    <author>chit trang</author>
    <author>Microsoft Office User</author>
  </authors>
  <commentList>
    <comment ref="C2" authorId="0" shapeId="0">
      <text>
        <t>W2 16590</t>
      </text>
    </comment>
    <comment ref="D2" authorId="1" shapeId="0">
      <text>
        <t>Việt Hoàng:
Last week:
16.390.000</t>
      </text>
    </comment>
    <comment ref="G2" authorId="2" shapeId="0">
      <text>
        <t>Tran Dat:
16290</t>
      </text>
    </comment>
    <comment ref="D3" authorId="1" shapeId="0">
      <text>
        <t>Việt Hoàng:
19.290.000</t>
      </text>
    </comment>
    <comment ref="F3" authorId="3" shapeId="0">
      <text>
        <t>chit trang:
18.990k</t>
      </text>
    </comment>
    <comment ref="B4" authorId="4" shapeId="0">
      <text>
        <t>was 24640000
VNP150</t>
      </text>
    </comment>
    <comment ref="C4" authorId="0" shapeId="0">
      <text>
        <t>W2 22.590</t>
      </text>
    </comment>
    <comment ref="D4" authorId="1" shapeId="0">
      <text>
        <t>Việt Hoàng:
Last week:
22.490.000</t>
      </text>
    </comment>
    <comment ref="C5" authorId="0" shapeId="0">
      <text>
        <t>W2 25490</t>
      </text>
    </comment>
    <comment ref="D5" authorId="1" shapeId="0">
      <text>
        <t>Việt Hoàng:
25.490.000</t>
      </text>
    </comment>
    <comment ref="B6"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0" shapeId="0">
      <text>
        <t>W2 31190</t>
      </text>
    </comment>
    <comment ref="F6" authorId="3" shapeId="0">
      <text>
        <t>chit trang:
30.690k</t>
      </text>
    </comment>
    <comment ref="G6" authorId="2" shapeId="0">
      <text>
        <t>Tran Dat:
30190</t>
      </text>
    </comment>
    <comment ref="D7" authorId="1" shapeId="0">
      <text>
        <t>Việt Hoàng:
15.990.000</t>
      </text>
    </comment>
    <comment ref="D8" authorId="1" shapeId="0">
      <text>
        <t>Việt Hoàng:
Last week:
19.590.000</t>
      </text>
    </comment>
    <comment ref="F8" authorId="3" shapeId="0">
      <text>
        <t>chit trang:
19.190k</t>
      </text>
    </comment>
    <comment ref="B9" authorId="4" shapeId="0">
      <text>
        <t>was 29140000
VNP150</t>
      </text>
    </comment>
    <comment ref="C9" authorId="0" shapeId="0">
      <text>
        <t>W2 29990</t>
      </text>
    </comment>
    <comment ref="F9" authorId="3" shapeId="0">
      <text>
        <t>chit trang:
28.590k</t>
      </text>
    </comment>
    <comment ref="B10" authorId="4" shapeId="0">
      <text>
        <t>was 18440</t>
      </text>
    </comment>
    <comment ref="D10" authorId="1" shapeId="0">
      <text>
        <t>Việt Hoàng:
18.990.000</t>
      </text>
    </comment>
    <comment ref="C11" authorId="0" shapeId="0">
      <text>
        <t>W2 13090</t>
      </text>
    </comment>
    <comment ref="D11" authorId="1" shapeId="0">
      <text>
        <t>Việt Hoàng:
12.990.000</t>
      </text>
    </comment>
    <comment ref="G11" authorId="2" shapeId="0">
      <text>
        <t>Tran Dat:
12990</t>
      </text>
    </comment>
    <comment ref="B12" authorId="4" shapeId="0">
      <text>
        <t>was 13190
VNP100</t>
      </text>
    </comment>
    <comment ref="C12" authorId="0" shapeId="0">
      <text>
        <t>W2 11990</t>
      </text>
    </comment>
    <comment ref="D12" authorId="1" shapeId="0">
      <text>
        <t>Việt Hoàng:
11.990.000</t>
      </text>
    </comment>
    <comment ref="F14" authorId="3" shapeId="0">
      <text>
        <t>chit trang:
13.990k</t>
      </text>
    </comment>
    <comment ref="C15" authorId="0" shapeId="0">
      <text>
        <t>W2 8.590</t>
      </text>
    </comment>
    <comment ref="D15" authorId="1" shapeId="0">
      <text>
        <t>Việt Hoàng:
Last week:
8.790.000</t>
      </text>
    </comment>
    <comment ref="E15" authorId="4" shapeId="0">
      <text>
        <t>was 8603000
VNP1%</t>
      </text>
    </comment>
    <comment ref="B16" authorId="4" shapeId="0">
      <text>
        <t>was 7040
VNP40</t>
      </text>
    </comment>
    <comment ref="D16" authorId="1" shapeId="0">
      <text>
        <t>Việt Hoàng:
6.990.000</t>
      </text>
    </comment>
    <comment ref="B17" authorId="4" shapeId="0">
      <text>
        <t>was 14390</t>
      </text>
    </comment>
    <comment ref="D17" authorId="1" shapeId="0">
      <text>
        <t>Việt Hoàng:
16.690.000</t>
      </text>
    </comment>
    <comment ref="F17" authorId="3" shapeId="0">
      <text>
        <t>chit trang:
16.990k</t>
      </text>
    </comment>
    <comment ref="D18" authorId="1" shapeId="0">
      <text>
        <t>Việt Hoàng:
21.990.000</t>
      </text>
    </comment>
    <comment ref="G19" authorId="2" shapeId="0">
      <text>
        <t>Tran Dat:
27290</t>
      </text>
    </comment>
    <comment ref="B20" authorId="4" shapeId="0">
      <text>
        <t>was 36640</t>
      </text>
    </comment>
    <comment ref="F22" authorId="3" shapeId="0">
      <text>
        <t>chit trang:
6.990k</t>
      </text>
    </comment>
    <comment ref="G23" authorId="2" shapeId="0">
      <text>
        <t>Tran Dat:
6790</t>
      </text>
    </comment>
    <comment ref="G24" authorId="2" shapeId="0">
      <text>
        <t>7770</t>
      </text>
    </comment>
    <comment ref="C26" authorId="0" shapeId="0">
      <text>
        <t>W2 13390</t>
      </text>
    </comment>
    <comment ref="C27" authorId="0" shapeId="0">
      <text>
        <t>W2 11590</t>
      </text>
    </comment>
    <comment ref="F27" authorId="3" shapeId="0">
      <text>
        <t>chit trang:
10.990k</t>
      </text>
    </comment>
    <comment ref="B28" authorId="4" shapeId="0">
      <text>
        <t>was 13320
VNP100</t>
      </text>
    </comment>
    <comment ref="C28" authorId="0" shapeId="0">
      <text>
        <t>W2 14090</t>
      </text>
    </comment>
    <comment ref="D28" authorId="1" shapeId="0">
      <text>
        <t>Việt Hoàng:
Last week:
13.990.000</t>
      </text>
    </comment>
    <comment ref="F28" authorId="3" shapeId="0">
      <text>
        <t>chit trang:
13.690k</t>
      </text>
    </comment>
    <comment ref="D29" authorId="1" shapeId="0">
      <text>
        <t>Việt Hoàng:
22.990.000</t>
      </text>
    </comment>
    <comment ref="B30" authorId="4" shapeId="0">
      <text>
        <t>was 5550
VNP40</t>
      </text>
    </comment>
    <comment ref="C30" authorId="0" shapeId="0">
      <text>
        <t>W2 5790</t>
      </text>
    </comment>
    <comment ref="E30" authorId="4" shapeId="0">
      <text>
        <t>was 5690
vnp1%</t>
      </text>
    </comment>
    <comment ref="B31" authorId="4" shapeId="0">
      <text>
        <t xml:space="preserve">was 4490
</t>
      </text>
    </comment>
    <comment ref="C31" authorId="0" shapeId="0">
      <text>
        <t>W2 4690</t>
      </text>
    </comment>
    <comment ref="E31" authorId="4" shapeId="0">
      <text>
        <t>was 4490
vnp1%</t>
      </text>
    </comment>
    <comment ref="F31" authorId="3" shapeId="0">
      <text>
        <t>chit trang:
4.590k</t>
      </text>
    </comment>
    <comment ref="B32" authorId="4" shapeId="0">
      <text>
        <t>was 3190</t>
      </text>
    </comment>
    <comment ref="C32" authorId="0" shapeId="0">
      <text>
        <t>W2 3390</t>
      </text>
    </comment>
    <comment ref="F32" authorId="3" shapeId="0">
      <text>
        <t>chit trang:
3.390k</t>
      </text>
    </comment>
    <comment ref="B33" authorId="4" shapeId="0">
      <text>
        <t>was 18090
VNP100</t>
      </text>
    </comment>
    <comment ref="D33" authorId="1" shapeId="0">
      <text>
        <t>Việt Hoàng:
17.490.000</t>
      </text>
    </comment>
    <comment ref="C34" authorId="0" shapeId="0">
      <text>
        <t>W2 21890</t>
      </text>
    </comment>
    <comment ref="D34" authorId="1" shapeId="0">
      <text>
        <t>Việt Hoàng:
Last week:
21.890.000</t>
      </text>
    </comment>
    <comment ref="F34" authorId="3" shapeId="0">
      <text>
        <t>chit trang:
22.090k</t>
      </text>
    </comment>
    <comment ref="B35" authorId="4" shapeId="0">
      <text>
        <t>was 26140
VNP150</t>
      </text>
    </comment>
    <comment ref="D35" authorId="1" shapeId="0">
      <text>
        <t>Việt Hoàng:
25.390.000</t>
      </text>
    </comment>
    <comment ref="F35" authorId="3" shapeId="0">
      <text>
        <t>chit trang:
24.990k</t>
      </text>
    </comment>
    <comment ref="G35" authorId="2" shapeId="0">
      <text>
        <t>Tran Dat:
25890</t>
      </text>
    </comment>
  </commentList>
</comments>
</file>

<file path=xl/comments/comment53.xml><?xml version="1.0" encoding="utf-8"?>
<comments xmlns="http://schemas.openxmlformats.org/spreadsheetml/2006/main">
  <authors>
    <author>Tran Dat</author>
    <author>chit trang</author>
    <author>Microsoft Office User</author>
    <author>Duy</author>
    <author>Việt Hoàng</author>
  </authors>
  <commentList>
    <comment ref="G2" authorId="0" shapeId="0">
      <text>
        <t>Tran Dat:
16190</t>
      </text>
    </comment>
    <comment ref="F3" authorId="1" shapeId="0">
      <text>
        <t>chit trang:
19.190k</t>
      </text>
    </comment>
    <comment ref="B4" authorId="2" shapeId="0">
      <text>
        <t>was 24640000
VNP150</t>
      </text>
    </comment>
    <comment ref="C5" authorId="3" shapeId="0">
      <text>
        <t>W3 25390</t>
      </text>
    </comment>
    <comment ref="D5" authorId="4" shapeId="0">
      <text>
        <t>Việt Hoàng:
25.290.000</t>
      </text>
    </comment>
    <comment ref="F5" authorId="1" shapeId="0">
      <text>
        <t>chit trang:
25.090</t>
      </text>
    </comment>
    <comment ref="G5" authorId="0" shapeId="0">
      <text>
        <t>Tran Dat:
24590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6" authorId="1" shapeId="0">
      <text>
        <t>chit trang:
30.990k</t>
      </text>
    </comment>
    <comment ref="F7" authorId="1" shapeId="0">
      <text>
        <t>chit trang:
15.890k</t>
      </text>
    </comment>
    <comment ref="G7" authorId="0" shapeId="0">
      <text>
        <t>Tran Dat:
15490</t>
      </text>
    </comment>
    <comment ref="C8" authorId="3" shapeId="0">
      <text>
        <t>W3 19690</t>
      </text>
    </comment>
    <comment ref="F8" authorId="1" shapeId="0">
      <text>
        <t>chit trang:
19.490k</t>
      </text>
    </comment>
    <comment ref="B9" authorId="2" shapeId="0">
      <text>
        <t>was 29140000
VNP150</t>
      </text>
    </comment>
    <comment ref="C9" authorId="3" shapeId="0">
      <text>
        <t>W3 28590</t>
      </text>
    </comment>
    <comment ref="F9" authorId="1" shapeId="0">
      <text>
        <t>chit trang:
27.990k</t>
      </text>
    </comment>
    <comment ref="B10" authorId="2" shapeId="0">
      <text>
        <t>was 18440</t>
      </text>
    </comment>
    <comment ref="F10" authorId="1" shapeId="0">
      <text>
        <t>chit trang:
17.990k</t>
      </text>
    </comment>
    <comment ref="G10" authorId="0" shapeId="0">
      <text>
        <t xml:space="preserve">Tran Dat:
17.490
</t>
      </text>
    </comment>
    <comment ref="E11" authorId="2" shapeId="0">
      <text>
        <t>was 12990</t>
      </text>
    </comment>
    <comment ref="F11" authorId="1" shapeId="0">
      <text>
        <t>chit trang:
12.890k</t>
      </text>
    </comment>
    <comment ref="G11" authorId="0" shapeId="0">
      <text>
        <t>Tran Dat:
12690</t>
      </text>
    </comment>
    <comment ref="B12" authorId="2" shapeId="0">
      <text>
        <t>was 13190
VNP100</t>
      </text>
    </comment>
    <comment ref="C13" authorId="3" shapeId="0">
      <text>
        <t>W3 10590</t>
      </text>
    </comment>
    <comment ref="C14" authorId="3" shapeId="0">
      <text>
        <t>W3 13990</t>
      </text>
    </comment>
    <comment ref="E14" authorId="2" shapeId="0">
      <text>
        <t>was  13790
vnp1%</t>
      </text>
    </comment>
    <comment ref="G15" authorId="0" shapeId="0">
      <text>
        <t>Tran Dat:
8290</t>
      </text>
    </comment>
    <comment ref="B16" authorId="2" shapeId="0">
      <text>
        <t>was 7040
VNP40</t>
      </text>
    </comment>
    <comment ref="F16" authorId="1" shapeId="0">
      <text>
        <t>chit trang:
9.690k</t>
      </text>
    </comment>
    <comment ref="B17" authorId="2" shapeId="0">
      <text>
        <t>was 14390</t>
      </text>
    </comment>
    <comment ref="F17" authorId="1" shapeId="0">
      <text>
        <t>chit trang:
16.990k</t>
      </text>
    </comment>
    <comment ref="F18" authorId="1" shapeId="0">
      <text>
        <t>chit trang:
22.490k</t>
      </text>
    </comment>
    <comment ref="C19" authorId="3" shapeId="0">
      <text>
        <t>W3 27990</t>
      </text>
    </comment>
    <comment ref="B20" authorId="2" shapeId="0">
      <text>
        <t>was 36640</t>
      </text>
    </comment>
    <comment ref="F20" authorId="1" shapeId="0">
      <text>
        <t>chit trang:
36.590k</t>
      </text>
    </comment>
    <comment ref="D21" authorId="4" shapeId="0">
      <text>
        <t>Việt Hoàng:
5.890.000</t>
      </text>
    </comment>
    <comment ref="G21" authorId="0" shapeId="0">
      <text>
        <t>Tran Dat:
5690</t>
      </text>
    </comment>
    <comment ref="E22" authorId="2" shapeId="0">
      <text>
        <t>was 6722
vnp1%</t>
      </text>
    </comment>
    <comment ref="F22" authorId="1" shapeId="0">
      <text>
        <t>chit trang:
6.290k</t>
      </text>
    </comment>
    <comment ref="G22" authorId="0" shapeId="0">
      <text>
        <t>Tran Dat:
6790</t>
      </text>
    </comment>
    <comment ref="C23" authorId="3" shapeId="0">
      <text>
        <t>W3 6590</t>
      </text>
    </comment>
    <comment ref="D23" authorId="4" shapeId="0">
      <text>
        <t>Việt Hoàng:
6.590.000</t>
      </text>
    </comment>
    <comment ref="G23" authorId="0" shapeId="0">
      <text>
        <t>Tran Dat:
6590</t>
      </text>
    </comment>
    <comment ref="C24" authorId="3" shapeId="0">
      <text>
        <t>W3 7990</t>
      </text>
    </comment>
    <comment ref="E24" authorId="2" shapeId="0">
      <text>
        <t>was 7415
vnp1%</t>
      </text>
    </comment>
    <comment ref="F24" authorId="1" shapeId="0">
      <text>
        <t>chit trang:
7.790k</t>
      </text>
    </comment>
    <comment ref="G24" authorId="0" shapeId="0">
      <text>
        <t>8090</t>
      </text>
    </comment>
    <comment ref="C25" authorId="3" shapeId="0">
      <text>
        <t>W3 10290</t>
      </text>
    </comment>
    <comment ref="D25" authorId="4" shapeId="0">
      <text>
        <t>Việt Hoàng:
10.490.000</t>
      </text>
    </comment>
    <comment ref="E25" authorId="2" shapeId="0">
      <text>
        <t>was 10187
vnp1%</t>
      </text>
    </comment>
    <comment ref="G25" authorId="0" shapeId="0">
      <text>
        <t>Tran Dat:
10190</t>
      </text>
    </comment>
    <comment ref="C26" authorId="3" shapeId="0">
      <text>
        <t>W3 12590</t>
      </text>
    </comment>
    <comment ref="E26" authorId="2" shapeId="0">
      <text>
        <t>was 12860
vnp1%</t>
      </text>
    </comment>
    <comment ref="C27" authorId="3" shapeId="0">
      <text>
        <t>W3 11390</t>
      </text>
    </comment>
    <comment ref="D27" authorId="4" shapeId="0">
      <text>
        <t>Việt Hoàng:
11.190.000</t>
      </text>
    </comment>
    <comment ref="E27" authorId="2" shapeId="0">
      <text>
        <t xml:space="preserve">was 10880
vnp1%
</t>
      </text>
    </comment>
    <comment ref="F27" authorId="1" shapeId="0">
      <text>
        <t>11.390k</t>
      </text>
    </comment>
    <comment ref="G27" authorId="0" shapeId="0">
      <text>
        <t>Tran Dat:
10890</t>
      </text>
    </comment>
    <comment ref="B28" authorId="2" shapeId="0">
      <text>
        <t>was 13320
VNP100</t>
      </text>
    </comment>
    <comment ref="C28" authorId="3" shapeId="0">
      <text>
        <t>W3 13890</t>
      </text>
    </comment>
    <comment ref="E28" authorId="2" shapeId="0">
      <text>
        <t>was 13553
vnp1%</t>
      </text>
    </comment>
    <comment ref="F28" authorId="1" shapeId="0">
      <text>
        <t>chit trang:
13.490</t>
      </text>
    </comment>
    <comment ref="B30" authorId="2" shapeId="0">
      <text>
        <t>was 5550
VNP40</t>
      </text>
    </comment>
    <comment ref="C30" authorId="3" shapeId="0">
      <text>
        <t>W3 5590</t>
      </text>
    </comment>
    <comment ref="D30" authorId="4" shapeId="0">
      <text>
        <t>Việt Hoàng:
5.690.000</t>
      </text>
    </comment>
    <comment ref="E30" authorId="2" shapeId="0">
      <text>
        <t>was 5633
vnp1%</t>
      </text>
    </comment>
    <comment ref="F30" authorId="1" shapeId="0">
      <text>
        <t>chit trang:
5.590k</t>
      </text>
    </comment>
    <comment ref="G30" authorId="0" shapeId="0">
      <text>
        <t>Tran Dat:
5590</t>
      </text>
    </comment>
    <comment ref="B31" authorId="2" shapeId="0">
      <text>
        <t xml:space="preserve">was 4490
</t>
      </text>
    </comment>
    <comment ref="C31" authorId="3" shapeId="0">
      <text>
        <t>W3 4590</t>
      </text>
    </comment>
    <comment ref="D31" authorId="4" shapeId="0">
      <text>
        <t>Việt Hoàng:
4.490.000</t>
      </text>
    </comment>
    <comment ref="E31" authorId="2" shapeId="0">
      <text>
        <t>was 4445
vnp1%</t>
      </text>
    </comment>
    <comment ref="F31" authorId="1" shapeId="0">
      <text>
        <t>chit trang:
4.490k</t>
      </text>
    </comment>
    <comment ref="G31" authorId="0" shapeId="0">
      <text>
        <t>Tran Dat:
4490</t>
      </text>
    </comment>
    <comment ref="B32" authorId="2" shapeId="0">
      <text>
        <t>was 3190</t>
      </text>
    </comment>
    <comment ref="C32" authorId="3" shapeId="0">
      <text>
        <t>W3 3290</t>
      </text>
    </comment>
    <comment ref="D32" authorId="4" shapeId="0">
      <text>
        <t>Việt Hoàng:
3.290.000</t>
      </text>
    </comment>
    <comment ref="E32" authorId="2" shapeId="0">
      <text>
        <t>was 3190</t>
      </text>
    </comment>
    <comment ref="F32" authorId="1" shapeId="0">
      <text>
        <t>chit trang:
3.290k</t>
      </text>
    </comment>
    <comment ref="G32" authorId="0" shapeId="0">
      <text>
        <t>Tran Dat:
3290</t>
      </text>
    </comment>
    <comment ref="B33" authorId="2" shapeId="0">
      <text>
        <t>was 18090
VNP100</t>
      </text>
    </comment>
    <comment ref="C33" authorId="3" shapeId="0">
      <text>
        <t>W3 17090</t>
      </text>
    </comment>
    <comment ref="G33" authorId="0" shapeId="0">
      <text>
        <t>Tran Dat:
16690</t>
      </text>
    </comment>
    <comment ref="C34" authorId="3" shapeId="0">
      <text>
        <t>W3 21790</t>
      </text>
    </comment>
    <comment ref="F34" authorId="1" shapeId="0">
      <text>
        <t>chit trang:
22.090k</t>
      </text>
    </comment>
    <comment ref="G34" authorId="0" shapeId="0">
      <text>
        <t>Tran Dat:
21990</t>
      </text>
    </comment>
    <comment ref="B35" authorId="2" shapeId="0">
      <text>
        <t>was 26140
VNP150</t>
      </text>
    </comment>
    <comment ref="F35" authorId="1" shapeId="0">
      <text>
        <t>chit trang:
24.990k</t>
      </text>
    </comment>
    <comment ref="D36" authorId="4" shapeId="0">
      <text>
        <t>Việt Hoàng:
26.790.000</t>
      </text>
    </comment>
    <comment ref="D37" authorId="4" shapeId="0">
      <text>
        <t>Việt Hoàng:
31.690.000</t>
      </text>
    </comment>
    <comment ref="D38" authorId="4" shapeId="0">
      <text>
        <t>Việt Hoàng:
39.990.000</t>
      </text>
    </comment>
  </commentList>
</comments>
</file>

<file path=xl/comments/comment54.xml><?xml version="1.0" encoding="utf-8"?>
<comments xmlns="http://schemas.openxmlformats.org/spreadsheetml/2006/main">
  <authors>
    <author>Microsoft Office User</author>
    <author>chit trang</author>
    <author>Tran Dat</author>
    <author>Việt Hoàng</author>
    <author>Duy</author>
  </authors>
  <commentList>
    <comment ref="B4" authorId="0" shapeId="0">
      <text>
        <t>was 24640000
VNP150</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7" authorId="1" shapeId="0">
      <text>
        <t>chit trang:
15.690k</t>
      </text>
    </comment>
    <comment ref="G7" authorId="2" shapeId="0">
      <text>
        <t>Tran Dat:
15490</t>
      </text>
    </comment>
    <comment ref="G8" authorId="2" shapeId="0">
      <text>
        <t>Tran Dat:
18490</t>
      </text>
    </comment>
    <comment ref="B9" authorId="0" shapeId="0">
      <text>
        <t>was 29140000
VNP150</t>
      </text>
    </comment>
    <comment ref="B10" authorId="0" shapeId="0">
      <text>
        <t>was 18440</t>
      </text>
    </comment>
    <comment ref="D11" authorId="3" shapeId="0">
      <text>
        <t>Việt Hoàng:
12.890.000</t>
      </text>
    </comment>
    <comment ref="B12" authorId="0" shapeId="0">
      <text>
        <t>was 13190
VNP100</t>
      </text>
    </comment>
    <comment ref="C14" authorId="4" shapeId="0">
      <text>
        <t>W4 13890</t>
      </text>
    </comment>
    <comment ref="B16" authorId="0" shapeId="0">
      <text>
        <t>was 7040
VNP40</t>
      </text>
    </comment>
    <comment ref="D16" authorId="3" shapeId="0">
      <text>
        <t>Việt Hoàng:
9.690.000</t>
      </text>
    </comment>
    <comment ref="E16" authorId="0" shapeId="0">
      <text>
        <t xml:space="preserve">was 9593
vnp1%
</t>
      </text>
    </comment>
    <comment ref="F16" authorId="1" shapeId="0">
      <text>
        <t>chit trang:
9.490k</t>
      </text>
    </comment>
    <comment ref="G16" authorId="2" shapeId="0">
      <text>
        <t>Tran Dat:
9390</t>
      </text>
    </comment>
    <comment ref="B17" authorId="0" shapeId="0">
      <text>
        <t>was 14390</t>
      </text>
    </comment>
    <comment ref="D17" authorId="3" shapeId="0">
      <text>
        <t>Việt Hoàng:
16.990.000</t>
      </text>
    </comment>
    <comment ref="F17" authorId="1" shapeId="0">
      <text>
        <t>chit trang:
16.990k</t>
      </text>
    </comment>
    <comment ref="D18" authorId="3" shapeId="0">
      <text>
        <t>Việt Hoàng:
22.490.000</t>
      </text>
    </comment>
    <comment ref="E18" authorId="0" shapeId="0">
      <text>
        <t>was 21790
vnp1%</t>
      </text>
    </comment>
    <comment ref="G18" authorId="2" shapeId="0">
      <text>
        <t>Tran Dat:
22490</t>
      </text>
    </comment>
    <comment ref="C19" authorId="4" shapeId="0">
      <text>
        <t>W4 26890</t>
      </text>
    </comment>
    <comment ref="D19" authorId="3" shapeId="0">
      <text>
        <t>Việt Hoàng:
27.890.000</t>
      </text>
    </comment>
    <comment ref="F19" authorId="1" shapeId="0">
      <text>
        <t>chit trang:
27.990</t>
      </text>
    </comment>
    <comment ref="B20" authorId="0" shapeId="0">
      <text>
        <t>was 36640</t>
      </text>
    </comment>
    <comment ref="D20" authorId="3" shapeId="0">
      <text>
        <t>Việt Hoàng:
36.690.000</t>
      </text>
    </comment>
    <comment ref="F21" authorId="1" shapeId="0">
      <text>
        <t>chit trang:
5.690k</t>
      </text>
    </comment>
    <comment ref="F23" authorId="1" shapeId="0">
      <text>
        <t>chit trang:
6.590k</t>
      </text>
    </comment>
    <comment ref="F24" authorId="1" shapeId="0">
      <text>
        <t>chit trang:
7.790k</t>
      </text>
    </comment>
    <comment ref="D25" authorId="3" shapeId="0">
      <text>
        <t>Việt Hoàng:
8.490.000</t>
      </text>
    </comment>
    <comment ref="F25" authorId="1" shapeId="0">
      <text>
        <t>chit trang:
8.490k</t>
      </text>
    </comment>
    <comment ref="G25" authorId="2" shapeId="0">
      <text>
        <t>Tran Dat:
8490</t>
      </text>
    </comment>
    <comment ref="F26" authorId="1" shapeId="0">
      <text>
        <t>chit trang:
12.690k</t>
      </text>
    </comment>
    <comment ref="D27" authorId="3" shapeId="0">
      <text>
        <t>Việt Hoàng:
9.490.000</t>
      </text>
    </comment>
    <comment ref="F27" authorId="1" shapeId="0">
      <text>
        <t>9.990k</t>
      </text>
    </comment>
    <comment ref="B28" authorId="0" shapeId="0">
      <text>
        <t>was 13320
VNP100</t>
      </text>
    </comment>
    <comment ref="F28" authorId="1" shapeId="0">
      <text>
        <t>chit trang:
13.490</t>
      </text>
    </comment>
    <comment ref="B30" authorId="0" shapeId="0">
      <text>
        <t>was 5550
VNP40</t>
      </text>
    </comment>
    <comment ref="B31" authorId="0" shapeId="0">
      <text>
        <t xml:space="preserve">was 4490
</t>
      </text>
    </comment>
    <comment ref="B32" authorId="0" shapeId="0">
      <text>
        <t>was 3190</t>
      </text>
    </comment>
    <comment ref="B33" authorId="0" shapeId="0">
      <text>
        <t>was 18090
VNP100</t>
      </text>
    </comment>
    <comment ref="C33" authorId="4" shapeId="0">
      <text>
        <t>W4 17590</t>
      </text>
    </comment>
    <comment ref="F33" authorId="1" shapeId="0">
      <text>
        <t>chit trang:
16.890k</t>
      </text>
    </comment>
    <comment ref="G33" authorId="2" shapeId="0">
      <text>
        <t>Tran Dat:
16350</t>
      </text>
    </comment>
    <comment ref="C34" authorId="4" shapeId="0">
      <text>
        <t>W4 21690</t>
      </text>
    </comment>
    <comment ref="F34" authorId="1" shapeId="0">
      <text>
        <t>chit trang:
21590k</t>
      </text>
    </comment>
    <comment ref="B35" authorId="0" shapeId="0">
      <text>
        <t>was 26140
VNP150</t>
      </text>
    </comment>
    <comment ref="D36" authorId="3" shapeId="0">
      <text>
        <t>Việt Hoàng:
26.890.000</t>
      </text>
    </comment>
  </commentList>
</comments>
</file>

<file path=xl/comments/comment55.xml><?xml version="1.0" encoding="utf-8"?>
<comments xmlns="http://schemas.openxmlformats.org/spreadsheetml/2006/main">
  <authors>
    <author>Duy</author>
    <author>Việt Hoàng</author>
    <author>Microsoft Office User</author>
    <author>Tran Dat</author>
    <author>chit trang</author>
  </authors>
  <commentList>
    <comment ref="C2" authorId="0" shapeId="0">
      <text>
        <t>W5 16290</t>
      </text>
    </comment>
    <comment ref="D2" authorId="1" shapeId="0">
      <text>
        <t>Việt Hoàng:
16.290.000</t>
      </text>
    </comment>
    <comment ref="C3" authorId="0" shapeId="0">
      <text>
        <t>W5 19290</t>
      </text>
    </comment>
    <comment ref="D3" authorId="1" shapeId="0">
      <text>
        <t>Việt Hoàng:
19.190.000</t>
      </text>
    </comment>
    <comment ref="B4" authorId="2" shapeId="0">
      <text>
        <t>was 24640000
VNP150</t>
      </text>
    </comment>
    <comment ref="C4" authorId="0" shapeId="0">
      <text>
        <t>W5 22390</t>
      </text>
    </comment>
    <comment ref="D4" authorId="1" shapeId="0">
      <text>
        <t>Việt Hoàng:
22.390.000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0" shapeId="0">
      <text>
        <t>W5 31090</t>
      </text>
    </comment>
    <comment ref="D6" authorId="1" shapeId="0">
      <text>
        <t>Việt Hoàng:
30.990.000</t>
      </text>
    </comment>
    <comment ref="G7" authorId="3" shapeId="0">
      <text>
        <t>Tran Dat:
15290</t>
      </text>
    </comment>
    <comment ref="G8" authorId="3" shapeId="0">
      <text>
        <t>Tran Dat:
18490</t>
      </text>
    </comment>
    <comment ref="B9" authorId="2" shapeId="0">
      <text>
        <t>was 29140000
VNP150</t>
      </text>
    </comment>
    <comment ref="B10" authorId="2" shapeId="0">
      <text>
        <t>was 18440</t>
      </text>
    </comment>
    <comment ref="C11" authorId="0" shapeId="0">
      <text>
        <t>W5 12990</t>
      </text>
    </comment>
    <comment ref="B12" authorId="2" shapeId="0">
      <text>
        <t>was 13190
VNP100</t>
      </text>
    </comment>
    <comment ref="B15" authorId="2" shapeId="0">
      <text>
        <t>was 7040
VNP40</t>
      </text>
    </comment>
    <comment ref="F15" authorId="4" shapeId="0">
      <text>
        <t>chit trang:
8.690k</t>
      </text>
    </comment>
    <comment ref="G15" authorId="3" shapeId="0">
      <text>
        <t>Tran Dat:
8590</t>
      </text>
    </comment>
    <comment ref="B16" authorId="2" shapeId="0">
      <text>
        <t>was 14390</t>
      </text>
    </comment>
    <comment ref="F16" authorId="4" shapeId="0">
      <text>
        <t>chit trang:
16.690k</t>
      </text>
    </comment>
    <comment ref="C18" authorId="0" shapeId="0">
      <text>
        <t>W5 26490</t>
      </text>
    </comment>
    <comment ref="E18" authorId="2" shapeId="0">
      <text>
        <t xml:space="preserve">was 27190
</t>
      </text>
    </comment>
    <comment ref="F18" authorId="4" shapeId="0">
      <text>
        <t>chit trang:
26.490</t>
      </text>
    </comment>
    <comment ref="B19" authorId="2" shapeId="0">
      <text>
        <t>was 36640</t>
      </text>
    </comment>
    <comment ref="C19" authorId="0" shapeId="0">
      <text>
        <t>W5 36690</t>
      </text>
    </comment>
    <comment ref="C20" authorId="0" shapeId="0">
      <text>
        <t>W5 5220</t>
      </text>
    </comment>
    <comment ref="D20" authorId="1" shapeId="0">
      <text>
        <t>Việt Hoàng:
5.190.000</t>
      </text>
    </comment>
    <comment ref="E20" authorId="2" shapeId="0">
      <text>
        <t xml:space="preserve">Microsoft Office User:
</t>
      </text>
    </comment>
    <comment ref="F20" authorId="4" shapeId="0">
      <text>
        <t>chit trang:
5.290k</t>
      </text>
    </comment>
    <comment ref="G20" authorId="3" shapeId="0">
      <text>
        <t>Tran Dat:
5190</t>
      </text>
    </comment>
    <comment ref="E21" authorId="2" shapeId="0">
      <text>
        <t>was 6227
vnp1%</t>
      </text>
    </comment>
    <comment ref="C22" authorId="0" shapeId="0">
      <text>
        <t>W5 5820</t>
      </text>
    </comment>
    <comment ref="D22" authorId="1" shapeId="0">
      <text>
        <t>Việt Hoàng:
5.790.000</t>
      </text>
    </comment>
    <comment ref="F22" authorId="4" shapeId="0">
      <text>
        <t>chit trang:
5.990k</t>
      </text>
    </comment>
    <comment ref="G22" authorId="3" shapeId="0">
      <text>
        <t>Tran Dat:
5890</t>
      </text>
    </comment>
    <comment ref="E23" authorId="2" shapeId="0">
      <text>
        <t>was 6920
vnp1%</t>
      </text>
    </comment>
    <comment ref="F23" authorId="4" shapeId="0">
      <text>
        <t>chit trang:
7.790k</t>
      </text>
    </comment>
    <comment ref="C24" authorId="0" shapeId="0">
      <text>
        <t>W5 8380</t>
      </text>
    </comment>
    <comment ref="D24" authorId="1" shapeId="0">
      <text>
        <t>Việt Hoàng:
8.390.000</t>
      </text>
    </comment>
    <comment ref="E24" authorId="2" shapeId="0">
      <text>
        <t xml:space="preserve">was 8405
vnp1%
</t>
      </text>
    </comment>
    <comment ref="F24" authorId="4" shapeId="0">
      <text>
        <t>chit trang:
8.490k</t>
      </text>
    </comment>
    <comment ref="G24" authorId="3" shapeId="0">
      <text>
        <t>Tran Dat:
8390</t>
      </text>
    </comment>
    <comment ref="E25" authorId="2" shapeId="0">
      <text>
        <t>was 11870
vnp1%</t>
      </text>
    </comment>
    <comment ref="F25" authorId="4" shapeId="0">
      <text>
        <t>chit trang:
12.690k</t>
      </text>
    </comment>
    <comment ref="G25" authorId="3" shapeId="0">
      <text>
        <t>Tran Dat:
12690</t>
      </text>
    </comment>
    <comment ref="C26" authorId="0" shapeId="0">
      <text>
        <t>W5 9380</t>
      </text>
    </comment>
    <comment ref="D26" authorId="1" shapeId="0">
      <text>
        <t>Việt Hoàng:
9.390.000</t>
      </text>
    </comment>
    <comment ref="E26" authorId="2" shapeId="0">
      <text>
        <t>was 8900
vnp1%</t>
      </text>
    </comment>
    <comment ref="G26" authorId="3" shapeId="0">
      <text>
        <t xml:space="preserve">Tran Dat:
9490000
</t>
      </text>
    </comment>
    <comment ref="B27" authorId="2" shapeId="0">
      <text>
        <t>was 13320
VNP100</t>
      </text>
    </comment>
    <comment ref="C27" authorId="0" shapeId="0">
      <text>
        <t>W5 13790</t>
      </text>
    </comment>
    <comment ref="E27" authorId="2" shapeId="0">
      <text>
        <t>was 12583
vnp1%</t>
      </text>
    </comment>
    <comment ref="B29" authorId="2" shapeId="0">
      <text>
        <t>was 5550
VNP40</t>
      </text>
    </comment>
    <comment ref="C29" authorId="0" shapeId="0">
      <text>
        <t>W5 5390</t>
      </text>
    </comment>
    <comment ref="E29" authorId="2" shapeId="0">
      <text>
        <t>was 5138
vnp1%</t>
      </text>
    </comment>
    <comment ref="F29" authorId="4" shapeId="0">
      <text>
        <t>chit trang:
5.350k</t>
      </text>
    </comment>
    <comment ref="B30" authorId="2" shapeId="0">
      <text>
        <t xml:space="preserve">was 4490
</t>
      </text>
    </comment>
    <comment ref="C30" authorId="0" shapeId="0">
      <text>
        <t>W5 4290</t>
      </text>
    </comment>
    <comment ref="D30" authorId="1" shapeId="0">
      <text>
        <t>Việt Hoàng:
4.290.000</t>
      </text>
    </comment>
    <comment ref="E30" authorId="2" shapeId="0">
      <text>
        <t xml:space="preserve">was 4247
vnp1%
</t>
      </text>
    </comment>
    <comment ref="F30" authorId="4" shapeId="0">
      <text>
        <t>chit trang:
4.290k</t>
      </text>
    </comment>
    <comment ref="G30" authorId="3" shapeId="0">
      <text>
        <t>Tran Dat:
4250</t>
      </text>
    </comment>
    <comment ref="B31" authorId="2" shapeId="0">
      <text>
        <t>was 3190</t>
      </text>
    </comment>
    <comment ref="C31" authorId="0" shapeId="0">
      <text>
        <t>W5 3090</t>
      </text>
    </comment>
    <comment ref="D31" authorId="1" shapeId="0">
      <text>
        <t>Việt Hoàng:
3.090.000</t>
      </text>
    </comment>
    <comment ref="E31" authorId="2" shapeId="0">
      <text>
        <t>was 2990</t>
      </text>
    </comment>
    <comment ref="F31" authorId="4" shapeId="0">
      <text>
        <t>chit trang:
3.090k</t>
      </text>
    </comment>
    <comment ref="G31" authorId="3" shapeId="0">
      <text>
        <t>Tran Dat:
3.090</t>
      </text>
    </comment>
    <comment ref="B32" authorId="2" shapeId="0">
      <text>
        <t>was 18090
VNP100</t>
      </text>
    </comment>
    <comment ref="G32" authorId="3" shapeId="0">
      <text>
        <t xml:space="preserve">Tran Dat:
16690000
</t>
      </text>
    </comment>
    <comment ref="C33" authorId="0" shapeId="0">
      <text>
        <t>W5 21490</t>
      </text>
    </comment>
    <comment ref="D33" authorId="1" shapeId="0">
      <text>
        <t>Việt Hoàng:
21.790.000</t>
      </text>
    </comment>
    <comment ref="F33" authorId="4" shapeId="0">
      <text>
        <t>chit trang:
21590k</t>
      </text>
    </comment>
    <comment ref="B34" authorId="2" shapeId="0">
      <text>
        <t>was 26140
VNP150</t>
      </text>
    </comment>
    <comment ref="C34" authorId="0" shapeId="0">
      <text>
        <t>W5 25490</t>
      </text>
    </comment>
    <comment ref="G35" authorId="3" shapeId="0">
      <text>
        <t>Tran Dat:
26590</t>
      </text>
    </comment>
  </commentList>
</comments>
</file>

<file path=xl/comments/comment56.xml><?xml version="1.0" encoding="utf-8"?>
<comments xmlns="http://schemas.openxmlformats.org/spreadsheetml/2006/main">
  <authors>
    <author>Việt Hoàng</author>
    <author>Microsoft Office User</author>
    <author>Duy</author>
    <author>chit trang</author>
    <author>Tran Dat</author>
  </authors>
  <commentList>
    <comment ref="D3" authorId="0" shapeId="0">
      <text>
        <t>Việt Hoàng:
19.090.000</t>
      </text>
    </comment>
    <comment ref="E3" authorId="1" shapeId="0">
      <text>
        <t>Giờ vàng</t>
      </text>
    </comment>
    <comment ref="B4" authorId="1" shapeId="0">
      <text>
        <t>was 24640000
VNP150</t>
      </text>
    </comment>
    <comment ref="D4" authorId="0" shapeId="0">
      <text>
        <t>Việt Hoàng:
22.290.000</t>
      </text>
    </comment>
    <comment ref="E4" authorId="1" shapeId="0">
      <text>
        <t>Giờ vàng</t>
      </text>
    </comment>
    <comment ref="E5" authorId="1" shapeId="0">
      <text>
        <t xml:space="preserve">Giờ vàng
</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2" shapeId="0">
      <text>
        <t>W6 30890</t>
      </text>
    </comment>
    <comment ref="D6" authorId="0" shapeId="0">
      <text>
        <t>Việt Hoàng:
30.790.000</t>
      </text>
    </comment>
    <comment ref="E6" authorId="1" shapeId="0">
      <text>
        <t xml:space="preserve">Giờ vàng
</t>
      </text>
    </comment>
    <comment ref="F6" authorId="3" shapeId="0">
      <text>
        <t>chit trang:
30.390k</t>
      </text>
    </comment>
    <comment ref="C7" authorId="2" shapeId="0">
      <text>
        <t>W6 15990</t>
      </text>
    </comment>
    <comment ref="D7" authorId="0" shapeId="0">
      <text>
        <t>Việt Hoàng:
15.890.000</t>
      </text>
    </comment>
    <comment ref="F7" authorId="3" shapeId="0">
      <text>
        <t>chit trang:
15.790k</t>
      </text>
    </comment>
    <comment ref="C8" authorId="2" shapeId="0">
      <text>
        <t>W6 19590</t>
      </text>
    </comment>
    <comment ref="F8" authorId="3" shapeId="0">
      <text>
        <t>chit trang:
19.290k</t>
      </text>
    </comment>
    <comment ref="B9" authorId="1" shapeId="0">
      <text>
        <t>was 29140000
VNP150</t>
      </text>
    </comment>
    <comment ref="B10" authorId="1" shapeId="0">
      <text>
        <t>was 18440</t>
      </text>
    </comment>
    <comment ref="C11" authorId="2" shapeId="0">
      <text>
        <t>W5 12990</t>
      </text>
    </comment>
    <comment ref="F11" authorId="3" shapeId="0">
      <text>
        <t>chit trang:
12.590k</t>
      </text>
    </comment>
    <comment ref="B12" authorId="1" shapeId="0">
      <text>
        <t>was 13190
VNP100</t>
      </text>
    </comment>
    <comment ref="E12" authorId="1" shapeId="0">
      <text>
        <t>Giờ vàng</t>
      </text>
    </comment>
    <comment ref="F14" authorId="3" shapeId="0">
      <text>
        <t>chit trang:
13.890k</t>
      </text>
    </comment>
    <comment ref="B15" authorId="1" shapeId="0">
      <text>
        <t>was 7040
VNP40</t>
      </text>
    </comment>
    <comment ref="B16" authorId="1" shapeId="0">
      <text>
        <t>was 14390</t>
      </text>
    </comment>
    <comment ref="C16" authorId="2" shapeId="0">
      <text>
        <t>W6 16990</t>
      </text>
    </comment>
    <comment ref="F16" authorId="3" shapeId="0">
      <text>
        <t>chit trang:
16.590k</t>
      </text>
    </comment>
    <comment ref="G18" authorId="4" shapeId="0">
      <text>
        <t>Tran Dat:
27.490</t>
      </text>
    </comment>
    <comment ref="B19" authorId="1" shapeId="0">
      <text>
        <t>was 36640</t>
      </text>
    </comment>
    <comment ref="C20" authorId="2" shapeId="0">
      <text>
        <t>W6 5990</t>
      </text>
    </comment>
    <comment ref="D20" authorId="0" shapeId="0">
      <text>
        <t>Việt Hoàng:
5.790.000</t>
      </text>
    </comment>
    <comment ref="E20" authorId="1" shapeId="0">
      <text>
        <t>was 5336
vnp1%</t>
      </text>
    </comment>
    <comment ref="F20" authorId="3" shapeId="0">
      <text>
        <t>chit trang:
5.790k</t>
      </text>
    </comment>
    <comment ref="G20" authorId="4" shapeId="0">
      <text>
        <t>Tran Dat:
5690</t>
      </text>
    </comment>
    <comment ref="E21" authorId="1" shapeId="0">
      <text>
        <t>was 6722
vnp1%</t>
      </text>
    </comment>
    <comment ref="C22" authorId="2" shapeId="0">
      <text>
        <t>W6 6590</t>
      </text>
    </comment>
    <comment ref="D22" authorId="0" shapeId="0">
      <text>
        <t>Việt Hoàng:
6.590.000</t>
      </text>
    </comment>
    <comment ref="E22" authorId="1" shapeId="0">
      <text>
        <t>was 5930
vnp1%</t>
      </text>
    </comment>
    <comment ref="F22" authorId="3" shapeId="0">
      <text>
        <t>chit trang:
5790k</t>
      </text>
    </comment>
    <comment ref="E23" authorId="1" shapeId="0">
      <text>
        <t>was 7415
vnp1%</t>
      </text>
    </comment>
    <comment ref="F23" authorId="3" shapeId="0">
      <text>
        <t>chit trang:
7.290k</t>
      </text>
    </comment>
    <comment ref="C24" authorId="2" shapeId="0">
      <text>
        <t>W6 10790</t>
      </text>
    </comment>
    <comment ref="D24" authorId="0" shapeId="0">
      <text>
        <t>Việt Hoàng:
10.690.000</t>
      </text>
    </comment>
    <comment ref="E24" authorId="1" shapeId="0">
      <text>
        <t xml:space="preserve">was 10187
vnp1%
</t>
      </text>
    </comment>
    <comment ref="F24" authorId="3" shapeId="0">
      <text>
        <t>chit trang:
10.590k</t>
      </text>
    </comment>
    <comment ref="G24" authorId="4" shapeId="0">
      <text>
        <t>Tran Dat:
10.590</t>
      </text>
    </comment>
    <comment ref="E25" authorId="1" shapeId="0">
      <text>
        <t>was 12860
vnp1%</t>
      </text>
    </comment>
    <comment ref="F25" authorId="3" shapeId="0">
      <text>
        <t>chit trang:
12.690k</t>
      </text>
    </comment>
    <comment ref="C26" authorId="2" shapeId="0">
      <text>
        <t>W6 11390</t>
      </text>
    </comment>
    <comment ref="D26" authorId="0" shapeId="0">
      <text>
        <t>Việt Hoàng:
11.490.000</t>
      </text>
    </comment>
    <comment ref="E26" authorId="1" shapeId="0">
      <text>
        <t>was 10880
vnp1%</t>
      </text>
    </comment>
    <comment ref="G26" authorId="4" shapeId="0">
      <text>
        <t>11290000</t>
      </text>
    </comment>
    <comment ref="B27" authorId="1" shapeId="0">
      <text>
        <t>was 13320
VNP100</t>
      </text>
    </comment>
    <comment ref="E27" authorId="1" shapeId="0">
      <text>
        <t>was 13553
vnp1%</t>
      </text>
    </comment>
    <comment ref="D28" authorId="0" shapeId="0">
      <text>
        <t>Việt Hoàng:
22.190.000</t>
      </text>
    </comment>
    <comment ref="B29" authorId="1" shapeId="0">
      <text>
        <t>was 5550
VNP40</t>
      </text>
    </comment>
    <comment ref="C29" authorId="2" shapeId="0">
      <text>
        <t>W6 5690</t>
      </text>
    </comment>
    <comment ref="E29" authorId="1" shapeId="0">
      <text>
        <t>was 5633
vnp1%</t>
      </text>
    </comment>
    <comment ref="F29" authorId="3" shapeId="0">
      <text>
        <t>chit trang:
5.650k</t>
      </text>
    </comment>
    <comment ref="G29" authorId="4" shapeId="0">
      <text>
        <t>Tran Dat:
5290</t>
      </text>
    </comment>
    <comment ref="B30" authorId="1" shapeId="0">
      <text>
        <t xml:space="preserve">was 4490
</t>
      </text>
    </comment>
    <comment ref="D30" authorId="0" shapeId="0">
      <text>
        <t>Việt Hoàng:
4.590.000</t>
      </text>
    </comment>
    <comment ref="E30" authorId="1" shapeId="0">
      <text>
        <t xml:space="preserve">was 4445
vnp1%
</t>
      </text>
    </comment>
    <comment ref="F30" authorId="3" shapeId="0">
      <text>
        <t>chit trang:
4.590k</t>
      </text>
    </comment>
    <comment ref="G30" authorId="4" shapeId="0">
      <text>
        <t>4550</t>
      </text>
    </comment>
    <comment ref="B31" authorId="1" shapeId="0">
      <text>
        <t>was 3190</t>
      </text>
    </comment>
    <comment ref="C31" authorId="2" shapeId="0">
      <text>
        <t>W6 3390</t>
      </text>
    </comment>
    <comment ref="D31" authorId="0" shapeId="0">
      <text>
        <t>Việt Hoàng:
3.290.000</t>
      </text>
    </comment>
    <comment ref="E31" authorId="1" shapeId="0">
      <text>
        <t>was 3190</t>
      </text>
    </comment>
    <comment ref="F31" authorId="3" shapeId="0">
      <text>
        <t>chit trang:
3.290k</t>
      </text>
    </comment>
    <comment ref="G31" authorId="4" shapeId="0">
      <text>
        <t>Tran Dat:
3.290</t>
      </text>
    </comment>
    <comment ref="B32" authorId="1" shapeId="0">
      <text>
        <t>was 18090
VNP100</t>
      </text>
    </comment>
    <comment ref="F33" authorId="3" shapeId="0">
      <text>
        <t>chit trang:
21.190k</t>
      </text>
    </comment>
    <comment ref="B34" authorId="1" shapeId="0">
      <text>
        <t>was 26140
VNP150</t>
      </text>
    </comment>
    <comment ref="C34" authorId="2" shapeId="0">
      <text>
        <t>W6 24690</t>
      </text>
    </comment>
    <comment ref="D34" authorId="0" shapeId="0">
      <text>
        <t>Việt Hoàng:
24.990.000</t>
      </text>
    </comment>
  </commentList>
</comments>
</file>

<file path=xl/comments/comment57.xml><?xml version="1.0" encoding="utf-8"?>
<comments xmlns="http://schemas.openxmlformats.org/spreadsheetml/2006/main">
  <authors>
    <author>Microsoft Office User</author>
    <author>Duy</author>
    <author>Việt Hoàng</author>
    <author>chit trang</author>
    <author>Tran Dat</author>
  </authors>
  <commentList>
    <comment ref="E3" authorId="0" shapeId="0">
      <text>
        <t>Giờ vàng</t>
      </text>
    </comment>
    <comment ref="B4" authorId="0" shapeId="0">
      <text>
        <t>was 24640000
VNP150</t>
      </text>
    </comment>
    <comment ref="C4" authorId="1" shapeId="0">
      <text>
        <t>W7 22290</t>
      </text>
    </comment>
    <comment ref="E4" authorId="0" shapeId="0">
      <text>
        <t>Giờ vàng</t>
      </text>
    </comment>
    <comment ref="C5" authorId="1" shapeId="0">
      <text>
        <t>W7 25290</t>
      </text>
    </comment>
    <comment ref="D5" authorId="2" shapeId="0">
      <text>
        <t>Việt Hoàng:
25.190.000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F7" authorId="3" shapeId="0">
      <text>
        <t>chit trang:
15.590k</t>
      </text>
    </comment>
    <comment ref="D8" authorId="2" shapeId="0">
      <text>
        <t>Việt Hoàng:
19.490.000</t>
      </text>
    </comment>
    <comment ref="F8" authorId="3" shapeId="0">
      <text>
        <t>chit trang:
19.390k</t>
      </text>
    </comment>
    <comment ref="B9" authorId="0" shapeId="0">
      <text>
        <t>was 29140000
VNP150</t>
      </text>
    </comment>
    <comment ref="B10" authorId="0" shapeId="0">
      <text>
        <t>was 18440</t>
      </text>
    </comment>
    <comment ref="C11" authorId="1" shapeId="0">
      <text>
        <t>W7 12790</t>
      </text>
    </comment>
    <comment ref="D11" authorId="2" shapeId="0">
      <text>
        <t>Việt Hoàng:
12.790.000</t>
      </text>
    </comment>
    <comment ref="F11" authorId="3" shapeId="0">
      <text>
        <t>chit trang:
12.590</t>
      </text>
    </comment>
    <comment ref="B12" authorId="0" shapeId="0">
      <text>
        <t>was 13190
VNP100</t>
      </text>
    </comment>
    <comment ref="C12" authorId="1" shapeId="0">
      <text>
        <t>W7 11790</t>
      </text>
    </comment>
    <comment ref="E12" authorId="0" shapeId="0">
      <text>
        <t>Giờ vàng</t>
      </text>
    </comment>
    <comment ref="C14" authorId="1" shapeId="0">
      <text>
        <t>W7 11790</t>
      </text>
    </comment>
    <comment ref="D14" authorId="2" shapeId="0">
      <text>
        <t>Việt Hoàng:
13.890.000</t>
      </text>
    </comment>
    <comment ref="F14" authorId="3" shapeId="0">
      <text>
        <t>chit trang:
13.290k</t>
      </text>
    </comment>
    <comment ref="B15" authorId="0" shapeId="0">
      <text>
        <t>was 7040
VNP40</t>
      </text>
    </comment>
    <comment ref="D15" authorId="2" shapeId="0">
      <text>
        <t>Việt Hoàng:
8.490.000</t>
      </text>
    </comment>
    <comment ref="E15" authorId="0" shapeId="0">
      <text>
        <t>was 8405
vnp1%</t>
      </text>
    </comment>
    <comment ref="F15" authorId="3" shapeId="0">
      <text>
        <t>chit trang:
8.890k</t>
      </text>
    </comment>
    <comment ref="G15" authorId="4" shapeId="0">
      <text>
        <t>Tran Dat:
8.390</t>
      </text>
    </comment>
    <comment ref="B16" authorId="0" shapeId="0">
      <text>
        <t>was 14390</t>
      </text>
    </comment>
    <comment ref="D16" authorId="2" shapeId="0">
      <text>
        <t>Việt Hoàng:
16.690.000</t>
      </text>
    </comment>
    <comment ref="F16" authorId="3" shapeId="0">
      <text>
        <t>chit trang:
16.490k</t>
      </text>
    </comment>
    <comment ref="C18" authorId="1" shapeId="0">
      <text>
        <t>W7 25990</t>
      </text>
    </comment>
    <comment ref="D18" authorId="2" shapeId="0">
      <text>
        <t>Việt Hoàng:
27.490.000</t>
      </text>
    </comment>
    <comment ref="E18" authorId="0" shapeId="0">
      <text>
        <t>was 26490</t>
      </text>
    </comment>
    <comment ref="F18" authorId="3" shapeId="0">
      <text>
        <t>chit trang:
26.690k</t>
      </text>
    </comment>
    <comment ref="G18" authorId="4" shapeId="0">
      <text>
        <t>Tran Dat:
26.390</t>
      </text>
    </comment>
    <comment ref="B19" authorId="0" shapeId="0">
      <text>
        <t>was 36640</t>
      </text>
    </comment>
    <comment ref="C19" authorId="1" shapeId="0">
      <text>
        <t>W7 33990</t>
      </text>
    </comment>
    <comment ref="G20" authorId="4" shapeId="0">
      <text>
        <t>Tran Dat:
5190</t>
      </text>
    </comment>
    <comment ref="G21" authorId="4" shapeId="0">
      <text>
        <t>Tran Dat:
6490</t>
      </text>
    </comment>
    <comment ref="G24" authorId="4" shapeId="0">
      <text>
        <t>Tran Dat:
8450</t>
      </text>
    </comment>
    <comment ref="G25" authorId="4" shapeId="0">
      <text>
        <t>Tran Dat:
12890</t>
      </text>
    </comment>
    <comment ref="G26" authorId="4" shapeId="0">
      <text>
        <t>9350</t>
      </text>
    </comment>
    <comment ref="B27" authorId="0" shapeId="0">
      <text>
        <t>was 13320
VNP100</t>
      </text>
    </comment>
    <comment ref="B29" authorId="0" shapeId="0">
      <text>
        <t>was 5550
VNP40</t>
      </text>
    </comment>
    <comment ref="B30" authorId="0" shapeId="0">
      <text>
        <t xml:space="preserve">was 4490
</t>
      </text>
    </comment>
    <comment ref="B31" authorId="0" shapeId="0">
      <text>
        <t>was 3190</t>
      </text>
    </comment>
    <comment ref="B32" authorId="0" shapeId="0">
      <text>
        <t>was 18090
VNP100</t>
      </text>
    </comment>
    <comment ref="C33" authorId="1" shapeId="0">
      <text>
        <t>W7 21290</t>
      </text>
    </comment>
    <comment ref="D33" authorId="2" shapeId="0">
      <text>
        <t>Việt Hoàng:
21.490.000</t>
      </text>
    </comment>
    <comment ref="F33" authorId="3" shapeId="0">
      <text>
        <t>chit trang:
20.190k</t>
      </text>
    </comment>
    <comment ref="G33" authorId="4" shapeId="0">
      <text>
        <t>Tran Dat:
20990</t>
      </text>
    </comment>
    <comment ref="B34" authorId="0" shapeId="0">
      <text>
        <t>was 26140
VNP150</t>
      </text>
    </comment>
    <comment ref="F35" authorId="3" shapeId="0">
      <text>
        <t>chit trang:
26.290k</t>
      </text>
    </comment>
    <comment ref="G35" authorId="4" shapeId="0">
      <text>
        <t xml:space="preserve">Tran Dat:
26290
</t>
      </text>
    </comment>
  </commentList>
</comments>
</file>

<file path=xl/comments/comment58.xml><?xml version="1.0" encoding="utf-8"?>
<comments xmlns="http://schemas.openxmlformats.org/spreadsheetml/2006/main">
  <authors>
    <author>Microsoft Office User</author>
    <author>chit trang</author>
    <author>Tran Dat</author>
    <author>Việt Hoàng</author>
    <author>Duy</author>
    <author>Người dùng Khách</author>
  </authors>
  <commentList>
    <comment ref="E3" authorId="0" shapeId="0">
      <text>
        <t>Giờ vàng</t>
      </text>
    </comment>
    <comment ref="F3" authorId="1" shapeId="0">
      <text>
        <t>chit trang:
18.990k</t>
      </text>
    </comment>
    <comment ref="G3" authorId="2" shapeId="0">
      <text>
        <t>Tran Dat:
18.790</t>
      </text>
    </comment>
    <comment ref="B4" authorId="0" shapeId="0">
      <text>
        <t>was 24640000
VNP150</t>
      </text>
    </comment>
    <comment ref="D4" authorId="3" shapeId="0">
      <text>
        <t>Việt Hoàng:
22.190.000</t>
      </text>
    </comment>
    <comment ref="E4" authorId="0" shapeId="0">
      <text>
        <t>Giờ vàng</t>
      </text>
    </comment>
    <comment ref="G4" authorId="2" shapeId="0">
      <text>
        <t>Tran Dat:
21990</t>
      </text>
    </comment>
    <comment ref="D5" authorId="3" shapeId="0">
      <text>
        <t>Việt Hoàng:
25.090.000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F6" authorId="1" shapeId="0">
      <text>
        <t>chit trang:
30.490k</t>
      </text>
    </comment>
    <comment ref="G6" authorId="2" shapeId="0">
      <text>
        <t>Tran Dat:
30.090</t>
      </text>
    </comment>
    <comment ref="F7" authorId="1" shapeId="0">
      <text>
        <t>chit trang:
15.650k</t>
      </text>
    </comment>
    <comment ref="G7" authorId="2" shapeId="0">
      <text>
        <t>Tran Dat:
15490</t>
      </text>
    </comment>
    <comment ref="F8" authorId="1" shapeId="0">
      <text>
        <t>chit trang:
19.290k</t>
      </text>
    </comment>
    <comment ref="B9" authorId="0" shapeId="0">
      <text>
        <t>was 29140000
VNP150</t>
      </text>
    </comment>
    <comment ref="B10" authorId="0" shapeId="0">
      <text>
        <t>was 18440</t>
      </text>
    </comment>
    <comment ref="F11" authorId="1" shapeId="0">
      <text>
        <t>chit trang:
12.590</t>
      </text>
    </comment>
    <comment ref="B12" authorId="0" shapeId="0">
      <text>
        <t>was 13190
VNP100</t>
      </text>
    </comment>
    <comment ref="E12" authorId="0" shapeId="0">
      <text>
        <t>Giờ vàng</t>
      </text>
    </comment>
    <comment ref="B15" authorId="0" shapeId="0">
      <text>
        <t>was 7040
VNP40</t>
      </text>
    </comment>
    <comment ref="E15" authorId="0" shapeId="0">
      <text>
        <t>was 8405
vnp1%</t>
      </text>
    </comment>
    <comment ref="F15" authorId="1" shapeId="0">
      <text>
        <t>chit trang:
9790k</t>
      </text>
    </comment>
    <comment ref="B16" authorId="0" shapeId="0">
      <text>
        <t>was 14390</t>
      </text>
    </comment>
    <comment ref="F16" authorId="1" shapeId="0">
      <text>
        <t>chit trang:
16.390k</t>
      </text>
    </comment>
    <comment ref="G16" authorId="2" shapeId="0">
      <text>
        <t>Tran Dat:
16490</t>
      </text>
    </comment>
    <comment ref="E18" authorId="0" shapeId="0">
      <text>
        <t>was 26490</t>
      </text>
    </comment>
    <comment ref="G18" authorId="2" shapeId="0">
      <text>
        <t>Tran Dat:
26.390</t>
      </text>
    </comment>
    <comment ref="B19" authorId="0" shapeId="0">
      <text>
        <t>was 36640</t>
      </text>
    </comment>
    <comment ref="C20" authorId="4" shapeId="0">
      <text>
        <t>W8 5220</t>
      </text>
    </comment>
    <comment ref="D20" authorId="3" shapeId="0">
      <text>
        <t>Việt Hoàng:
5.090.000</t>
      </text>
    </comment>
    <comment ref="E20" authorId="5" shapeId="0">
      <text>
        <t xml:space="preserve">Người dùng Không xác định:
5732000
</t>
      </text>
    </comment>
    <comment ref="F20" authorId="1" shapeId="0">
      <text>
        <t>chit trang:
5.190k</t>
      </text>
    </comment>
    <comment ref="E21" authorId="5" shapeId="0">
      <text>
        <t xml:space="preserve">Người dùng Không xác định:
6227000
</t>
      </text>
    </comment>
    <comment ref="C22" authorId="4" shapeId="0">
      <text>
        <t>W8 5820</t>
      </text>
    </comment>
    <comment ref="D22" authorId="3" shapeId="0">
      <text>
        <t>Việt Hoàng:
5.790.000</t>
      </text>
    </comment>
    <comment ref="E23" authorId="5" shapeId="0">
      <text>
        <t xml:space="preserve">Người dùng Không xác định:
6920000
</t>
      </text>
    </comment>
    <comment ref="C24" authorId="4" shapeId="0">
      <text>
        <t>W8 8480</t>
      </text>
    </comment>
    <comment ref="D24" authorId="3" shapeId="0">
      <text>
        <t>Việt Hoàng:
8.390.000</t>
      </text>
    </comment>
    <comment ref="E24" authorId="5" shapeId="0">
      <text>
        <t>Người dùng Không xác định:
8405000</t>
      </text>
    </comment>
    <comment ref="F24" authorId="1" shapeId="0">
      <text>
        <t>chit trang:
8.450k</t>
      </text>
    </comment>
    <comment ref="G24" authorId="2" shapeId="0">
      <text>
        <t>Tran Dat:
8450</t>
      </text>
    </comment>
    <comment ref="E25" authorId="5" shapeId="0">
      <text>
        <t>Người dùng Không xác định:
11870000</t>
      </text>
    </comment>
    <comment ref="G25" authorId="2" shapeId="0">
      <text>
        <t>Tran Dat:
12690</t>
      </text>
    </comment>
    <comment ref="C26" authorId="4" shapeId="0">
      <text>
        <t>W8 9280</t>
      </text>
    </comment>
    <comment ref="D26" authorId="3" shapeId="0">
      <text>
        <t>Việt Hoàng:
9.490.000</t>
      </text>
    </comment>
    <comment ref="E26" authorId="5" shapeId="0">
      <text>
        <t>Người dùng Không xác định:
8900000</t>
      </text>
    </comment>
    <comment ref="F26" authorId="1" shapeId="0">
      <text>
        <t>chit trang:
9.490</t>
      </text>
    </comment>
    <comment ref="G26" authorId="2" shapeId="0">
      <text>
        <t>9090</t>
      </text>
    </comment>
    <comment ref="B27" authorId="0" shapeId="0">
      <text>
        <t>was 13320
VNP100</t>
      </text>
    </comment>
    <comment ref="E27" authorId="5" shapeId="0">
      <text>
        <t>Người dùng Không xác định:
12583000</t>
      </text>
    </comment>
    <comment ref="E28" authorId="5" shapeId="0">
      <text>
        <t>Người dùng Không xác định:
21790000</t>
      </text>
    </comment>
    <comment ref="B29" authorId="0" shapeId="0">
      <text>
        <t>was 5550
VNP40</t>
      </text>
    </comment>
    <comment ref="C29" authorId="4" shapeId="0">
      <text>
        <t>W8 5390</t>
      </text>
    </comment>
    <comment ref="D29" authorId="3" shapeId="0">
      <text>
        <t>Việt Hoàng:
5.390.000</t>
      </text>
    </comment>
    <comment ref="E29" authorId="5" shapeId="0">
      <text>
        <t>Người dùng Không xác định:
5138000</t>
      </text>
    </comment>
    <comment ref="F29" authorId="1" shapeId="0">
      <text>
        <t>chit trang:
5.390k</t>
      </text>
    </comment>
    <comment ref="G29" authorId="2" shapeId="0">
      <text>
        <t>Tran Dat:
5290</t>
      </text>
    </comment>
    <comment ref="B30" authorId="0" shapeId="0">
      <text>
        <t xml:space="preserve">was 4490
</t>
      </text>
    </comment>
    <comment ref="C30" authorId="4" shapeId="0">
      <text>
        <t>W8 4590</t>
      </text>
    </comment>
    <comment ref="D30" authorId="3" shapeId="0">
      <text>
        <t>Việt Hoàng:
4.390.000</t>
      </text>
    </comment>
    <comment ref="E30" authorId="5" shapeId="0">
      <text>
        <t xml:space="preserve">Người dùng Không xác định:
4247000
</t>
      </text>
    </comment>
    <comment ref="F30" authorId="1" shapeId="0">
      <text>
        <t>chit trang:
4.390</t>
      </text>
    </comment>
    <comment ref="G30" authorId="2" shapeId="0">
      <text>
        <t>Tran Dat:
4350</t>
      </text>
    </comment>
    <comment ref="B31" authorId="0" shapeId="0">
      <text>
        <t>was 3190</t>
      </text>
    </comment>
    <comment ref="C31" authorId="4" shapeId="0">
      <text>
        <t>W8 3090</t>
      </text>
    </comment>
    <comment ref="D31" authorId="3" shapeId="0">
      <text>
        <t>Việt Hoàng:
3.090.000</t>
      </text>
    </comment>
    <comment ref="E31" authorId="5" shapeId="0">
      <text>
        <t>Người dùng Không xác định:
2990000</t>
      </text>
    </comment>
    <comment ref="F31" authorId="1" shapeId="0">
      <text>
        <t>chit trang:
3.090</t>
      </text>
    </comment>
    <comment ref="G31" authorId="2" shapeId="0">
      <text>
        <t>Tran Dat:
3050</t>
      </text>
    </comment>
    <comment ref="B32" authorId="0" shapeId="0">
      <text>
        <t>was 18090
VNP100</t>
      </text>
    </comment>
    <comment ref="C32" authorId="4" shapeId="0">
      <text>
        <t>W8 17490</t>
      </text>
    </comment>
    <comment ref="D33" authorId="3" shapeId="0">
      <text>
        <t>Việt Hoàng:
21.190.000</t>
      </text>
    </comment>
    <comment ref="B34" authorId="0" shapeId="0">
      <text>
        <t>was 26140
VNP150</t>
      </text>
    </comment>
    <comment ref="F35" authorId="1" shapeId="0">
      <text>
        <t>chit trang:
25.990k</t>
      </text>
    </comment>
  </commentList>
</comments>
</file>

<file path=xl/comments/comment59.xml><?xml version="1.0" encoding="utf-8"?>
<comments xmlns="http://schemas.openxmlformats.org/spreadsheetml/2006/main">
  <authors>
    <author>Microsoft Office User</author>
    <author>Việt Hoàng</author>
    <author>chit trang</author>
    <author>Duy</author>
    <author>Tran Dat</author>
    <author>Người dùng Khách</author>
  </authors>
  <commentList>
    <comment ref="E3" authorId="0" shapeId="0">
      <text>
        <t>Giờ vàng</t>
      </text>
    </comment>
    <comment ref="B4" authorId="0" shapeId="0">
      <text>
        <t>was 24640000
VNP150</t>
      </text>
    </comment>
    <comment ref="E4" authorId="0" shapeId="0">
      <text>
        <t>Giờ vàng</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D7" authorId="1" shapeId="0">
      <text>
        <t>Việt Hoàng:
15.790.000</t>
      </text>
    </comment>
    <comment ref="F7" authorId="2" shapeId="0">
      <text>
        <t>chit trang:
15.650k</t>
      </text>
    </comment>
    <comment ref="F8" authorId="2" shapeId="0">
      <text>
        <t>chit trang:
19.090k</t>
      </text>
    </comment>
    <comment ref="B9" authorId="0" shapeId="0">
      <text>
        <t>was 29140000
VNP150</t>
      </text>
    </comment>
    <comment ref="B10" authorId="0" shapeId="0">
      <text>
        <t>was 18440</t>
      </text>
    </comment>
    <comment ref="C11" authorId="3" shapeId="0">
      <text>
        <t>W9 12690</t>
      </text>
    </comment>
    <comment ref="F11" authorId="2" shapeId="0">
      <text>
        <t>chit trang:
12.490</t>
      </text>
    </comment>
    <comment ref="B12" authorId="0" shapeId="0">
      <text>
        <t>was 13190
VNP100</t>
      </text>
    </comment>
    <comment ref="C12" authorId="3" shapeId="0">
      <text>
        <t>W9 11690</t>
      </text>
    </comment>
    <comment ref="E12" authorId="0" shapeId="0">
      <text>
        <t>Giờ vàng</t>
      </text>
    </comment>
    <comment ref="C14" authorId="3" shapeId="0">
      <text>
        <t>W9 13790</t>
      </text>
    </comment>
    <comment ref="B15" authorId="0" shapeId="0">
      <text>
        <t>was 7040
VNP40</t>
      </text>
    </comment>
    <comment ref="C15" authorId="3" shapeId="0">
      <text>
        <t>W9 9990</t>
      </text>
    </comment>
    <comment ref="D15" authorId="1" shapeId="0">
      <text>
        <t>Việt Hoàng:
9.890.000</t>
      </text>
    </comment>
    <comment ref="E15" authorId="0" shapeId="0">
      <text>
        <t>was 9395
vnp1%</t>
      </text>
    </comment>
    <comment ref="F15" authorId="2" shapeId="0">
      <text>
        <t>chit trang:
9.590k</t>
      </text>
    </comment>
    <comment ref="G15" authorId="4" shapeId="0">
      <text>
        <t>Tran Dat:
9590</t>
      </text>
    </comment>
    <comment ref="B16" authorId="0" shapeId="0">
      <text>
        <t>was 14390</t>
      </text>
    </comment>
    <comment ref="D16" authorId="1" shapeId="0">
      <text>
        <t>Việt Hoàng:
16.590.000</t>
      </text>
    </comment>
    <comment ref="E16" authorId="0" shapeId="0">
      <text>
        <t>was 16325
vnp 1%</t>
      </text>
    </comment>
    <comment ref="G16" authorId="4" shapeId="0">
      <text>
        <t xml:space="preserve">Tran Dat:
16290
</t>
      </text>
    </comment>
    <comment ref="C18" authorId="3" shapeId="0">
      <text>
        <t>W9 27090</t>
      </text>
    </comment>
    <comment ref="D18" authorId="1" shapeId="0">
      <text>
        <t>Việt Hoàng:
26.990.000</t>
      </text>
    </comment>
    <comment ref="G18" authorId="4" shapeId="0">
      <text>
        <t>Tran Dat:
26.490</t>
      </text>
    </comment>
    <comment ref="B19" authorId="0" shapeId="0">
      <text>
        <t>was 36640</t>
      </text>
    </comment>
    <comment ref="C19" authorId="3" shapeId="0">
      <text>
        <t>W9 36590</t>
      </text>
    </comment>
    <comment ref="D19" authorId="1" shapeId="0">
      <text>
        <t>Việt Hoàng:
36.590.000</t>
      </text>
    </comment>
    <comment ref="C20" authorId="3" shapeId="0">
      <text>
        <t>W9 5990</t>
      </text>
    </comment>
    <comment ref="D20" authorId="1" shapeId="0">
      <text>
        <t>Việt Hoàng:
5.790.000</t>
      </text>
    </comment>
    <comment ref="E20" authorId="5" shapeId="0">
      <text>
        <t>was 5732
vnp1%</t>
      </text>
    </comment>
    <comment ref="F20" authorId="2" shapeId="0">
      <text>
        <t>chit trang:
5.790k</t>
      </text>
    </comment>
    <comment ref="E21" authorId="5" shapeId="0">
      <text>
        <t>was 5490
vnp1%</t>
      </text>
    </comment>
    <comment ref="C22" authorId="3" shapeId="0">
      <text>
        <t>W9 6590</t>
      </text>
    </comment>
    <comment ref="D22" authorId="1" shapeId="0">
      <text>
        <t>Việt Hoàng:
6.590.000</t>
      </text>
    </comment>
    <comment ref="E22" authorId="0" shapeId="0">
      <text>
        <t>was 6495
vnp1%</t>
      </text>
    </comment>
    <comment ref="E23" authorId="5" shapeId="0">
      <text>
        <t>was 7712
vnp1%</t>
      </text>
    </comment>
    <comment ref="C24" authorId="3" shapeId="0">
      <text>
        <t>W9 10790</t>
      </text>
    </comment>
    <comment ref="D24" authorId="1" shapeId="0">
      <text>
        <t>Việt Hoàng:
10.690.000</t>
      </text>
    </comment>
    <comment ref="E24" authorId="5" shapeId="0">
      <text>
        <t>was 10187
vnp1%</t>
      </text>
    </comment>
    <comment ref="F24" authorId="2" shapeId="0">
      <text>
        <t>chit trang:
10.390k</t>
      </text>
    </comment>
    <comment ref="C25" authorId="3" shapeId="0">
      <text>
        <t>W9 13390</t>
      </text>
    </comment>
    <comment ref="E25" authorId="5" shapeId="0">
      <text>
        <t>was 12860
vnp1%</t>
      </text>
    </comment>
    <comment ref="F25" authorId="2" shapeId="0">
      <text>
        <t>chit trang:
12.990k</t>
      </text>
    </comment>
    <comment ref="C26" authorId="3" shapeId="0">
      <text>
        <t>W9 11590</t>
      </text>
    </comment>
    <comment ref="D26" authorId="1" shapeId="0">
      <text>
        <t>Việt Hoàng:
11.490.000</t>
      </text>
    </comment>
    <comment ref="E26" authorId="5" shapeId="0">
      <text>
        <t>was 10880
vnp1%</t>
      </text>
    </comment>
    <comment ref="F26" authorId="2" shapeId="0">
      <text>
        <t>chit trang11.590k</t>
      </text>
    </comment>
    <comment ref="G26" authorId="4" shapeId="0">
      <text>
        <t>9390</t>
      </text>
    </comment>
    <comment ref="B27" authorId="0" shapeId="0">
      <text>
        <t>was 13320
VNP100</t>
      </text>
    </comment>
    <comment ref="E27" authorId="5" shapeId="0">
      <text>
        <t>was 13553
vnp1%</t>
      </text>
    </comment>
    <comment ref="B29" authorId="0" shapeId="0">
      <text>
        <t>was 5550
VNP40</t>
      </text>
    </comment>
    <comment ref="C29" authorId="3" shapeId="0">
      <text>
        <t>W9 5690</t>
      </text>
    </comment>
    <comment ref="D29" authorId="1" shapeId="0">
      <text>
        <t>Việt Hoàng:
5.590.000</t>
      </text>
    </comment>
    <comment ref="E29" authorId="0" shapeId="0">
      <text>
        <t>was 5633
vnp1%</t>
      </text>
    </comment>
    <comment ref="F29" authorId="2" shapeId="0">
      <text>
        <t>chit trang:
5.690k</t>
      </text>
    </comment>
    <comment ref="G29" authorId="4" shapeId="0">
      <text>
        <t>Tran Dat:
5590</t>
      </text>
    </comment>
    <comment ref="B30" authorId="0" shapeId="0">
      <text>
        <t xml:space="preserve">was 4490
</t>
      </text>
    </comment>
    <comment ref="C30" authorId="3" shapeId="0">
      <text>
        <t>W9 4690</t>
      </text>
    </comment>
    <comment ref="D30" authorId="1" shapeId="0">
      <text>
        <t>Việt Hoàng:
4.490.000</t>
      </text>
    </comment>
    <comment ref="E30" authorId="0" shapeId="0">
      <text>
        <t xml:space="preserve">was 4445
vnp1%
</t>
      </text>
    </comment>
    <comment ref="F30" authorId="2" shapeId="0">
      <text>
        <t>chit trang:
4.590</t>
      </text>
    </comment>
    <comment ref="G30" authorId="4" shapeId="0">
      <text>
        <t>Tran Dat:
4590</t>
      </text>
    </comment>
    <comment ref="B31" authorId="0" shapeId="0">
      <text>
        <t>was 3190</t>
      </text>
    </comment>
    <comment ref="C31" authorId="3" shapeId="0">
      <text>
        <t>W9 3390</t>
      </text>
    </comment>
    <comment ref="D31" authorId="1" shapeId="0">
      <text>
        <t>Việt Hoàng:
3.190.000</t>
      </text>
    </comment>
    <comment ref="E31" authorId="0" shapeId="0">
      <text>
        <t>was 3190</t>
      </text>
    </comment>
    <comment ref="F31" authorId="2" shapeId="0">
      <text>
        <t>chit trang:
3.290</t>
      </text>
    </comment>
    <comment ref="G31" authorId="4" shapeId="0">
      <text>
        <t>Tran Dat:
3290</t>
      </text>
    </comment>
    <comment ref="B32" authorId="0" shapeId="0">
      <text>
        <t>was 18090
VNP100</t>
      </text>
    </comment>
    <comment ref="G32" authorId="4" shapeId="0">
      <text>
        <t>Tran Dat:
16490</t>
      </text>
    </comment>
    <comment ref="B34" authorId="0" shapeId="0">
      <text>
        <t>was 26140
VNP150</t>
      </text>
    </comment>
    <comment ref="D35" authorId="1" shapeId="0">
      <text>
        <t>Việt Hoàng:
26.690.000</t>
      </text>
    </comment>
    <comment ref="F35" authorId="2" shapeId="0">
      <text>
        <t>chit trang:
26.490k</t>
      </text>
    </comment>
  </commentList>
</comments>
</file>

<file path=xl/comments/comment60.xml><?xml version="1.0" encoding="utf-8"?>
<comments xmlns="http://schemas.openxmlformats.org/spreadsheetml/2006/main">
  <authors>
    <author>Microsoft Office User</author>
    <author>Việt Hoàng</author>
    <author>Người dùng Khách</author>
    <author>chit trang</author>
    <author>Tran Dat</author>
  </authors>
  <commentList>
    <comment ref="E2" authorId="0" shapeId="0">
      <text>
        <t>giờ vàng</t>
      </text>
    </comment>
    <comment ref="D3" authorId="1" shapeId="0">
      <text>
        <t>Việt Hoàng:
18.990.000</t>
      </text>
    </comment>
    <comment ref="E3" authorId="0" shapeId="0">
      <text>
        <t>Giờ vàng</t>
      </text>
    </comment>
    <comment ref="B4" authorId="0" shapeId="0">
      <text>
        <t>was 24640000
VNP150</t>
      </text>
    </comment>
    <comment ref="C4" authorId="2" shapeId="0">
      <text>
        <t>W10 22190</t>
      </text>
    </comment>
    <comment ref="D4" authorId="1" shapeId="0">
      <text>
        <t>Việt Hoàng:
22.090.000</t>
      </text>
    </comment>
    <comment ref="E4" authorId="0" shapeId="0">
      <text>
        <t>Giờ vàng</t>
      </text>
    </comment>
    <comment ref="F4" authorId="3" shapeId="0">
      <text>
        <t>chit trang:
22.190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D7" authorId="1" shapeId="0">
      <text>
        <t>Việt Hoàng:
15.590.000</t>
      </text>
    </comment>
    <comment ref="G7" authorId="4" shapeId="0">
      <text>
        <t>Tran Dat:
15390</t>
      </text>
    </comment>
    <comment ref="F8" authorId="3" shapeId="0">
      <text>
        <t>chit trang:
19.290k</t>
      </text>
    </comment>
    <comment ref="G8" authorId="4" shapeId="0">
      <text>
        <t xml:space="preserve">Tran Dat:
18.990
</t>
      </text>
    </comment>
    <comment ref="B9" authorId="0" shapeId="0">
      <text>
        <t>was 29140000
VNP150</t>
      </text>
    </comment>
    <comment ref="B10" authorId="0" shapeId="0">
      <text>
        <t>was 18440</t>
      </text>
    </comment>
    <comment ref="G10" authorId="4" shapeId="0">
      <text>
        <t xml:space="preserve">Tran Dat:
17.490
</t>
      </text>
    </comment>
    <comment ref="F11" authorId="3" shapeId="0">
      <text>
        <t>chit trang:
12.590</t>
      </text>
    </comment>
    <comment ref="G11" authorId="4" shapeId="0">
      <text>
        <t>Tran Dat:
12490</t>
      </text>
    </comment>
    <comment ref="B12" authorId="0" shapeId="0">
      <text>
        <t>was 13190
VNP100</t>
      </text>
    </comment>
    <comment ref="E12" authorId="0" shapeId="0">
      <text>
        <t>Giờ vàng</t>
      </text>
    </comment>
    <comment ref="B15" authorId="0" shapeId="0">
      <text>
        <t>was 7040
VNP40</t>
      </text>
    </comment>
    <comment ref="B16" authorId="0" shapeId="0">
      <text>
        <t>was 14390</t>
      </text>
    </comment>
    <comment ref="F16" authorId="3" shapeId="0">
      <text>
        <t>chit trang:
16.290k</t>
      </text>
    </comment>
    <comment ref="F18" authorId="3" shapeId="0">
      <text>
        <t>chit trang:
26.890k</t>
      </text>
    </comment>
    <comment ref="B19" authorId="0" shapeId="0">
      <text>
        <t>was 36640</t>
      </text>
    </comment>
    <comment ref="D21" authorId="1" shapeId="0">
      <text>
        <t>Việt Hoàng:
7.090.000</t>
      </text>
    </comment>
    <comment ref="G21" authorId="4" shapeId="0">
      <text>
        <t>Tran Dat:
6590</t>
      </text>
    </comment>
    <comment ref="F22" authorId="3" shapeId="0">
      <text>
        <t>chit trang:
5.990k</t>
      </text>
    </comment>
    <comment ref="G23" authorId="4" shapeId="0">
      <text>
        <t>Tran Dat:
7690</t>
      </text>
    </comment>
    <comment ref="D26" authorId="1" shapeId="0">
      <text>
        <t>Việt Hoàng:
9.490.000</t>
      </text>
    </comment>
    <comment ref="G26" authorId="4" shapeId="0">
      <text>
        <t>9190</t>
      </text>
    </comment>
    <comment ref="B27" authorId="0" shapeId="0">
      <text>
        <t>was 13320
VNP100</t>
      </text>
    </comment>
    <comment ref="B29" authorId="0" shapeId="0">
      <text>
        <t>was 5550
VNP40</t>
      </text>
    </comment>
    <comment ref="D29" authorId="1" shapeId="0">
      <text>
        <t>Việt Hoàng:
5.390.000</t>
      </text>
    </comment>
    <comment ref="F29" authorId="3" shapeId="0">
      <text>
        <t>chit trang:
5.390k</t>
      </text>
    </comment>
    <comment ref="G29" authorId="4" shapeId="0">
      <text>
        <t>Tran Dat:
5590</t>
      </text>
    </comment>
    <comment ref="B30" authorId="0" shapeId="0">
      <text>
        <t xml:space="preserve">was 4490
</t>
      </text>
    </comment>
    <comment ref="D30" authorId="1" shapeId="0">
      <text>
        <t>Việt Hoàng:
4.390.000</t>
      </text>
    </comment>
    <comment ref="F30" authorId="3" shapeId="0">
      <text>
        <t>chit trang:
4.390</t>
      </text>
    </comment>
    <comment ref="G30" authorId="4" shapeId="0">
      <text>
        <t>Tran Dat:
4390</t>
      </text>
    </comment>
    <comment ref="B31" authorId="0" shapeId="0">
      <text>
        <t>was 3190</t>
      </text>
    </comment>
    <comment ref="D31" authorId="1" shapeId="0">
      <text>
        <t>Việt Hoàng:
3.090.000</t>
      </text>
    </comment>
    <comment ref="E31" authorId="0" shapeId="0">
      <text>
        <t>was 2990</t>
      </text>
    </comment>
    <comment ref="F31" authorId="3" shapeId="0">
      <text>
        <t>chit trang:
3.090</t>
      </text>
    </comment>
    <comment ref="G31" authorId="4" shapeId="0">
      <text>
        <t>Tran Dat:
3190</t>
      </text>
    </comment>
    <comment ref="B32" authorId="0" shapeId="0">
      <text>
        <t>was 18090
VNP100</t>
      </text>
    </comment>
    <comment ref="D33" authorId="1" shapeId="0">
      <text>
        <t>Việt Hoàng:
21.090.000</t>
      </text>
    </comment>
    <comment ref="F33" authorId="3" shapeId="0">
      <text>
        <t>chit trang:
20.890</t>
      </text>
    </comment>
    <comment ref="B34" authorId="0" shapeId="0">
      <text>
        <t>was 26140
VNP150</t>
      </text>
    </comment>
    <comment ref="C34" authorId="2" shapeId="0">
      <text>
        <t>W10 24190</t>
      </text>
    </comment>
    <comment ref="G37" authorId="4" shapeId="0">
      <text>
        <t>Tran Dat:
39390</t>
      </text>
    </comment>
  </commentList>
</comments>
</file>

<file path=xl/comments/comment61.xml><?xml version="1.0" encoding="utf-8"?>
<comments xmlns="http://schemas.openxmlformats.org/spreadsheetml/2006/main">
  <authors>
    <author>Microsoft Office User</author>
    <author>Người dùng Khách</author>
    <author>chit trang</author>
    <author>Duy</author>
    <author>Tran Dat</author>
    <author>Việt Hoàng</author>
  </authors>
  <commentList>
    <comment ref="E2" authorId="0" shapeId="0">
      <text>
        <t>giờ vàng</t>
      </text>
    </comment>
    <comment ref="C3" authorId="1" shapeId="0">
      <text>
        <t>W11 19090</t>
      </text>
    </comment>
    <comment ref="E3" authorId="0" shapeId="0">
      <text>
        <t>Giờ vàng</t>
      </text>
    </comment>
    <comment ref="F3" authorId="2" shapeId="0">
      <text>
        <t>chit trang:
18.890</t>
      </text>
    </comment>
    <comment ref="B4" authorId="0" shapeId="0">
      <text>
        <t>was 24640000
VNP150</t>
      </text>
    </comment>
    <comment ref="E4" authorId="0" shapeId="0">
      <text>
        <t>Giờ vàng</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F6" authorId="2" shapeId="0">
      <text>
        <t>chit trang:
30.290</t>
      </text>
    </comment>
    <comment ref="C7" authorId="3" shapeId="0">
      <text>
        <t>W11 15890</t>
      </text>
    </comment>
    <comment ref="F7" authorId="2" shapeId="0">
      <text>
        <t>chit trang:
15.590k</t>
      </text>
    </comment>
    <comment ref="C8" authorId="3" shapeId="0">
      <text>
        <t>W11 19390</t>
      </text>
    </comment>
    <comment ref="F8" authorId="2" shapeId="0">
      <text>
        <t>chit trang:
19.390k</t>
      </text>
    </comment>
    <comment ref="B9" authorId="0" shapeId="0">
      <text>
        <t>was 29140000
VNP150</t>
      </text>
    </comment>
    <comment ref="F9" authorId="2" shapeId="0">
      <text>
        <t>chit trang:
28.790</t>
      </text>
    </comment>
    <comment ref="B10" authorId="0" shapeId="0">
      <text>
        <t>was 18440</t>
      </text>
    </comment>
    <comment ref="B12" authorId="0" shapeId="0">
      <text>
        <t>was 13190
VNP100</t>
      </text>
    </comment>
    <comment ref="E12" authorId="0" shapeId="0">
      <text>
        <t>Giờ vàng</t>
      </text>
    </comment>
    <comment ref="B15" authorId="0" shapeId="0">
      <text>
        <t>was 7040
VNP40</t>
      </text>
    </comment>
    <comment ref="F15" authorId="2" shapeId="0">
      <text>
        <t>chit trang:
8.690</t>
      </text>
    </comment>
    <comment ref="G15" authorId="4" shapeId="0">
      <text>
        <t>Tran Dat:
8390</t>
      </text>
    </comment>
    <comment ref="B16" authorId="0" shapeId="0">
      <text>
        <t>was 14390</t>
      </text>
    </comment>
    <comment ref="F16" authorId="2" shapeId="0">
      <text>
        <t>chit trang:
16.590k</t>
      </text>
    </comment>
    <comment ref="G16" authorId="4" shapeId="0">
      <text>
        <t>Tran Dat:16390</t>
      </text>
    </comment>
    <comment ref="B19" authorId="0" shapeId="0">
      <text>
        <t>was 36640</t>
      </text>
    </comment>
    <comment ref="F19" authorId="2" shapeId="0">
      <text>
        <t>chit trang:
36.990k</t>
      </text>
    </comment>
    <comment ref="C20" authorId="3" shapeId="0">
      <text>
        <t>W11 5220</t>
      </text>
    </comment>
    <comment ref="D20" authorId="5" shapeId="0">
      <text>
        <t>Việt Hoàng:
5.090.000</t>
      </text>
    </comment>
    <comment ref="E20" authorId="0" shapeId="0">
      <text>
        <t xml:space="preserve">was 4940
vnp1%
</t>
      </text>
    </comment>
    <comment ref="F20" authorId="2" shapeId="0">
      <text>
        <t>chit trang:
5.090</t>
      </text>
    </comment>
    <comment ref="G20" authorId="4" shapeId="0">
      <text>
        <t>Tran Dat:
5090</t>
      </text>
    </comment>
    <comment ref="E21" authorId="0" shapeId="0">
      <text>
        <t>was 6425
vnp1%</t>
      </text>
    </comment>
    <comment ref="C22" authorId="3" shapeId="0">
      <text>
        <t>W11 5820</t>
      </text>
    </comment>
    <comment ref="D22" authorId="5" shapeId="0">
      <text>
        <t>Việt Hoàng:
5.790.000</t>
      </text>
    </comment>
    <comment ref="E22" authorId="0" shapeId="0">
      <text>
        <t>was 5732
vnp1%</t>
      </text>
    </comment>
    <comment ref="F22" authorId="2" shapeId="0">
      <text>
        <t>chit trang:
5.820</t>
      </text>
    </comment>
    <comment ref="G22" authorId="4" shapeId="0">
      <text>
        <t>Tran Dat:
5890000</t>
      </text>
    </comment>
    <comment ref="E23" authorId="0" shapeId="0">
      <text>
        <t>was 7217
vnp1%</t>
      </text>
    </comment>
    <comment ref="G23" authorId="4" shapeId="0">
      <text>
        <t>Tran Dat:
7690</t>
      </text>
    </comment>
    <comment ref="C24" authorId="3" shapeId="0">
      <text>
        <t>W11 8480</t>
      </text>
    </comment>
    <comment ref="D24" authorId="5" shapeId="0">
      <text>
        <t>Việt Hoàng:
8.390.000</t>
      </text>
    </comment>
    <comment ref="E24" authorId="0" shapeId="0">
      <text>
        <t>was 8405
vnp1%</t>
      </text>
    </comment>
    <comment ref="F24" authorId="2" shapeId="0">
      <text>
        <t>chit trang:
8.490</t>
      </text>
    </comment>
    <comment ref="G24" authorId="4" shapeId="0">
      <text>
        <t>Tran Dat:
8390000</t>
      </text>
    </comment>
    <comment ref="E25" authorId="0" shapeId="0">
      <text>
        <t>was 11870
vnp1%</t>
      </text>
    </comment>
    <comment ref="C26" authorId="3" shapeId="0">
      <text>
        <t>W11 9280</t>
      </text>
    </comment>
    <comment ref="D26" authorId="5" shapeId="0">
      <text>
        <t>Việt Hoàng:
9.290.000</t>
      </text>
    </comment>
    <comment ref="E26" authorId="0" shapeId="0">
      <text>
        <t>was 8900
vnp1%</t>
      </text>
    </comment>
    <comment ref="F26" authorId="2" shapeId="0">
      <text>
        <t>chit trang:
9.490k</t>
      </text>
    </comment>
    <comment ref="G26" authorId="4" shapeId="0">
      <text>
        <t>9080</t>
      </text>
    </comment>
    <comment ref="B27" authorId="0" shapeId="0">
      <text>
        <t>was 13320
VNP100</t>
      </text>
    </comment>
    <comment ref="E27" authorId="0" shapeId="0">
      <text>
        <t>was 12563
vnp1%</t>
      </text>
    </comment>
    <comment ref="B29" authorId="0" shapeId="0">
      <text>
        <t>was 5550
VNP40</t>
      </text>
    </comment>
    <comment ref="C29" authorId="3" shapeId="0">
      <text>
        <t>W11 5390</t>
      </text>
    </comment>
    <comment ref="D29" authorId="5" shapeId="0">
      <text>
        <t>Việt Hoàng:
5.290.000</t>
      </text>
    </comment>
    <comment ref="E29" authorId="0" shapeId="0">
      <text>
        <t>was 5138
vnp1%</t>
      </text>
    </comment>
    <comment ref="F29" authorId="2" shapeId="0">
      <text>
        <t>chit trang:
5.290k</t>
      </text>
    </comment>
    <comment ref="G29" authorId="4" shapeId="0">
      <text>
        <t>Tran Dat:
5390</t>
      </text>
    </comment>
    <comment ref="B30" authorId="0" shapeId="0">
      <text>
        <t xml:space="preserve">was 4490
</t>
      </text>
    </comment>
    <comment ref="C30" authorId="3" shapeId="0">
      <text>
        <t>W11 4590</t>
      </text>
    </comment>
    <comment ref="D30" authorId="5" shapeId="0">
      <text>
        <t>Việt Hoàng:
4.290.000</t>
      </text>
    </comment>
    <comment ref="E30" authorId="0" shapeId="0">
      <text>
        <t>was 4247
vnp1%</t>
      </text>
    </comment>
    <comment ref="F30" authorId="2" shapeId="0">
      <text>
        <t>chit trang:
4.290</t>
      </text>
    </comment>
    <comment ref="G30" authorId="4" shapeId="0">
      <text>
        <t>Tran Dat:
4290</t>
      </text>
    </comment>
    <comment ref="B31" authorId="0" shapeId="0">
      <text>
        <t>was 3190</t>
      </text>
    </comment>
    <comment ref="C31" authorId="3" shapeId="0">
      <text>
        <t>W11 3090</t>
      </text>
    </comment>
    <comment ref="D31" authorId="5" shapeId="0">
      <text>
        <t>Việt Hoàng:
2.990.000</t>
      </text>
    </comment>
    <comment ref="E31" authorId="0" shapeId="0">
      <text>
        <t>was 2890</t>
      </text>
    </comment>
    <comment ref="F31" authorId="2" shapeId="0">
      <text>
        <t>chit trang:2.990</t>
      </text>
    </comment>
    <comment ref="G31" authorId="4" shapeId="0">
      <text>
        <t>Tran Dat:
2990</t>
      </text>
    </comment>
    <comment ref="B32" authorId="0" shapeId="0">
      <text>
        <t>was 18090
VNP100</t>
      </text>
    </comment>
    <comment ref="G32" authorId="4" shapeId="0">
      <text>
        <t xml:space="preserve">Tran Dat:
1639000
</t>
      </text>
    </comment>
    <comment ref="B34" authorId="0" shapeId="0">
      <text>
        <t>was 26140
VNP150</t>
      </text>
    </comment>
    <comment ref="F36" authorId="2" shapeId="0">
      <text>
        <t>chit trang:
31.990</t>
      </text>
    </comment>
    <comment ref="G36" authorId="4" shapeId="0">
      <text>
        <t>Tran Dat:
31990</t>
      </text>
    </comment>
  </commentList>
</comments>
</file>

<file path=xl/comments/comment62.xml><?xml version="1.0" encoding="utf-8"?>
<comments xmlns="http://schemas.openxmlformats.org/spreadsheetml/2006/main">
  <authors>
    <author>Microsoft Office User</author>
    <author>chit trang</author>
    <author>Duy</author>
    <author>Tran Dat</author>
    <author>Việt Hoàng</author>
  </authors>
  <commentList>
    <comment ref="E2" authorId="0" shapeId="0">
      <text>
        <t>giờ vàng</t>
      </text>
    </comment>
    <comment ref="E3" authorId="0" shapeId="0">
      <text>
        <t>Giờ vàng</t>
      </text>
    </comment>
    <comment ref="B4" authorId="0" shapeId="0">
      <text>
        <t>was 24640000
VNP150</t>
      </text>
    </comment>
    <comment ref="E4" authorId="0" shapeId="0">
      <text>
        <t>Giờ vàng</t>
      </text>
    </comment>
    <comment ref="E5" authorId="0" shapeId="0">
      <text>
        <t xml:space="preserve">Giờ vàng
</t>
      </text>
    </comment>
    <comment ref="F5" authorId="1" shapeId="0">
      <text>
        <t xml:space="preserve">chit trang: 24.990k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2" shapeId="0">
      <text>
        <t>W12 30590</t>
      </text>
    </comment>
    <comment ref="E6" authorId="0" shapeId="0">
      <text>
        <t xml:space="preserve">Giờ vàng
</t>
      </text>
    </comment>
    <comment ref="F6" authorId="1" shapeId="0">
      <text>
        <t>chit trang:
30.390</t>
      </text>
    </comment>
    <comment ref="G6" authorId="3" shapeId="0">
      <text>
        <t>Tran Dat:
29.990</t>
      </text>
    </comment>
    <comment ref="C7" authorId="2" shapeId="0">
      <text>
        <t>W12 15990</t>
      </text>
    </comment>
    <comment ref="F7" authorId="1" shapeId="0">
      <text>
        <t>chit trang:
15.690k</t>
      </text>
    </comment>
    <comment ref="C8" authorId="2" shapeId="0">
      <text>
        <t>W11 19390</t>
      </text>
    </comment>
    <comment ref="D8" authorId="4" shapeId="0">
      <text>
        <t>Việt Hoàng:
19.390.000</t>
      </text>
    </comment>
    <comment ref="F8" authorId="1" shapeId="0">
      <text>
        <t>chit trang:
19.390k</t>
      </text>
    </comment>
    <comment ref="B9" authorId="0" shapeId="0">
      <text>
        <t>was 29140000
VNP150</t>
      </text>
    </comment>
    <comment ref="F9" authorId="1" shapeId="0">
      <text>
        <t>chit trang:
28.690</t>
      </text>
    </comment>
    <comment ref="B10" authorId="0" shapeId="0">
      <text>
        <t>was 18440</t>
      </text>
    </comment>
    <comment ref="B12" authorId="0" shapeId="0">
      <text>
        <t>was 13190
VNP100</t>
      </text>
    </comment>
    <comment ref="E12" authorId="0" shapeId="0">
      <text>
        <t>Giờ vàng</t>
      </text>
    </comment>
    <comment ref="C14" authorId="2" shapeId="0">
      <text>
        <t>W12 11790</t>
      </text>
    </comment>
    <comment ref="B15" authorId="0" shapeId="0">
      <text>
        <t>was 7040
VNP40</t>
      </text>
    </comment>
    <comment ref="C15" authorId="2" shapeId="0">
      <text>
        <t>W12 8690</t>
      </text>
    </comment>
    <comment ref="D15" authorId="4" shapeId="0">
      <text>
        <t>Việt Hoàng:
8.690.000</t>
      </text>
    </comment>
    <comment ref="E15" authorId="0" shapeId="0">
      <text>
        <t>was 8405
vnp 1%</t>
      </text>
    </comment>
    <comment ref="F15" authorId="1" shapeId="0">
      <text>
        <t>chit trang:
8.490</t>
      </text>
    </comment>
    <comment ref="G15" authorId="3" shapeId="0">
      <text>
        <t>Tran Dat:
8690</t>
      </text>
    </comment>
    <comment ref="B16" authorId="0" shapeId="0">
      <text>
        <t>was 14390</t>
      </text>
    </comment>
    <comment ref="D18" authorId="4" shapeId="0">
      <text>
        <t>Việt Hoàng:
26.690.000</t>
      </text>
    </comment>
    <comment ref="F18" authorId="1" shapeId="0">
      <text>
        <t>chit trang:
26.990</t>
      </text>
    </comment>
    <comment ref="B19" authorId="0" shapeId="0">
      <text>
        <t>was 36640</t>
      </text>
    </comment>
    <comment ref="D19" authorId="4" shapeId="0">
      <text>
        <t>Việt Hoàng:
36.490.000</t>
      </text>
    </comment>
    <comment ref="G21" authorId="3" shapeId="0">
      <text>
        <t>Tran Dat:
7.190</t>
      </text>
    </comment>
    <comment ref="E22" authorId="0" shapeId="0">
      <text>
        <t>was 6425
vnp1%</t>
      </text>
    </comment>
    <comment ref="E25" authorId="0" shapeId="0">
      <text>
        <t>was 12860
vnp1%</t>
      </text>
    </comment>
    <comment ref="B27" authorId="0" shapeId="0">
      <text>
        <t>was 13320
VNP100</t>
      </text>
    </comment>
    <comment ref="E27" authorId="0" shapeId="0">
      <text>
        <t>was 13553
vnp1%</t>
      </text>
    </comment>
    <comment ref="B29" authorId="0" shapeId="0">
      <text>
        <t>was 5550
VNP40</t>
      </text>
    </comment>
    <comment ref="D29" authorId="4" shapeId="0">
      <text>
        <t>Việt Hoàng:
5.690.000</t>
      </text>
    </comment>
    <comment ref="F29" authorId="1" shapeId="0">
      <text>
        <t>chit trang:
5.690k</t>
      </text>
    </comment>
    <comment ref="G29" authorId="3" shapeId="0">
      <text>
        <t>Tran Dat:
5690</t>
      </text>
    </comment>
    <comment ref="B30" authorId="0" shapeId="0">
      <text>
        <t xml:space="preserve">was 4490
</t>
      </text>
    </comment>
    <comment ref="D30" authorId="4" shapeId="0">
      <text>
        <t>Việt Hoàng:
4.590.000</t>
      </text>
    </comment>
    <comment ref="F30" authorId="1" shapeId="0">
      <text>
        <t>chit trang:
4.590</t>
      </text>
    </comment>
    <comment ref="G30" authorId="3" shapeId="0">
      <text>
        <t>Tran Dat:
4290</t>
      </text>
    </comment>
    <comment ref="B31" authorId="0" shapeId="0">
      <text>
        <t>was 3190</t>
      </text>
    </comment>
    <comment ref="D31" authorId="4" shapeId="0">
      <text>
        <t>Việt Hoàng:
3.390.000</t>
      </text>
    </comment>
    <comment ref="F31" authorId="1" shapeId="0">
      <text>
        <t>3.350k</t>
      </text>
    </comment>
    <comment ref="G31" authorId="3" shapeId="0">
      <text>
        <t>Tran Dat:
3.350</t>
      </text>
    </comment>
    <comment ref="B32" authorId="0" shapeId="0">
      <text>
        <t>was 18090
VNP100</t>
      </text>
    </comment>
    <comment ref="D33" authorId="4" shapeId="0">
      <text>
        <t>Việt Hoàng:
20.990.000</t>
      </text>
    </comment>
    <comment ref="B34" authorId="0" shapeId="0">
      <text>
        <t>was 26140
VNP150</t>
      </text>
    </comment>
    <comment ref="D35" authorId="4" shapeId="0">
      <text>
        <t>Việt Hoàng:
26.490.000</t>
      </text>
    </comment>
    <comment ref="F35" authorId="1" shapeId="0">
      <text>
        <t>chit trang:
25.990k</t>
      </text>
    </comment>
    <comment ref="G35" authorId="3" shapeId="0">
      <text>
        <t>Tran Dat:
25.890</t>
      </text>
    </comment>
  </commentList>
</comments>
</file>

<file path=xl/comments/comment63.xml><?xml version="1.0" encoding="utf-8"?>
<comments xmlns="http://schemas.openxmlformats.org/spreadsheetml/2006/main">
  <authors>
    <author>Microsoft Office User</author>
    <author>chit trang</author>
    <author>Việt Hoàng</author>
    <author>Tran Dat</author>
    <author>Duy</author>
  </authors>
  <commentList>
    <comment ref="E2" authorId="0" shapeId="0">
      <text>
        <t>giờ vàng</t>
      </text>
    </comment>
    <comment ref="E3" authorId="0" shapeId="0">
      <text>
        <t>Giờ vàng</t>
      </text>
    </comment>
    <comment ref="F3" authorId="1" shapeId="0">
      <text>
        <t>chit trang:
18.790k</t>
      </text>
    </comment>
    <comment ref="B4" authorId="0" shapeId="0">
      <text>
        <t>was 24640000
VNP150</t>
      </text>
    </comment>
    <comment ref="E4" authorId="0" shapeId="0">
      <text>
        <t>Giờ vàng</t>
      </text>
    </comment>
    <comment ref="F4" authorId="1" shapeId="0">
      <text>
        <t>chit trang:
21.890</t>
      </text>
    </comment>
    <comment ref="D5" authorId="2" shapeId="0">
      <text>
        <t>Việt Hoàng:
24.990.000</t>
      </text>
    </comment>
    <comment ref="E5" authorId="0" shapeId="0">
      <text>
        <t xml:space="preserve">Giờ vàng
</t>
      </text>
    </comment>
    <comment ref="F5" authorId="1" shapeId="0">
      <text>
        <t xml:space="preserve">chit trang: 24.890k
</t>
      </text>
    </comment>
    <comment ref="G5" authorId="3" shapeId="0">
      <text>
        <t>Tran Dat:
24.650</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4" shapeId="0">
      <text>
        <t>W13 30490</t>
      </text>
    </comment>
    <comment ref="D6" authorId="2" shapeId="0">
      <text>
        <t>Việt Hoàng:
30.490.000</t>
      </text>
    </comment>
    <comment ref="E6" authorId="0" shapeId="0">
      <text>
        <t xml:space="preserve">Giờ vàng
</t>
      </text>
    </comment>
    <comment ref="F6" authorId="1" shapeId="0">
      <text>
        <t>chit trang:
30.290</t>
      </text>
    </comment>
    <comment ref="C7" authorId="4" shapeId="0">
      <text>
        <t>W13 15790</t>
      </text>
    </comment>
    <comment ref="D7" authorId="2" shapeId="0">
      <text>
        <t>Việt Hoàng:
15.790.000</t>
      </text>
    </comment>
    <comment ref="F7" authorId="1" shapeId="0">
      <text>
        <t>chit trang:
15.590k</t>
      </text>
    </comment>
    <comment ref="G7" authorId="3" shapeId="0">
      <text>
        <t>Tran Dat:
15.490</t>
      </text>
    </comment>
    <comment ref="F8" authorId="1" shapeId="0">
      <text>
        <t>chit trang:
19.290k</t>
      </text>
    </comment>
    <comment ref="B9" authorId="0" shapeId="0">
      <text>
        <t>was 29140000
VNP150</t>
      </text>
    </comment>
    <comment ref="C9" authorId="4" shapeId="0">
      <text>
        <t>W13 29.990</t>
      </text>
    </comment>
    <comment ref="F9" authorId="1" shapeId="0">
      <text>
        <t>chit trang:
28.290</t>
      </text>
    </comment>
    <comment ref="B10" authorId="0" shapeId="0">
      <text>
        <t>was 18440</t>
      </text>
    </comment>
    <comment ref="C11" authorId="4" shapeId="0">
      <text>
        <t>W13 12.790</t>
      </text>
    </comment>
    <comment ref="D11" authorId="2" shapeId="0">
      <text>
        <t>Việt Hoàng:
12.690.000</t>
      </text>
    </comment>
    <comment ref="G11" authorId="3" shapeId="0">
      <text>
        <t>Tran Dat:
12590</t>
      </text>
    </comment>
    <comment ref="B12" authorId="0" shapeId="0">
      <text>
        <t>was 13190
VNP100</t>
      </text>
    </comment>
    <comment ref="C12" authorId="4" shapeId="0">
      <text>
        <t>W13 11.790</t>
      </text>
    </comment>
    <comment ref="E12" authorId="0" shapeId="0">
      <text>
        <t>Giờ vàng</t>
      </text>
    </comment>
    <comment ref="C14" authorId="4" shapeId="0">
      <text>
        <t>W12 11790</t>
      </text>
    </comment>
    <comment ref="B15" authorId="0" shapeId="0">
      <text>
        <t>was 7040
VNP40</t>
      </text>
    </comment>
    <comment ref="C15" authorId="4" shapeId="0">
      <text>
        <t>W12 8690</t>
      </text>
    </comment>
    <comment ref="D15" authorId="2" shapeId="0">
      <text>
        <t>Việt Hoàng:
9.890.000</t>
      </text>
    </comment>
    <comment ref="B16" authorId="0" shapeId="0">
      <text>
        <t>was 14390</t>
      </text>
    </comment>
    <comment ref="G16" authorId="3" shapeId="0">
      <text>
        <t>Tran Dat:
16.050</t>
      </text>
    </comment>
    <comment ref="D17" authorId="2" shapeId="0">
      <text>
        <t>Việt Hoàng:
22.390.000</t>
      </text>
    </comment>
    <comment ref="D18" authorId="2" shapeId="0">
      <text>
        <t>Việt Hoàng:
27.690.000</t>
      </text>
    </comment>
    <comment ref="F18" authorId="1" shapeId="0">
      <text>
        <t>chit trang:
26.990</t>
      </text>
    </comment>
    <comment ref="B19" authorId="0" shapeId="0">
      <text>
        <t>was 36640</t>
      </text>
    </comment>
    <comment ref="D19" authorId="2" shapeId="0">
      <text>
        <t>Việt Hoàng:
36.690.000</t>
      </text>
    </comment>
    <comment ref="D20" authorId="2" shapeId="0">
      <text>
        <t>Việt Hoàng:
5.790.000</t>
      </text>
    </comment>
    <comment ref="D21" authorId="2" shapeId="0">
      <text>
        <t>Việt Hoàng:
6.690.000</t>
      </text>
    </comment>
    <comment ref="F21" authorId="1" shapeId="0">
      <text>
        <t>chit trang:
6.690</t>
      </text>
    </comment>
    <comment ref="D22" authorId="2" shapeId="0">
      <text>
        <t>Việt Hoàng:
6.590.000</t>
      </text>
    </comment>
    <comment ref="D23" authorId="2" shapeId="0">
      <text>
        <t>Việt Hoàng:
7.890.000</t>
      </text>
    </comment>
    <comment ref="D24" authorId="2" shapeId="0">
      <text>
        <t>Việt Hoàng:
10.690.000</t>
      </text>
    </comment>
    <comment ref="F24" authorId="1" shapeId="0">
      <text>
        <t>chit trang:
10.590k</t>
      </text>
    </comment>
    <comment ref="D25" authorId="2" shapeId="0">
      <text>
        <t>Việt Hoàng:
12.690.000</t>
      </text>
    </comment>
    <comment ref="E25" authorId="0" shapeId="0">
      <text>
        <t>was 12563
vnp1%</t>
      </text>
    </comment>
    <comment ref="D26" authorId="2" shapeId="0">
      <text>
        <t>Việt Hoàng:
11.490.000</t>
      </text>
    </comment>
    <comment ref="B27" authorId="0" shapeId="0">
      <text>
        <t>was 13320
VNP100</t>
      </text>
    </comment>
    <comment ref="E27" authorId="0" shapeId="0">
      <text>
        <t>was 13256
vnp1%</t>
      </text>
    </comment>
    <comment ref="D28" authorId="2" shapeId="0">
      <text>
        <t>Việt Hoàng:
21.990.000</t>
      </text>
    </comment>
    <comment ref="B29" authorId="0" shapeId="0">
      <text>
        <t>was 5550
VNP40</t>
      </text>
    </comment>
    <comment ref="D29" authorId="2" shapeId="0">
      <text>
        <t>Việt Hoàng:
5.640.000</t>
      </text>
    </comment>
    <comment ref="B30" authorId="0" shapeId="0">
      <text>
        <t xml:space="preserve">was 4490
</t>
      </text>
    </comment>
    <comment ref="B31" authorId="0" shapeId="0">
      <text>
        <t>was 3190</t>
      </text>
    </comment>
    <comment ref="E31" authorId="0" shapeId="0">
      <text>
        <t>was 3190</t>
      </text>
    </comment>
    <comment ref="B32" authorId="0" shapeId="0">
      <text>
        <t>was 18090
VNP100</t>
      </text>
    </comment>
    <comment ref="D33" authorId="2" shapeId="0">
      <text>
        <t>Việt Hoàng:
20.790.000</t>
      </text>
    </comment>
    <comment ref="F33" authorId="1" shapeId="0">
      <text>
        <t>chit trang:
20.790</t>
      </text>
    </comment>
    <comment ref="B34" authorId="0" shapeId="0">
      <text>
        <t>was 26140
VNP150</t>
      </text>
    </comment>
    <comment ref="D35" authorId="2" shapeId="0">
      <text>
        <t>Việt Hoàng:
26.290.000</t>
      </text>
    </comment>
    <comment ref="D36" authorId="2" shapeId="0">
      <text>
        <t>Việt Hoàng:
31.890.000</t>
      </text>
    </comment>
    <comment ref="D37" authorId="2" shapeId="0">
      <text>
        <t>Việt Hoàng:
39.590.000</t>
      </text>
    </comment>
  </commentList>
</comments>
</file>

<file path=xl/comments/comment64.xml><?xml version="1.0" encoding="utf-8"?>
<comments xmlns="http://schemas.openxmlformats.org/spreadsheetml/2006/main">
  <authors>
    <author>Microsoft Office User</author>
    <author>chit trang</author>
    <author>Tran Dat</author>
    <author>Duy</author>
    <author>Việt Hoàng</author>
  </authors>
  <commentList>
    <comment ref="E2" authorId="0" shapeId="0">
      <text>
        <t>giờ vàng</t>
      </text>
    </comment>
    <comment ref="F2" authorId="1" shapeId="0">
      <text>
        <t>chit trang:
16.190</t>
      </text>
    </comment>
    <comment ref="E3" authorId="0" shapeId="0">
      <text>
        <t>Giờ vàng</t>
      </text>
    </comment>
    <comment ref="F3" authorId="1" shapeId="0">
      <text>
        <t>chit trang:
18.690k</t>
      </text>
    </comment>
    <comment ref="G3" authorId="2" shapeId="0">
      <text>
        <t>Tran Dat:
18690</t>
      </text>
    </comment>
    <comment ref="B4" authorId="0" shapeId="0">
      <text>
        <t>was 24640000
VNP150</t>
      </text>
    </comment>
    <comment ref="E4" authorId="0" shapeId="0">
      <text>
        <t>Giờ vàng</t>
      </text>
    </comment>
    <comment ref="F4" authorId="1" shapeId="0">
      <text>
        <t>chit trang:
21.990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3" shapeId="0">
      <text>
        <t>W13 30490</t>
      </text>
    </comment>
    <comment ref="E6" authorId="0" shapeId="0">
      <text>
        <t xml:space="preserve">Giờ vàng
</t>
      </text>
    </comment>
    <comment ref="F6" authorId="1" shapeId="0">
      <text>
        <t>chit trang:
30.090</t>
      </text>
    </comment>
    <comment ref="G6" authorId="2" shapeId="0">
      <text>
        <t>Tran Dat:
29.890</t>
      </text>
    </comment>
    <comment ref="C7" authorId="3" shapeId="0">
      <text>
        <t>W13 15790</t>
      </text>
    </comment>
    <comment ref="F8" authorId="1" shapeId="0">
      <text>
        <t>chit trang:
19.190k</t>
      </text>
    </comment>
    <comment ref="B9" authorId="0" shapeId="0">
      <text>
        <t>was 29140000
VNP150</t>
      </text>
    </comment>
    <comment ref="C9" authorId="3" shapeId="0">
      <text>
        <t>W13 29.990</t>
      </text>
    </comment>
    <comment ref="F9" authorId="1" shapeId="0">
      <text>
        <t>chit trang:
28.650</t>
      </text>
    </comment>
    <comment ref="B10" authorId="0" shapeId="0">
      <text>
        <t>was 18440</t>
      </text>
    </comment>
    <comment ref="C11" authorId="3" shapeId="0">
      <text>
        <t>W13 12.790</t>
      </text>
    </comment>
    <comment ref="D11" authorId="4" shapeId="0">
      <text>
        <t>Việt Hoàng:
12.790.000</t>
      </text>
    </comment>
    <comment ref="B12" authorId="0" shapeId="0">
      <text>
        <t>was 13190
VNP100</t>
      </text>
    </comment>
    <comment ref="C12" authorId="3" shapeId="0">
      <text>
        <t>W13 11.790</t>
      </text>
    </comment>
    <comment ref="E12" authorId="0" shapeId="0">
      <text>
        <t>Giờ vàng</t>
      </text>
    </comment>
    <comment ref="G12" authorId="2" shapeId="0">
      <text>
        <t>Tran Dat:
11590</t>
      </text>
    </comment>
    <comment ref="C14" authorId="3" shapeId="0">
      <text>
        <t>W12 11790</t>
      </text>
    </comment>
    <comment ref="F14" authorId="1" shapeId="0">
      <text>
        <t>chit trang:
13,790</t>
      </text>
    </comment>
    <comment ref="B15" authorId="0" shapeId="0">
      <text>
        <t>was 7040
VNP40</t>
      </text>
    </comment>
    <comment ref="C15" authorId="3" shapeId="0">
      <text>
        <t>W12 8690</t>
      </text>
    </comment>
    <comment ref="G15" authorId="2" shapeId="0">
      <text>
        <t>Tran Dat:
9590</t>
      </text>
    </comment>
    <comment ref="B16" authorId="0" shapeId="0">
      <text>
        <t>was 14390</t>
      </text>
    </comment>
    <comment ref="E16" authorId="0" shapeId="0">
      <text>
        <t>was 16127
vnp1%</t>
      </text>
    </comment>
    <comment ref="G16" authorId="2" shapeId="0">
      <text>
        <t>Tran Dat:
16.190</t>
      </text>
    </comment>
    <comment ref="F17" authorId="1" shapeId="0">
      <text>
        <t>chit trang:
21.990k</t>
      </text>
    </comment>
    <comment ref="G18" authorId="2" shapeId="0">
      <text>
        <t>Tran Dat:
26590</t>
      </text>
    </comment>
    <comment ref="B19" authorId="0" shapeId="0">
      <text>
        <t>was 36640</t>
      </text>
    </comment>
    <comment ref="D20" authorId="4" shapeId="0">
      <text>
        <t>Việt Hoàng:
5.890.000</t>
      </text>
    </comment>
    <comment ref="E20" authorId="0" shapeId="0">
      <text>
        <t>was 5732
vnp1%</t>
      </text>
    </comment>
    <comment ref="F20" authorId="1" shapeId="0">
      <text>
        <t>chit trang:
5.790k</t>
      </text>
    </comment>
    <comment ref="G20" authorId="2" shapeId="0">
      <text>
        <t>Tran Dat:
5790</t>
      </text>
    </comment>
    <comment ref="F21" authorId="1" shapeId="0">
      <text>
        <t>chit trang:
6.590</t>
      </text>
    </comment>
    <comment ref="D22" authorId="4" shapeId="0">
      <text>
        <t>Việt Hoàng:
6.490.000</t>
      </text>
    </comment>
    <comment ref="E22" authorId="0" shapeId="0">
      <text>
        <t>was 6128
vnp1%</t>
      </text>
    </comment>
    <comment ref="F22" authorId="1" shapeId="0">
      <text>
        <t>chit trang:
6.590</t>
      </text>
    </comment>
    <comment ref="G22" authorId="2" shapeId="0">
      <text>
        <t>Tran Dat:
6590</t>
      </text>
    </comment>
    <comment ref="D24" authorId="4" shapeId="0">
      <text>
        <t>Việt Hoàng:
10.590.000</t>
      </text>
    </comment>
    <comment ref="E24" authorId="0" shapeId="0">
      <text>
        <t>was 10187
vnp1%</t>
      </text>
    </comment>
    <comment ref="F24" authorId="1" shapeId="0">
      <text>
        <t>chit trang:
10.790</t>
      </text>
    </comment>
    <comment ref="G24" authorId="2" shapeId="0">
      <text>
        <t>Tran Dat:
10590</t>
      </text>
    </comment>
    <comment ref="D26" authorId="4" shapeId="0">
      <text>
        <t>Việt Hoàng:
11.390.000</t>
      </text>
    </comment>
    <comment ref="E26" authorId="0" shapeId="0">
      <text>
        <t>was 10880</t>
      </text>
    </comment>
    <comment ref="F26" authorId="1" shapeId="0">
      <text>
        <t xml:space="preserve">chit trang:
</t>
      </text>
    </comment>
    <comment ref="G26" authorId="2" shapeId="0">
      <text>
        <t xml:space="preserve">Tran Dat:
11290
</t>
      </text>
    </comment>
    <comment ref="B27" authorId="0" shapeId="0">
      <text>
        <t>was 13320
VNP100</t>
      </text>
    </comment>
    <comment ref="F28" authorId="1" shapeId="0">
      <text>
        <t>chit trang:
21.990.000</t>
      </text>
    </comment>
    <comment ref="B29" authorId="0" shapeId="0">
      <text>
        <t>was 5550
VNP40</t>
      </text>
    </comment>
    <comment ref="D29" authorId="4" shapeId="0">
      <text>
        <t>Việt Hoàng:
5.500.000</t>
      </text>
    </comment>
    <comment ref="E29" authorId="0" shapeId="0">
      <text>
        <t>was 5633
vnp1%</t>
      </text>
    </comment>
    <comment ref="F29" authorId="1" shapeId="0">
      <text>
        <t>chit trang:
5.590</t>
      </text>
    </comment>
    <comment ref="G29" authorId="2" shapeId="0">
      <text>
        <t>Tran Dat:
5590</t>
      </text>
    </comment>
    <comment ref="B30" authorId="0" shapeId="0">
      <text>
        <t xml:space="preserve">was 4490
</t>
      </text>
    </comment>
    <comment ref="D30" authorId="4" shapeId="0">
      <text>
        <t>Việt Hoàng:
4.540.000</t>
      </text>
    </comment>
    <comment ref="E30" authorId="0" shapeId="0">
      <text>
        <t>was 4445
vnp1%</t>
      </text>
    </comment>
    <comment ref="G30" authorId="2" shapeId="0">
      <text>
        <t xml:space="preserve">Tran Dat:
4590
</t>
      </text>
    </comment>
    <comment ref="B31" authorId="0" shapeId="0">
      <text>
        <t>was 3190</t>
      </text>
    </comment>
    <comment ref="D31" authorId="4" shapeId="0">
      <text>
        <t>Việt Hoàng:
3.290.000</t>
      </text>
    </comment>
    <comment ref="E31" authorId="0" shapeId="0">
      <text>
        <t xml:space="preserve">was 3290
</t>
      </text>
    </comment>
    <comment ref="F31" authorId="1" shapeId="0">
      <text>
        <t>chit trang:
3.290</t>
      </text>
    </comment>
    <comment ref="G31" authorId="2" shapeId="0">
      <text>
        <t>Tran Dat:
3290</t>
      </text>
    </comment>
    <comment ref="B32" authorId="0" shapeId="0">
      <text>
        <t>was 18090
VNP100</t>
      </text>
    </comment>
    <comment ref="G32" authorId="2" shapeId="0">
      <text>
        <t>Tran Dat:
16490</t>
      </text>
    </comment>
    <comment ref="D33" authorId="4" shapeId="0">
      <text>
        <t>Việt Hoàng:
20.090.000</t>
      </text>
    </comment>
    <comment ref="F33" authorId="1" shapeId="0">
      <text>
        <t>chit trang:
20.290</t>
      </text>
    </comment>
    <comment ref="G33" authorId="2" shapeId="0">
      <text>
        <t>Tran Dat:
20590</t>
      </text>
    </comment>
    <comment ref="B34" authorId="0" shapeId="0">
      <text>
        <t>was 26140
VNP150</t>
      </text>
    </comment>
    <comment ref="F35" authorId="1" shapeId="0">
      <text>
        <t>chit trang:
25.890</t>
      </text>
    </comment>
    <comment ref="G35" authorId="2" shapeId="0">
      <text>
        <t xml:space="preserve">Tran Dat:
25690
</t>
      </text>
    </comment>
    <comment ref="G36" authorId="2" shapeId="0">
      <text>
        <t xml:space="preserve">Tran Dat:
31290000
</t>
      </text>
    </comment>
    <comment ref="D37" authorId="4" shapeId="0">
      <text>
        <t>Việt Hoàng:
39.990.000</t>
      </text>
    </comment>
    <comment ref="F37" authorId="1" shapeId="0">
      <text>
        <t>chit trang:
39.290</t>
      </text>
    </comment>
    <comment ref="G37" authorId="2" shapeId="0">
      <text>
        <t>Tran Dat:
38990</t>
      </text>
    </comment>
  </commentList>
</comments>
</file>

<file path=xl/comments/comment65.xml><?xml version="1.0" encoding="utf-8"?>
<comments xmlns="http://schemas.openxmlformats.org/spreadsheetml/2006/main">
  <authors>
    <author>Duy</author>
    <author>Việt Hoàng</author>
    <author>Microsoft Office User</author>
    <author>chit trang</author>
    <author>Tran Dat</author>
  </authors>
  <commentList>
    <comment ref="C2" authorId="0" shapeId="0">
      <text>
        <t>W2 16290</t>
      </text>
    </comment>
    <comment ref="D2" authorId="1" shapeId="0">
      <text>
        <t>Việt Hoàng:
16.190.000</t>
      </text>
    </comment>
    <comment ref="E2" authorId="2" shapeId="0">
      <text>
        <t>giờ vàng</t>
      </text>
    </comment>
    <comment ref="D3" authorId="1" shapeId="0">
      <text>
        <t>Việt Hoàng:
18.890.000</t>
      </text>
    </comment>
    <comment ref="E3" authorId="2" shapeId="0">
      <text>
        <t>Giờ vàng</t>
      </text>
    </comment>
    <comment ref="B4" authorId="2" shapeId="0">
      <text>
        <t>was 24640000
VNP150</t>
      </text>
    </comment>
    <comment ref="E4" authorId="2" shapeId="0">
      <text>
        <t>Giờ vàng</t>
      </text>
    </comment>
    <comment ref="E5" authorId="2" shapeId="0">
      <text>
        <t xml:space="preserve">Giờ vàng
</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6" authorId="0" shapeId="0">
      <text>
        <t>W13 30290</t>
      </text>
    </comment>
    <comment ref="D6" authorId="1" shapeId="0">
      <text>
        <t>Việt Hoàng:
30.290.000</t>
      </text>
    </comment>
    <comment ref="E6" authorId="2" shapeId="0">
      <text>
        <t xml:space="preserve">Giờ vàng
</t>
      </text>
    </comment>
    <comment ref="F6" authorId="3" shapeId="0">
      <text>
        <t>chit trang:
29950</t>
      </text>
    </comment>
    <comment ref="G6" authorId="4" shapeId="0">
      <text>
        <t>Tran Dat:
29.890</t>
      </text>
    </comment>
    <comment ref="D7" authorId="1" shapeId="0">
      <text>
        <t>Việt Hoàng:
15.590.000</t>
      </text>
    </comment>
    <comment ref="F7" authorId="3" shapeId="0">
      <text>
        <t>chit trang:
15.390</t>
      </text>
    </comment>
    <comment ref="C8" authorId="0" shapeId="0">
      <text>
        <t>W2 19290</t>
      </text>
    </comment>
    <comment ref="D8" authorId="1" shapeId="0">
      <text>
        <t>Việt Hoàng:
19.290.000</t>
      </text>
    </comment>
    <comment ref="F8" authorId="3" shapeId="0">
      <text>
        <t>chit trang:
18990k</t>
      </text>
    </comment>
    <comment ref="B9" authorId="2" shapeId="0">
      <text>
        <t>was 29140000
VNP150</t>
      </text>
    </comment>
    <comment ref="C9" authorId="0" shapeId="0">
      <text>
        <t>W13 29.990</t>
      </text>
    </comment>
    <comment ref="F9" authorId="3" shapeId="0">
      <text>
        <t>chit trang:
28.290</t>
      </text>
    </comment>
    <comment ref="B10" authorId="2" shapeId="0">
      <text>
        <t>was 18440</t>
      </text>
    </comment>
    <comment ref="E10" authorId="2" shapeId="0">
      <text>
        <t>was 18990</t>
      </text>
    </comment>
    <comment ref="D11" authorId="1" shapeId="0">
      <text>
        <t>Việt Hoàng:
12.890.000</t>
      </text>
    </comment>
    <comment ref="B12" authorId="2" shapeId="0">
      <text>
        <t>was 13190
VNP100</t>
      </text>
    </comment>
    <comment ref="E12" authorId="2" shapeId="0">
      <text>
        <t>Giờ vàng</t>
      </text>
    </comment>
    <comment ref="C14" authorId="0" shapeId="0">
      <text>
        <t>W2 13590</t>
      </text>
    </comment>
    <comment ref="D14" authorId="1" shapeId="0">
      <text>
        <t>Việt Hoàng:
13.590.000</t>
      </text>
    </comment>
    <comment ref="F14" authorId="3" shapeId="0">
      <text>
        <t>chit trang:
13590</t>
      </text>
    </comment>
    <comment ref="G14" authorId="4" shapeId="0">
      <text>
        <t>Tran Dat:
13690</t>
      </text>
    </comment>
    <comment ref="B15" authorId="2" shapeId="0">
      <text>
        <t>was 7040
VNP40</t>
      </text>
    </comment>
    <comment ref="C15" authorId="0" shapeId="0">
      <text>
        <t>W2 9790</t>
      </text>
    </comment>
    <comment ref="D15" authorId="1" shapeId="0">
      <text>
        <t>Việt Hoàng:
9.750.000</t>
      </text>
    </comment>
    <comment ref="E15" authorId="2" shapeId="0">
      <text>
        <t>was 9395
vnp1%</t>
      </text>
    </comment>
    <comment ref="F15" authorId="3" shapeId="0">
      <text>
        <t>chit trang:
9.590</t>
      </text>
    </comment>
    <comment ref="G15" authorId="4" shapeId="0">
      <text>
        <t>Tran Dat:
9490</t>
      </text>
    </comment>
    <comment ref="B16" authorId="2" shapeId="0">
      <text>
        <t>was 14390</t>
      </text>
    </comment>
    <comment ref="C16" authorId="0" shapeId="0">
      <text>
        <t>W2 16490</t>
      </text>
    </comment>
    <comment ref="D16" authorId="1" shapeId="0">
      <text>
        <t>Việt Hoàng:
16.490.000</t>
      </text>
    </comment>
    <comment ref="E16" authorId="2" shapeId="0">
      <text>
        <t>was 16028
vnp1%</t>
      </text>
    </comment>
    <comment ref="F16" authorId="3" shapeId="0">
      <text>
        <t>chit trang:
15.990</t>
      </text>
    </comment>
    <comment ref="G16" authorId="4" shapeId="0">
      <text>
        <t>Tran Dat:
15990</t>
      </text>
    </comment>
    <comment ref="C17" authorId="0" shapeId="0">
      <text>
        <t>W2 21990</t>
      </text>
    </comment>
    <comment ref="D17" authorId="1" shapeId="0">
      <text>
        <t>Việt Hoàng:
21.990.000</t>
      </text>
    </comment>
    <comment ref="F17" authorId="3" shapeId="0">
      <text>
        <t>chit trang:
21.490</t>
      </text>
    </comment>
    <comment ref="C18" authorId="0" shapeId="0">
      <text>
        <t>W2 27490</t>
      </text>
    </comment>
    <comment ref="D18" authorId="1" shapeId="0">
      <text>
        <t>Việt Hoàng:
27.490.000</t>
      </text>
    </comment>
    <comment ref="F18" authorId="3" shapeId="0">
      <text>
        <t>chit trang:
227.690</t>
      </text>
    </comment>
    <comment ref="G18" authorId="4" shapeId="0">
      <text>
        <t xml:space="preserve">27290
</t>
      </text>
    </comment>
    <comment ref="B19" authorId="2" shapeId="0">
      <text>
        <t>was 36640</t>
      </text>
    </comment>
    <comment ref="C19" authorId="0" shapeId="0">
      <text>
        <t>W2 36290</t>
      </text>
    </comment>
    <comment ref="D19" authorId="1" shapeId="0">
      <text>
        <t>Việt Hoàng:
36.290.000</t>
      </text>
    </comment>
    <comment ref="D20" authorId="1" shapeId="0">
      <text>
        <t>Việt Hoàng:
4.990.000</t>
      </text>
    </comment>
    <comment ref="C24" authorId="0" shapeId="0">
      <text>
        <t>W2 8390</t>
      </text>
    </comment>
    <comment ref="F24" authorId="3" shapeId="0">
      <text>
        <t>chit trang:
8.390</t>
      </text>
    </comment>
    <comment ref="F26" authorId="3" shapeId="0">
      <text>
        <t>chit trang:
9.190</t>
      </text>
    </comment>
    <comment ref="B27" authorId="2" shapeId="0">
      <text>
        <t>was 13320
VNP100</t>
      </text>
    </comment>
    <comment ref="B29" authorId="2" shapeId="0">
      <text>
        <t>was 5550
VNP40</t>
      </text>
    </comment>
    <comment ref="F29" authorId="3" shapeId="0">
      <text>
        <t>chit trang:
5.490</t>
      </text>
    </comment>
    <comment ref="B30" authorId="2" shapeId="0">
      <text>
        <t xml:space="preserve">was 4490
</t>
      </text>
    </comment>
    <comment ref="B31" authorId="2" shapeId="0">
      <text>
        <t>was 3190</t>
      </text>
    </comment>
    <comment ref="B32" authorId="2" shapeId="0">
      <text>
        <t>was 18090
VNP100</t>
      </text>
    </comment>
    <comment ref="C32" authorId="0" shapeId="0">
      <text>
        <t>W2 17090</t>
      </text>
    </comment>
    <comment ref="G32" authorId="4" shapeId="0">
      <text>
        <t>Tran Dat:
16490</t>
      </text>
    </comment>
    <comment ref="D33" authorId="1" shapeId="0">
      <text>
        <t>Việt Hoàng:
19.800.000</t>
      </text>
    </comment>
    <comment ref="F33" authorId="3" shapeId="0">
      <text>
        <t>chit trang:
19.790</t>
      </text>
    </comment>
    <comment ref="G33" authorId="4" shapeId="0">
      <text>
        <t>Tran Dat:
20590</t>
      </text>
    </comment>
    <comment ref="B34" authorId="2" shapeId="0">
      <text>
        <t>was 26140
VNP150</t>
      </text>
    </comment>
    <comment ref="F34" authorId="3" shapeId="0">
      <text>
        <t>chit trang:
24.690</t>
      </text>
    </comment>
    <comment ref="D35" authorId="1" shapeId="0">
      <text>
        <t>Việt Hoàng:
25.790.000</t>
      </text>
    </comment>
    <comment ref="F35" authorId="3" shapeId="0">
      <text>
        <t>chit trang:
25.590</t>
      </text>
    </comment>
    <comment ref="G35" authorId="4" shapeId="0">
      <text>
        <t xml:space="preserve">Tran Dat:
25490
</t>
      </text>
    </comment>
    <comment ref="D36" authorId="1" shapeId="0">
      <text>
        <t>Việt Hoàng:
31.290.000</t>
      </text>
    </comment>
    <comment ref="F36" authorId="3" shapeId="0">
      <text>
        <t>chit trang:
31.390</t>
      </text>
    </comment>
    <comment ref="G36" authorId="4" shapeId="0">
      <text>
        <t>30.990</t>
      </text>
    </comment>
    <comment ref="F37" authorId="3" shapeId="0">
      <text>
        <t>chit trang:
39.990</t>
      </text>
    </comment>
    <comment ref="G37" authorId="4" shapeId="0">
      <text>
        <t>Tran Dat:
38990</t>
      </text>
    </comment>
  </commentList>
</comments>
</file>

<file path=xl/comments/comment66.xml><?xml version="1.0" encoding="utf-8"?>
<comments xmlns="http://schemas.openxmlformats.org/spreadsheetml/2006/main">
  <authors>
    <author>Duy</author>
    <author>Microsoft Office User</author>
    <author>Việt Hoàng</author>
    <author>Tran Dat</author>
    <author>chit trang</author>
  </authors>
  <commentList>
    <comment ref="C2" authorId="0" shapeId="0">
      <text>
        <t>W2 16090</t>
      </text>
    </comment>
    <comment ref="E2" authorId="1" shapeId="0">
      <text>
        <t>giờ vàng</t>
      </text>
    </comment>
    <comment ref="C3" authorId="2" shapeId="0">
      <text>
        <t>Việt Hoàng:
18.990.000</t>
      </text>
    </comment>
    <comment ref="E3" authorId="1" shapeId="0">
      <text>
        <t>Giờ vàng</t>
      </text>
    </comment>
    <comment ref="B4" authorId="1" shapeId="0">
      <text>
        <t>was 24640000
VNP150</t>
      </text>
    </comment>
    <comment ref="E4" authorId="1" shapeId="0">
      <text>
        <t>Giờ vàng</t>
      </text>
    </comment>
    <comment ref="G4" authorId="3" shapeId="0">
      <text>
        <t xml:space="preserve">Tran Dat:
21890
</t>
      </text>
    </comment>
    <comment ref="E5" authorId="1" shapeId="0">
      <text>
        <t xml:space="preserve">Giờ vàng
</t>
      </text>
    </comment>
    <comment ref="F5" authorId="4" shapeId="0">
      <text>
        <t>chit trang:
24.790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F6" authorId="4" shapeId="0">
      <text>
        <t>chit trang:
29890</t>
      </text>
    </comment>
    <comment ref="G6" authorId="3" shapeId="0">
      <text>
        <t>Tran Dat:
29.690</t>
      </text>
    </comment>
    <comment ref="C7" authorId="2" shapeId="0">
      <text>
        <t>Việt Hoàng:
15.490.000</t>
      </text>
    </comment>
    <comment ref="D7" authorId="2" shapeId="0">
      <text>
        <t>Việt Hoàng:
15.490.000</t>
      </text>
    </comment>
    <comment ref="F7" authorId="4" shapeId="0">
      <text>
        <t>chit trang:
15.290</t>
      </text>
    </comment>
    <comment ref="G7" authorId="3" shapeId="0">
      <text>
        <t>Tran Dat:
15.290</t>
      </text>
    </comment>
    <comment ref="C8" authorId="0" shapeId="0">
      <text>
        <t>W2 19090</t>
      </text>
    </comment>
    <comment ref="F8" authorId="4" shapeId="0">
      <text>
        <t>chit trang:
19.190k</t>
      </text>
    </comment>
    <comment ref="G8" authorId="3" shapeId="0">
      <text>
        <t>Tran Dat:
18890</t>
      </text>
    </comment>
    <comment ref="B9" authorId="1" shapeId="0">
      <text>
        <t>was 29140000
VNP150</t>
      </text>
    </comment>
    <comment ref="B10" authorId="1" shapeId="0">
      <text>
        <t>was 18440</t>
      </text>
    </comment>
    <comment ref="C11" authorId="2" shapeId="0">
      <text>
        <t>Việt Hoàng:
12.790.000</t>
      </text>
    </comment>
    <comment ref="D11" authorId="2" shapeId="0">
      <text>
        <t>Việt Hoàng:
12.790.000</t>
      </text>
    </comment>
    <comment ref="G11" authorId="3" shapeId="0">
      <text>
        <t>Tran Dat:
12.490</t>
      </text>
    </comment>
    <comment ref="B12" authorId="1" shapeId="0">
      <text>
        <t>was 13190
VNP100</t>
      </text>
    </comment>
    <comment ref="D12" authorId="2" shapeId="0">
      <text>
        <t>Việt Hoàng:
11.690.000</t>
      </text>
    </comment>
    <comment ref="E12" authorId="1" shapeId="0">
      <text>
        <t>Giờ vàng</t>
      </text>
    </comment>
    <comment ref="F12" authorId="4" shapeId="0">
      <text>
        <t>chit trang:
13.590</t>
      </text>
    </comment>
    <comment ref="G12" authorId="3" shapeId="0">
      <text>
        <t>Tran Dat:
11490</t>
      </text>
    </comment>
    <comment ref="E13" authorId="1" shapeId="0">
      <text>
        <t>was 13652
vnp1%</t>
      </text>
    </comment>
    <comment ref="B14" authorId="1" shapeId="0">
      <text>
        <t>was 7040
VNP40</t>
      </text>
    </comment>
    <comment ref="D14" authorId="2" shapeId="0">
      <text>
        <t>Việt Hoàng:
8.490.000</t>
      </text>
    </comment>
    <comment ref="E14" authorId="1" shapeId="0">
      <text>
        <t>was 8801
vnp1%</t>
      </text>
    </comment>
    <comment ref="F14" authorId="4" shapeId="0">
      <text>
        <t>chit trang:
8990</t>
      </text>
    </comment>
    <comment ref="G14" authorId="3" shapeId="0">
      <text>
        <t>Tran Dat:
8690</t>
      </text>
    </comment>
    <comment ref="B15" authorId="1" shapeId="0">
      <text>
        <t>was 14390</t>
      </text>
    </comment>
    <comment ref="E15" authorId="1" shapeId="0">
      <text>
        <t>was 14543
vnp1%</t>
      </text>
    </comment>
    <comment ref="F15" authorId="4" shapeId="0">
      <text>
        <t>chit trang:
14890</t>
      </text>
    </comment>
    <comment ref="G15" authorId="3" shapeId="0">
      <text>
        <t>Tran Dat:
14790</t>
      </text>
    </comment>
    <comment ref="C16" authorId="0" shapeId="0">
      <text>
        <t>W2 20790</t>
      </text>
    </comment>
    <comment ref="F16" authorId="4" shapeId="0">
      <text>
        <t>chit trang:
20.290</t>
      </text>
    </comment>
    <comment ref="G16" authorId="3" shapeId="0">
      <text>
        <t xml:space="preserve">Tran Dat:
21790
</t>
      </text>
    </comment>
    <comment ref="C17" authorId="0" shapeId="0">
      <text>
        <t>W2 26590</t>
      </text>
    </comment>
    <comment ref="D17" authorId="2" shapeId="0">
      <text>
        <t>Việt Hoàng:
26.890.000</t>
      </text>
    </comment>
    <comment ref="F17" authorId="4" shapeId="0">
      <text>
        <t>chit trang:
26.690</t>
      </text>
    </comment>
    <comment ref="B18" authorId="1" shapeId="0">
      <text>
        <t>was 36640</t>
      </text>
    </comment>
    <comment ref="F18" authorId="4" shapeId="0">
      <text>
        <t>chit trang:
36.690</t>
      </text>
    </comment>
    <comment ref="G18" authorId="3" shapeId="0">
      <text>
        <t>Tran Dat:
36.490</t>
      </text>
    </comment>
    <comment ref="D19" authorId="2" shapeId="0">
      <text>
        <t>Việt Hoàng:
5.190.000</t>
      </text>
    </comment>
    <comment ref="F19" authorId="4" shapeId="0">
      <text>
        <t>chit trang:
5.090</t>
      </text>
    </comment>
    <comment ref="E21" authorId="1" shapeId="0">
      <text>
        <t>was 5732
vnp1%</t>
      </text>
    </comment>
    <comment ref="C23" authorId="0" shapeId="0">
      <text>
        <t>W2 8590</t>
      </text>
    </comment>
    <comment ref="F23" authorId="4" shapeId="0">
      <text>
        <t>chit trang:
8.590</t>
      </text>
    </comment>
    <comment ref="E24" authorId="1" shapeId="0">
      <text>
        <t>was 12860
vnp1%</t>
      </text>
    </comment>
    <comment ref="F25" authorId="4" shapeId="0">
      <text>
        <t>chit trang:8.990</t>
      </text>
    </comment>
    <comment ref="B26" authorId="1" shapeId="0">
      <text>
        <t>was 13320
VNP100</t>
      </text>
    </comment>
    <comment ref="C26" authorId="2" shapeId="0">
      <text>
        <t>Việt Hoàng:
13.690.000</t>
      </text>
    </comment>
    <comment ref="D26" authorId="2" shapeId="0">
      <text>
        <t>Việt Hoàng:
13.690.000</t>
      </text>
    </comment>
    <comment ref="F27" authorId="4" shapeId="0">
      <text>
        <t>chit trang:
21.790</t>
      </text>
    </comment>
    <comment ref="B28" authorId="1" shapeId="0">
      <text>
        <t>was 5550
VNP40</t>
      </text>
    </comment>
    <comment ref="B29" authorId="1" shapeId="0">
      <text>
        <t xml:space="preserve">was 4490
</t>
      </text>
    </comment>
    <comment ref="B30" authorId="1" shapeId="0">
      <text>
        <t>was 3190</t>
      </text>
    </comment>
    <comment ref="C30" authorId="2" shapeId="0">
      <text>
        <t>Việt Hoàng:
3.090.000</t>
      </text>
    </comment>
    <comment ref="E30" authorId="1" shapeId="0">
      <text>
        <t>was 2990</t>
      </text>
    </comment>
    <comment ref="F30" authorId="4" shapeId="0">
      <text>
        <t>chit trang:
3.190</t>
      </text>
    </comment>
    <comment ref="B31" authorId="1" shapeId="0">
      <text>
        <t>was 18090
VNP100</t>
      </text>
    </comment>
    <comment ref="G31" authorId="3" shapeId="0">
      <text>
        <t>Tran Dat:
16490</t>
      </text>
    </comment>
    <comment ref="F32" authorId="4" shapeId="0">
      <text>
        <t>chit trang:
19.990</t>
      </text>
    </comment>
    <comment ref="G32" authorId="3" shapeId="0">
      <text>
        <t xml:space="preserve">Tran Dat:
19790
</t>
      </text>
    </comment>
    <comment ref="B33" authorId="1" shapeId="0">
      <text>
        <t>was 26140
VNP150</t>
      </text>
    </comment>
    <comment ref="G33" authorId="3" shapeId="0">
      <text>
        <t>Tran Dat:
25290</t>
      </text>
    </comment>
    <comment ref="C34" authorId="2" shapeId="0">
      <text>
        <t>Việt Hoàng:
25.790.000</t>
      </text>
    </comment>
    <comment ref="D34" authorId="2" shapeId="0">
      <text>
        <t>Việt Hoàng:
25.490.000</t>
      </text>
    </comment>
    <comment ref="G34" authorId="3" shapeId="0">
      <text>
        <t xml:space="preserve">Tran Dat:
25490
</t>
      </text>
    </comment>
    <comment ref="G35" authorId="3" shapeId="0">
      <text>
        <t>30.990</t>
      </text>
    </comment>
    <comment ref="C36" authorId="2" shapeId="0">
      <text>
        <t>Việt Hoàng:
38.890.000</t>
      </text>
    </comment>
    <comment ref="D36" authorId="2" shapeId="0">
      <text>
        <t>Việt Hoàng:
38.890.000</t>
      </text>
    </comment>
    <comment ref="F36" authorId="4" shapeId="0">
      <text>
        <t>chit trang:
39.690</t>
      </text>
    </comment>
    <comment ref="G36" authorId="3" shapeId="0">
      <text>
        <t>Tran Dat:
38990</t>
      </text>
    </comment>
  </commentList>
</comments>
</file>

<file path=xl/comments/comment67.xml><?xml version="1.0" encoding="utf-8"?>
<comments xmlns="http://schemas.openxmlformats.org/spreadsheetml/2006/main">
  <authors>
    <author>Duy</author>
    <author>Microsoft Office User</author>
    <author>chit trang</author>
    <author>Việt Hoàng</author>
    <author>Tran Dat</author>
  </authors>
  <commentList>
    <comment ref="C2" authorId="0" shapeId="0">
      <text>
        <t>W2 16090</t>
      </text>
    </comment>
    <comment ref="E2" authorId="1" shapeId="0">
      <text>
        <t>giờ vàng</t>
      </text>
    </comment>
    <comment ref="F2" authorId="2" shapeId="0">
      <text>
        <t>chit trang:
15.590</t>
      </text>
    </comment>
    <comment ref="C3" authorId="3" shapeId="0">
      <text>
        <t>Việt Hoàng:
18.990.000</t>
      </text>
    </comment>
    <comment ref="E3" authorId="1" shapeId="0">
      <text>
        <t>Giờ vàng</t>
      </text>
    </comment>
    <comment ref="F3" authorId="2" shapeId="0">
      <text>
        <t>chit trang:
18.590</t>
      </text>
    </comment>
    <comment ref="B4" authorId="1" shapeId="0">
      <text>
        <t>was 24640000
VNP150</t>
      </text>
    </comment>
    <comment ref="E4" authorId="1" shapeId="0">
      <text>
        <t>Giờ vàng</t>
      </text>
    </comment>
    <comment ref="E5" authorId="1" shapeId="0">
      <text>
        <t xml:space="preserve">Giờ vàng
</t>
      </text>
    </comment>
    <comment ref="F5" authorId="2" shapeId="0">
      <text>
        <t>chit trang:
24.890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F6" authorId="2" shapeId="0">
      <text>
        <t>chit trang:
29690</t>
      </text>
    </comment>
    <comment ref="C7" authorId="3" shapeId="0">
      <text>
        <t>Việt Hoàng:
15.490.000</t>
      </text>
    </comment>
    <comment ref="D7" authorId="3" shapeId="0">
      <text>
        <t>Việt Hoàng:
15.490.000</t>
      </text>
    </comment>
    <comment ref="E7" authorId="1" shapeId="0">
      <text>
        <t>was 15490</t>
      </text>
    </comment>
    <comment ref="F7" authorId="2" shapeId="0">
      <text>
        <t>chit trang:
15.190</t>
      </text>
    </comment>
    <comment ref="C8" authorId="0" shapeId="0">
      <text>
        <t>W2 19090</t>
      </text>
    </comment>
    <comment ref="E8" authorId="1" shapeId="0">
      <text>
        <t xml:space="preserve">was 18990
</t>
      </text>
    </comment>
    <comment ref="B9" authorId="1" shapeId="0">
      <text>
        <t>was 29140000
VNP150</t>
      </text>
    </comment>
    <comment ref="F9" authorId="2" shapeId="0">
      <text>
        <t>chit trang:
28.690k</t>
      </text>
    </comment>
    <comment ref="G9" authorId="4" shapeId="0">
      <text>
        <t>Tran Dat:
27890</t>
      </text>
    </comment>
    <comment ref="B10" authorId="1" shapeId="0">
      <text>
        <t>was 18440</t>
      </text>
    </comment>
    <comment ref="C11" authorId="3" shapeId="0">
      <text>
        <t>Việt Hoàng:
12.790.000</t>
      </text>
    </comment>
    <comment ref="D11" authorId="3" shapeId="0">
      <text>
        <t>Việt Hoàng:
12.790.000</t>
      </text>
    </comment>
    <comment ref="F11" authorId="2" shapeId="0">
      <text>
        <t>chit trang:
12.490</t>
      </text>
    </comment>
    <comment ref="B12" authorId="1" shapeId="0">
      <text>
        <t>was 13190
VNP100</t>
      </text>
    </comment>
    <comment ref="D12" authorId="3" shapeId="0">
      <text>
        <t>Việt Hoàng:
11.690.000</t>
      </text>
    </comment>
    <comment ref="E12" authorId="1" shapeId="0">
      <text>
        <t>Giờ vàng</t>
      </text>
    </comment>
    <comment ref="F12" authorId="2" shapeId="0">
      <text>
        <t>chit trang:
13.390</t>
      </text>
    </comment>
    <comment ref="B14" authorId="1" shapeId="0">
      <text>
        <t>was 7040
VNP40</t>
      </text>
    </comment>
    <comment ref="D14" authorId="3" shapeId="0">
      <text>
        <t>Việt Hoàng:
8.490.000</t>
      </text>
    </comment>
    <comment ref="E14" authorId="1" shapeId="0">
      <text>
        <t>was 8690
vnp1%</t>
      </text>
    </comment>
    <comment ref="F14" authorId="2" shapeId="0">
      <text>
        <t>chit trang:
8790</t>
      </text>
    </comment>
    <comment ref="B15" authorId="1" shapeId="0">
      <text>
        <t>was 14390</t>
      </text>
    </comment>
    <comment ref="E15" authorId="1" shapeId="0">
      <text>
        <t>was 14246
vnp1%</t>
      </text>
    </comment>
    <comment ref="C16" authorId="0" shapeId="0">
      <text>
        <t>W2 20790</t>
      </text>
    </comment>
    <comment ref="E16" authorId="1" shapeId="0">
      <text>
        <t>was 21290
vnp1%</t>
      </text>
    </comment>
    <comment ref="F16" authorId="2" shapeId="0">
      <text>
        <t>chit trang:
20.790</t>
      </text>
    </comment>
    <comment ref="C17" authorId="0" shapeId="0">
      <text>
        <t>W2 26590</t>
      </text>
    </comment>
    <comment ref="D17" authorId="3" shapeId="0">
      <text>
        <t>Việt Hoàng:
26.890.000</t>
      </text>
    </comment>
    <comment ref="E17" authorId="1" shapeId="0">
      <text>
        <t>was 26990</t>
      </text>
    </comment>
    <comment ref="G17" authorId="4" shapeId="0">
      <text>
        <t>Tran Dat:
26690</t>
      </text>
    </comment>
    <comment ref="B18" authorId="1" shapeId="0">
      <text>
        <t>was 36640</t>
      </text>
    </comment>
    <comment ref="E18" authorId="1" shapeId="0">
      <text>
        <t>was 35990</t>
      </text>
    </comment>
    <comment ref="D19" authorId="3" shapeId="0">
      <text>
        <t>Việt Hoàng:
5.190.000</t>
      </text>
    </comment>
    <comment ref="E19" authorId="1" shapeId="0">
      <text>
        <t>was 4940
vnp1%</t>
      </text>
    </comment>
    <comment ref="F19" authorId="2" shapeId="0">
      <text>
        <t>chit trang:4,990</t>
      </text>
    </comment>
    <comment ref="E21" authorId="1" shapeId="0">
      <text>
        <t>was 5435
vnp1%</t>
      </text>
    </comment>
    <comment ref="F21" authorId="2" shapeId="0">
      <text>
        <t>chit trang:
5.790</t>
      </text>
    </comment>
    <comment ref="G21" authorId="4" shapeId="0">
      <text>
        <t>Tran Dat:
5950</t>
      </text>
    </comment>
    <comment ref="C23" authorId="0" shapeId="0">
      <text>
        <t>W2 8590</t>
      </text>
    </comment>
    <comment ref="E23" authorId="1" shapeId="0">
      <text>
        <t>was 8207
vnp1%</t>
      </text>
    </comment>
    <comment ref="F23" authorId="2" shapeId="0">
      <text>
        <t>chit trang:
8390</t>
      </text>
    </comment>
    <comment ref="G23" authorId="4" shapeId="0">
      <text>
        <t>Tran Dat:
8350</t>
      </text>
    </comment>
    <comment ref="E24" authorId="1" shapeId="0">
      <text>
        <t>was 12464
vnp1%</t>
      </text>
    </comment>
    <comment ref="F24" authorId="2" shapeId="0">
      <text>
        <t>chit trang:
13.190</t>
      </text>
    </comment>
    <comment ref="E25" authorId="1" shapeId="0">
      <text>
        <t>was 8900
vnp1%</t>
      </text>
    </comment>
    <comment ref="F25" authorId="2" shapeId="0">
      <text>
        <t>chit trang: 9190</t>
      </text>
    </comment>
    <comment ref="G25" authorId="4" shapeId="0">
      <text>
        <t>Tran Dat:
8890</t>
      </text>
    </comment>
    <comment ref="B26" authorId="1" shapeId="0">
      <text>
        <t>was 13320
VNP100</t>
      </text>
    </comment>
    <comment ref="C26" authorId="3" shapeId="0">
      <text>
        <t>Việt Hoàng:
13.690.000</t>
      </text>
    </comment>
    <comment ref="D26" authorId="3" shapeId="0">
      <text>
        <t>Việt Hoàng:
13.690.000</t>
      </text>
    </comment>
    <comment ref="B28" authorId="1" shapeId="0">
      <text>
        <t>was 5550
VNP40</t>
      </text>
    </comment>
    <comment ref="E28" authorId="1" shapeId="0">
      <text>
        <t>was 5138
vnp1%</t>
      </text>
    </comment>
    <comment ref="F28" authorId="2" shapeId="0">
      <text>
        <t>chit trang:
5.290</t>
      </text>
    </comment>
    <comment ref="G28" authorId="4" shapeId="0">
      <text>
        <t>Tran Dat:
5390</t>
      </text>
    </comment>
    <comment ref="B29" authorId="1" shapeId="0">
      <text>
        <t xml:space="preserve">was 4490
</t>
      </text>
    </comment>
    <comment ref="E29" authorId="1" shapeId="0">
      <text>
        <t>was 4247
vnp1%</t>
      </text>
    </comment>
    <comment ref="B30" authorId="1" shapeId="0">
      <text>
        <t>was 3190</t>
      </text>
    </comment>
    <comment ref="C30" authorId="3" shapeId="0">
      <text>
        <t>Việt Hoàng:
3.090.000</t>
      </text>
    </comment>
    <comment ref="E30" authorId="1" shapeId="0">
      <text>
        <t>was 2890</t>
      </text>
    </comment>
    <comment ref="F30" authorId="2" shapeId="0">
      <text>
        <t>chit trang:
3.090</t>
      </text>
    </comment>
    <comment ref="B31" authorId="1" shapeId="0">
      <text>
        <t>was 18090
VNP100</t>
      </text>
    </comment>
    <comment ref="F32" authorId="2" shapeId="0">
      <text>
        <t>chit trang:
19.890</t>
      </text>
    </comment>
    <comment ref="B33" authorId="1" shapeId="0">
      <text>
        <t>was 26140
VNP150</t>
      </text>
    </comment>
    <comment ref="C34" authorId="3" shapeId="0">
      <text>
        <t>Việt Hoàng:
25.790.000</t>
      </text>
    </comment>
    <comment ref="D34" authorId="3" shapeId="0">
      <text>
        <t>Việt Hoàng:
25.490.000</t>
      </text>
    </comment>
    <comment ref="F34" authorId="2" shapeId="0">
      <text>
        <t>chit trang:
24.990</t>
      </text>
    </comment>
    <comment ref="G34" authorId="4" shapeId="0">
      <text>
        <t>Tran Dat:
24890</t>
      </text>
    </comment>
    <comment ref="F35" authorId="2" shapeId="0">
      <text>
        <t>chit trang:
29.490</t>
      </text>
    </comment>
    <comment ref="C36" authorId="3" shapeId="0">
      <text>
        <t>Việt Hoàng:
38.890.000</t>
      </text>
    </comment>
    <comment ref="D36" authorId="3" shapeId="0">
      <text>
        <t>Việt Hoàng:
38.890.000</t>
      </text>
    </comment>
    <comment ref="F36" authorId="2" shapeId="0">
      <text>
        <t>chit trang:
38.890</t>
      </text>
    </comment>
    <comment ref="G36" authorId="4" shapeId="0">
      <text>
        <t>Tran Dat:
38590</t>
      </text>
    </comment>
  </commentList>
</comments>
</file>

<file path=xl/comments/comment68.xml><?xml version="1.0" encoding="utf-8"?>
<comments xmlns="http://schemas.openxmlformats.org/spreadsheetml/2006/main">
  <authors>
    <author>Việt Hoàng</author>
    <author>Microsoft Office User</author>
    <author>chit trang</author>
    <author>Duy</author>
    <author>Tran Dat</author>
  </authors>
  <commentList>
    <comment ref="D2" authorId="0" shapeId="0">
      <text>
        <t>Việt Hoàng:
15.790.000</t>
      </text>
    </comment>
    <comment ref="E2" authorId="1" shapeId="0">
      <text>
        <t>giờ vàng</t>
      </text>
    </comment>
    <comment ref="F2" authorId="2" shapeId="0">
      <text>
        <t>chit trang:
15.790</t>
      </text>
    </comment>
    <comment ref="D3" authorId="0" shapeId="0">
      <text>
        <t>Việt Hoàng:
18.890.000</t>
      </text>
    </comment>
    <comment ref="E3" authorId="1" shapeId="0">
      <text>
        <t>Giờ vàng</t>
      </text>
    </comment>
    <comment ref="B4" authorId="1" shapeId="0">
      <text>
        <t>was 24640000
VNP150</t>
      </text>
    </comment>
    <comment ref="E4" authorId="1" shapeId="0">
      <text>
        <t>Giờ vàng</t>
      </text>
    </comment>
    <comment ref="E5" authorId="1" shapeId="0">
      <text>
        <t xml:space="preserve">Giờ vàng
</t>
      </text>
    </comment>
    <comment ref="F5" authorId="2" shapeId="0">
      <text>
        <t>chit trang:
25090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F6" authorId="2" shapeId="0">
      <text>
        <t>chit trang:
29.990</t>
      </text>
    </comment>
    <comment ref="C7" authorId="0" shapeId="0">
      <text>
        <t>W5 15.390</t>
      </text>
    </comment>
    <comment ref="D7" authorId="0" shapeId="0">
      <text>
        <t>Việt Hoàng:
15.290.000</t>
      </text>
    </comment>
    <comment ref="F7" authorId="2" shapeId="0">
      <text>
        <t>chit trang:
15.390</t>
      </text>
    </comment>
    <comment ref="C8" authorId="3" shapeId="0">
      <text>
        <t>W2 19090</t>
      </text>
    </comment>
    <comment ref="D8" authorId="0" shapeId="0">
      <text>
        <t>Việt Hoàng:
18.990.000</t>
      </text>
    </comment>
    <comment ref="F8" authorId="2" shapeId="0">
      <text>
        <t>chit trang:
18.990</t>
      </text>
    </comment>
    <comment ref="B9" authorId="1" shapeId="0">
      <text>
        <t>was 29140000
VNP150</t>
      </text>
    </comment>
    <comment ref="C9" authorId="3" shapeId="0">
      <text>
        <t>W3 27.690</t>
      </text>
    </comment>
    <comment ref="F9" authorId="2" shapeId="0">
      <text>
        <t>chit trang:
28.690k</t>
      </text>
    </comment>
    <comment ref="B10" authorId="1" shapeId="0">
      <text>
        <t>was 18440</t>
      </text>
    </comment>
    <comment ref="F11" authorId="2" shapeId="0">
      <text>
        <t>chit trang:
12.590</t>
      </text>
    </comment>
    <comment ref="B12" authorId="1" shapeId="0">
      <text>
        <t>was 13190
VNP100</t>
      </text>
    </comment>
    <comment ref="D12" authorId="0" shapeId="0">
      <text>
        <t>Việt Hoàng:
11.190.000</t>
      </text>
    </comment>
    <comment ref="E12" authorId="1" shapeId="0">
      <text>
        <t>Giờ vàng</t>
      </text>
    </comment>
    <comment ref="C13" authorId="3" shapeId="0">
      <text>
        <t>W5 11.790</t>
      </text>
    </comment>
    <comment ref="D13" authorId="0" shapeId="0">
      <text>
        <t>Việt Hoàng:
11.790.000</t>
      </text>
    </comment>
    <comment ref="E13" authorId="1" shapeId="0">
      <text>
        <t>was 11672
vnp1%</t>
      </text>
    </comment>
    <comment ref="B14" authorId="1" shapeId="0">
      <text>
        <t>was 7040
VNP40</t>
      </text>
    </comment>
    <comment ref="C14" authorId="3" shapeId="0">
      <text>
        <t>W5 8890</t>
      </text>
    </comment>
    <comment ref="D14" authorId="0" shapeId="0">
      <text>
        <t>Việt Hoàng:
8.690.000</t>
      </text>
    </comment>
    <comment ref="E14" authorId="1" shapeId="0">
      <text>
        <t>was 8801
vnp1%</t>
      </text>
    </comment>
    <comment ref="F14" authorId="2" shapeId="0">
      <text>
        <t>chit trang:
8.690</t>
      </text>
    </comment>
    <comment ref="G14" authorId="4" shapeId="0">
      <text>
        <t>Tran Dat:
8.490</t>
      </text>
    </comment>
    <comment ref="B15" authorId="1" shapeId="0">
      <text>
        <t>was 14390</t>
      </text>
    </comment>
    <comment ref="C15" authorId="3" shapeId="0">
      <text>
        <t>W5 14.790</t>
      </text>
    </comment>
    <comment ref="D15" authorId="0" shapeId="0">
      <text>
        <t>Việt Hoàng:
14.790.000</t>
      </text>
    </comment>
    <comment ref="E15" authorId="1" shapeId="0">
      <text>
        <t>was 14543
vnp1%</t>
      </text>
    </comment>
    <comment ref="F15" authorId="2" shapeId="0">
      <text>
        <t>chit trang:
14.790</t>
      </text>
    </comment>
    <comment ref="G15" authorId="4" shapeId="0">
      <text>
        <t>Tran Dat:
14.590</t>
      </text>
    </comment>
    <comment ref="C16" authorId="3" shapeId="0">
      <text>
        <t>W5 20.890</t>
      </text>
    </comment>
    <comment ref="D16" authorId="0" shapeId="0">
      <text>
        <t>Việt Hoàng:
20.990.000</t>
      </text>
    </comment>
    <comment ref="F16" authorId="2" shapeId="0">
      <text>
        <t>chit trang:
20.590</t>
      </text>
    </comment>
    <comment ref="C17" authorId="3" shapeId="0">
      <text>
        <t>W5 25.990</t>
      </text>
    </comment>
    <comment ref="D17" authorId="0" shapeId="0">
      <text>
        <t>Việt Hoàng:
26.390.000</t>
      </text>
    </comment>
    <comment ref="F17" authorId="2" shapeId="0">
      <text>
        <t>chit trang:
25.990</t>
      </text>
    </comment>
    <comment ref="B18" authorId="1" shapeId="0">
      <text>
        <t>was 36640</t>
      </text>
    </comment>
    <comment ref="C18" authorId="3" shapeId="0">
      <text>
        <t>W5 33.990</t>
      </text>
    </comment>
    <comment ref="D18" authorId="0" shapeId="0">
      <text>
        <t>Việt Hoàng:
33.990.000</t>
      </text>
    </comment>
    <comment ref="F18" authorId="2" shapeId="0">
      <text>
        <t>chit trang:
33.990k</t>
      </text>
    </comment>
    <comment ref="G18" authorId="4" shapeId="0">
      <text>
        <t>Tran Dat:
34990</t>
      </text>
    </comment>
    <comment ref="G19" authorId="4" shapeId="0">
      <text>
        <t xml:space="preserve">Tran Dat:
5090
</t>
      </text>
    </comment>
    <comment ref="B26" authorId="1" shapeId="0">
      <text>
        <t>was 13320
VNP100</t>
      </text>
    </comment>
    <comment ref="B28" authorId="1" shapeId="0">
      <text>
        <t>was 5550
VNP40</t>
      </text>
    </comment>
    <comment ref="D28" authorId="0" shapeId="0">
      <text>
        <t>Việt Hoàng:
5.550.000</t>
      </text>
    </comment>
    <comment ref="B29" authorId="1" shapeId="0">
      <text>
        <t xml:space="preserve">was 4490
</t>
      </text>
    </comment>
    <comment ref="B30" authorId="1" shapeId="0">
      <text>
        <t>was 3190</t>
      </text>
    </comment>
    <comment ref="C30" authorId="0" shapeId="0">
      <text>
        <t>W5 3150</t>
      </text>
    </comment>
    <comment ref="D30" authorId="0" shapeId="0">
      <text>
        <t>Việt Hoàng:
3.190.000</t>
      </text>
    </comment>
    <comment ref="B31" authorId="1" shapeId="0">
      <text>
        <t>was 18090
VNP100</t>
      </text>
    </comment>
    <comment ref="C32" authorId="3" shapeId="0">
      <text>
        <t>W5 19.890</t>
      </text>
    </comment>
    <comment ref="B33" authorId="1" shapeId="0">
      <text>
        <t>was 26140
VNP150</t>
      </text>
    </comment>
    <comment ref="C34" authorId="0" shapeId="0">
      <text>
        <t>W5 25.190</t>
      </text>
    </comment>
    <comment ref="D34" authorId="0" shapeId="0">
      <text>
        <t>Việt Hoàng:
24.790.000</t>
      </text>
    </comment>
    <comment ref="F34" authorId="2" shapeId="0">
      <text>
        <t>chit trang:
24.790</t>
      </text>
    </comment>
    <comment ref="C35" authorId="3" shapeId="0">
      <text>
        <t>W5 29.790</t>
      </text>
    </comment>
    <comment ref="D35" authorId="0" shapeId="0">
      <text>
        <t>Việt Hoàng:
29.790.000</t>
      </text>
    </comment>
    <comment ref="F35" authorId="2" shapeId="0">
      <text>
        <t>chit trang:
29.490</t>
      </text>
    </comment>
    <comment ref="G35" authorId="4" shapeId="0">
      <text>
        <t>Tran Dat:
29290</t>
      </text>
    </comment>
    <comment ref="D36" authorId="0" shapeId="0">
      <text>
        <t>Việt Hoàng:
37.990.000</t>
      </text>
    </comment>
    <comment ref="F36" authorId="2" shapeId="0">
      <text>
        <t>chit trang:
37.990</t>
      </text>
    </comment>
  </commentList>
</comments>
</file>

<file path=xl/comments/comment69.xml><?xml version="1.0" encoding="utf-8"?>
<comments xmlns="http://schemas.openxmlformats.org/spreadsheetml/2006/main">
  <authors>
    <author>Duy</author>
    <author>Việt Hoàng</author>
    <author>Microsoft Office User</author>
    <author>chit trang</author>
    <author>Tran Dat</author>
  </authors>
  <commentList>
    <comment ref="C2" authorId="0" shapeId="0">
      <text>
        <t>W6 16.290</t>
      </text>
    </comment>
    <comment ref="D2" authorId="1" shapeId="0">
      <text>
        <t>Việt Hoàng:
15.790.000</t>
      </text>
    </comment>
    <comment ref="E2" authorId="2" shapeId="0">
      <text>
        <t>giờ vàng</t>
      </text>
    </comment>
    <comment ref="F2" authorId="3" shapeId="0">
      <text>
        <t>chit trang:
15.590</t>
      </text>
    </comment>
    <comment ref="D3" authorId="1" shapeId="0">
      <text>
        <t>Việt Hoàng:
18.990.000</t>
      </text>
    </comment>
    <comment ref="E3" authorId="2" shapeId="0">
      <text>
        <t>Giờ vàng</t>
      </text>
    </comment>
    <comment ref="F3" authorId="3" shapeId="0">
      <text>
        <t>chit trang:
18.890</t>
      </text>
    </comment>
    <comment ref="B4" authorId="2" shapeId="0">
      <text>
        <t>was 24640000
VNP150</t>
      </text>
    </comment>
    <comment ref="E4" authorId="2" shapeId="0">
      <text>
        <t>Giờ vàng</t>
      </text>
    </comment>
    <comment ref="F4" authorId="3" shapeId="0">
      <text>
        <t>chit trang:
21.890</t>
      </text>
    </comment>
    <comment ref="E5" authorId="2" shapeId="0">
      <text>
        <t xml:space="preserve">Giờ vàng
</t>
      </text>
    </comment>
    <comment ref="F5" authorId="3" shapeId="0">
      <text>
        <t>chit trang:
24990</t>
      </text>
    </comment>
    <comment ref="G5" authorId="4" shapeId="0">
      <text>
        <t>Tran Dat:
24450</t>
      </text>
    </comment>
    <comment ref="B6" authorId="2"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2" shapeId="0">
      <text>
        <t xml:space="preserve">Giờ vàng
</t>
      </text>
    </comment>
    <comment ref="F6" authorId="3" shapeId="0">
      <text>
        <t>chit trang:
29.990</t>
      </text>
    </comment>
    <comment ref="C7" authorId="1" shapeId="0">
      <text>
        <t>W6 15.590</t>
      </text>
    </comment>
    <comment ref="D7" authorId="1" shapeId="0">
      <text>
        <t>Việt Hoàng:
15.590.000</t>
      </text>
    </comment>
    <comment ref="F7" authorId="3" shapeId="0">
      <text>
        <t>chit trang:
15.290</t>
      </text>
    </comment>
    <comment ref="D8" authorId="1" shapeId="0">
      <text>
        <t>Việt Hoàng:
19.190.000</t>
      </text>
    </comment>
    <comment ref="F8" authorId="3" shapeId="0">
      <text>
        <t>chit trang:
19.190</t>
      </text>
    </comment>
    <comment ref="B9" authorId="2" shapeId="0">
      <text>
        <t>was 29140000
VNP150</t>
      </text>
    </comment>
    <comment ref="D9" authorId="4" shapeId="0">
      <text>
        <t>Tran Dat:
28.490</t>
      </text>
    </comment>
    <comment ref="G9" authorId="4" shapeId="0">
      <text>
        <t>Tran Dat:
27690</t>
      </text>
    </comment>
    <comment ref="B10" authorId="2" shapeId="0">
      <text>
        <t>was 18440</t>
      </text>
    </comment>
    <comment ref="C11" authorId="0" shapeId="0">
      <text>
        <t>W6 12.690</t>
      </text>
    </comment>
    <comment ref="D11" authorId="4" shapeId="0">
      <text>
        <t>Tran Dat:
12490</t>
      </text>
    </comment>
    <comment ref="G11" authorId="4" shapeId="0">
      <text>
        <t xml:space="preserve">Tran Dat:
12290000
</t>
      </text>
    </comment>
    <comment ref="B12" authorId="2" shapeId="0">
      <text>
        <t>was 13190
VNP100</t>
      </text>
    </comment>
    <comment ref="E12" authorId="2" shapeId="0">
      <text>
        <t>Giờ vàng</t>
      </text>
    </comment>
    <comment ref="F12" authorId="3" shapeId="0">
      <text>
        <t>chit trang:
11.290</t>
      </text>
    </comment>
    <comment ref="G12" authorId="4" shapeId="0">
      <text>
        <t xml:space="preserve">Tran Dat:
11190000
</t>
      </text>
    </comment>
    <comment ref="B14" authorId="2" shapeId="0">
      <text>
        <t>was 7040
VNP40</t>
      </text>
    </comment>
    <comment ref="C14" authorId="0" shapeId="0">
      <text>
        <t>W6 9790</t>
      </text>
    </comment>
    <comment ref="F14" authorId="3" shapeId="0">
      <text>
        <t>chit trang:
9690</t>
      </text>
    </comment>
    <comment ref="G14" authorId="4" shapeId="0">
      <text>
        <t>Tran Dat:
9.490</t>
      </text>
    </comment>
    <comment ref="B15" authorId="2" shapeId="0">
      <text>
        <t>was 14390</t>
      </text>
    </comment>
    <comment ref="C15" authorId="0" shapeId="0">
      <text>
        <t>W6 16.190</t>
      </text>
    </comment>
    <comment ref="F15" authorId="3" shapeId="0">
      <text>
        <t>chit trang:
16.290</t>
      </text>
    </comment>
    <comment ref="G15" authorId="4" shapeId="0">
      <text>
        <t>Tran Dat:
16490</t>
      </text>
    </comment>
    <comment ref="C16" authorId="0" shapeId="0">
      <text>
        <t>W6 21.790</t>
      </text>
    </comment>
    <comment ref="G16" authorId="4" shapeId="0">
      <text>
        <t>Tran Dat:
20590</t>
      </text>
    </comment>
    <comment ref="C17" authorId="0" shapeId="0">
      <text>
        <t>W6 27.490</t>
      </text>
    </comment>
    <comment ref="F17" authorId="3" shapeId="0">
      <text>
        <t>chit trang:
27290</t>
      </text>
    </comment>
    <comment ref="B18" authorId="2" shapeId="0">
      <text>
        <t>was 36640</t>
      </text>
    </comment>
    <comment ref="C18" authorId="0" shapeId="0">
      <text>
        <t>W6 36.290</t>
      </text>
    </comment>
    <comment ref="C19" authorId="0" shapeId="0">
      <text>
        <t>W6 5890</t>
      </text>
    </comment>
    <comment ref="D19" authorId="4" shapeId="0">
      <text>
        <t>Tran Dat:
5690</t>
      </text>
    </comment>
    <comment ref="E19" authorId="2" shapeId="0">
      <text>
        <t xml:space="preserve">was 5732
vnp1%
</t>
      </text>
    </comment>
    <comment ref="F19" authorId="3" shapeId="0">
      <text>
        <t>chit trang:
5.690</t>
      </text>
    </comment>
    <comment ref="C21" authorId="0" shapeId="0">
      <text>
        <t>W6 6490</t>
      </text>
    </comment>
    <comment ref="D21" authorId="4" shapeId="0">
      <text>
        <t>Tran Dat:
6490</t>
      </text>
    </comment>
    <comment ref="E21" authorId="2" shapeId="0">
      <text>
        <t>was 6128
vnp1%</t>
      </text>
    </comment>
    <comment ref="F21" authorId="3" shapeId="0">
      <text>
        <t>chit trang:
6.490</t>
      </text>
    </comment>
    <comment ref="G21" authorId="4" shapeId="0">
      <text>
        <t xml:space="preserve">Tran Dat:
6490000
</t>
      </text>
    </comment>
    <comment ref="D22" authorId="4" shapeId="0">
      <text>
        <t>Tran Dat:
7790</t>
      </text>
    </comment>
    <comment ref="C23" authorId="0" shapeId="0">
      <text>
        <t>W6 10.590</t>
      </text>
    </comment>
    <comment ref="D23" authorId="4" shapeId="0">
      <text>
        <t>Tran Dat:
10490</t>
      </text>
    </comment>
    <comment ref="E23" authorId="2" shapeId="0">
      <text>
        <t>was 10187
vnp1</t>
      </text>
    </comment>
    <comment ref="F23" authorId="3" shapeId="0">
      <text>
        <t>chit trang:
10.590</t>
      </text>
    </comment>
    <comment ref="G23" authorId="4" shapeId="0">
      <text>
        <t>Tran Dat:
10490</t>
      </text>
    </comment>
    <comment ref="C25" authorId="0" shapeId="0">
      <text>
        <t>W6 11.390</t>
      </text>
    </comment>
    <comment ref="D25" authorId="4" shapeId="0">
      <text>
        <t>Tran Dat:
11290</t>
      </text>
    </comment>
    <comment ref="E25" authorId="2" shapeId="0">
      <text>
        <t>was 10880
vnp1%</t>
      </text>
    </comment>
    <comment ref="F25" authorId="3" shapeId="0">
      <text>
        <t>chit trang:
11.390</t>
      </text>
    </comment>
    <comment ref="G25" authorId="4" shapeId="0">
      <text>
        <t>Tran Dat:
11290</t>
      </text>
    </comment>
    <comment ref="B26" authorId="2" shapeId="0">
      <text>
        <t>was 13320
VNP100</t>
      </text>
    </comment>
    <comment ref="C26" authorId="0" shapeId="0">
      <text>
        <t>W6 13.890</t>
      </text>
    </comment>
    <comment ref="B28" authorId="2" shapeId="0">
      <text>
        <t>was 5550
VNP40</t>
      </text>
    </comment>
    <comment ref="C28" authorId="0" shapeId="0">
      <text>
        <t>W6 5590</t>
      </text>
    </comment>
    <comment ref="E28" authorId="2" shapeId="0">
      <text>
        <t>was 5534
vnp1%</t>
      </text>
    </comment>
    <comment ref="F28" authorId="3" shapeId="0">
      <text>
        <t>chit trang:
5.590</t>
      </text>
    </comment>
    <comment ref="G28" authorId="4" shapeId="0">
      <text>
        <t>Tran Dat:
5590</t>
      </text>
    </comment>
    <comment ref="B29" authorId="2" shapeId="0">
      <text>
        <t xml:space="preserve">was 4490
</t>
      </text>
    </comment>
    <comment ref="C29" authorId="0" shapeId="0">
      <text>
        <t>W6 4590</t>
      </text>
    </comment>
    <comment ref="E29" authorId="2" shapeId="0">
      <text>
        <t>was 4346
vnp1%</t>
      </text>
    </comment>
    <comment ref="F29" authorId="3" shapeId="0">
      <text>
        <t>chit trang:
4.490</t>
      </text>
    </comment>
    <comment ref="G29" authorId="4" shapeId="0">
      <text>
        <t>Tran Dat:
4490</t>
      </text>
    </comment>
    <comment ref="B30" authorId="2" shapeId="0">
      <text>
        <t>was 3190</t>
      </text>
    </comment>
    <comment ref="C30" authorId="1" shapeId="0">
      <text>
        <t>W6 3290</t>
      </text>
    </comment>
    <comment ref="E30" authorId="2" shapeId="0">
      <text>
        <t xml:space="preserve">was 3190
</t>
      </text>
    </comment>
    <comment ref="F30" authorId="3" shapeId="0">
      <text>
        <t>chit trang:
3.190</t>
      </text>
    </comment>
    <comment ref="G30" authorId="4" shapeId="0">
      <text>
        <t>Tran Dat:
3190</t>
      </text>
    </comment>
    <comment ref="B31" authorId="2" shapeId="0">
      <text>
        <t>was 18090
VNP100</t>
      </text>
    </comment>
    <comment ref="C31" authorId="0" shapeId="0">
      <text>
        <t>W6 16.990</t>
      </text>
    </comment>
    <comment ref="C32" authorId="0" shapeId="0">
      <text>
        <t>W6 19.790</t>
      </text>
    </comment>
    <comment ref="D32" authorId="4" shapeId="0">
      <text>
        <t>19690</t>
      </text>
    </comment>
    <comment ref="F32" authorId="3" shapeId="0">
      <text>
        <t>chit trang:
19.690</t>
      </text>
    </comment>
    <comment ref="B33" authorId="2" shapeId="0">
      <text>
        <t>was 26140
VNP150</t>
      </text>
    </comment>
    <comment ref="C34" authorId="1" shapeId="0">
      <text>
        <t>W6 25.290</t>
      </text>
    </comment>
    <comment ref="F34" authorId="3" shapeId="0">
      <text>
        <t>chit trang:
25.190</t>
      </text>
    </comment>
    <comment ref="C36" authorId="0" shapeId="0">
      <text>
        <t>W6 38.790</t>
      </text>
    </comment>
    <comment ref="F36" authorId="3" shapeId="0">
      <text>
        <t>chit trang:
38.290</t>
      </text>
    </comment>
  </commentList>
</comments>
</file>

<file path=xl/comments/comment70.xml><?xml version="1.0" encoding="utf-8"?>
<comments xmlns="http://schemas.openxmlformats.org/spreadsheetml/2006/main">
  <authors>
    <author>Duy</author>
    <author>Microsoft Office User</author>
    <author>chit trang</author>
    <author>Tran Dat</author>
    <author>Việt Hoàng</author>
  </authors>
  <commentList>
    <comment ref="C2" authorId="0" shapeId="0">
      <text>
        <t>W7 15.290</t>
      </text>
    </comment>
    <comment ref="E2" authorId="1" shapeId="0">
      <text>
        <t>giờ vàng</t>
      </text>
    </comment>
    <comment ref="F2" authorId="2" shapeId="0">
      <text>
        <t>chit trang:
15.490</t>
      </text>
    </comment>
    <comment ref="C3" authorId="0" shapeId="0">
      <text>
        <t>W7 19.090</t>
      </text>
    </comment>
    <comment ref="E3" authorId="1" shapeId="0">
      <text>
        <t>Giờ vàng</t>
      </text>
    </comment>
    <comment ref="B4" authorId="1" shapeId="0">
      <text>
        <t>was 24640000
VNP150</t>
      </text>
    </comment>
    <comment ref="E4" authorId="1" shapeId="0">
      <text>
        <t>Giờ vàng</t>
      </text>
    </comment>
    <comment ref="F4" authorId="2" shapeId="0">
      <text>
        <t>chit trang:
21.990</t>
      </text>
    </comment>
    <comment ref="E5" authorId="1" shapeId="0">
      <text>
        <t xml:space="preserve">Giờ vàng
</t>
      </text>
    </comment>
    <comment ref="F5" authorId="2" shapeId="0">
      <text>
        <t>chit trang:
24790</t>
      </text>
    </comment>
    <comment ref="G5" authorId="3" shapeId="0">
      <text>
        <t>Tran Dat:
24390</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F6" authorId="2" shapeId="0">
      <text>
        <t>chit trang:
29.690</t>
      </text>
    </comment>
    <comment ref="G6" authorId="3" shapeId="0">
      <text>
        <t>Tran Dat:
29490</t>
      </text>
    </comment>
    <comment ref="C7" authorId="4" shapeId="0">
      <text>
        <t>W7 15.490</t>
      </text>
    </comment>
    <comment ref="F7" authorId="2" shapeId="0">
      <text>
        <t>chit trang:
15.290</t>
      </text>
    </comment>
    <comment ref="C8" authorId="0" shapeId="0">
      <text>
        <t>W7 19.290</t>
      </text>
    </comment>
    <comment ref="F8" authorId="2" shapeId="0">
      <text>
        <t>chit trang:
18.990</t>
      </text>
    </comment>
    <comment ref="G8" authorId="3" shapeId="0">
      <text>
        <t>Tran Dat:
18690</t>
      </text>
    </comment>
    <comment ref="B9" authorId="1" shapeId="0">
      <text>
        <t>was 29140000
VNP150</t>
      </text>
    </comment>
    <comment ref="C9" authorId="0" shapeId="0">
      <text>
        <t>W7 27390</t>
      </text>
    </comment>
    <comment ref="B10" authorId="1" shapeId="0">
      <text>
        <t>was 18440</t>
      </text>
    </comment>
    <comment ref="C11" authorId="0" shapeId="0">
      <text>
        <t>W7 13.190</t>
      </text>
    </comment>
    <comment ref="D11" authorId="3" shapeId="0">
      <text>
        <t>12.590.000</t>
      </text>
    </comment>
    <comment ref="G11" authorId="3" shapeId="0">
      <text>
        <t xml:space="preserve">Tran Dat:
12390000
</t>
      </text>
    </comment>
    <comment ref="B12" authorId="1" shapeId="0">
      <text>
        <t>was 13190
VNP100</t>
      </text>
    </comment>
    <comment ref="D12" authorId="4" shapeId="0">
      <text>
        <t>Việt Hoàng:
11.390.000</t>
      </text>
    </comment>
    <comment ref="E12" authorId="1" shapeId="0">
      <text>
        <t>Giờ vàng</t>
      </text>
    </comment>
    <comment ref="F12" authorId="2" shapeId="0">
      <text>
        <t>chit trang:
10.990</t>
      </text>
    </comment>
    <comment ref="G12" authorId="3" shapeId="0">
      <text>
        <t xml:space="preserve">Tran Dat:
11190000
</t>
      </text>
    </comment>
    <comment ref="C13" authorId="0" shapeId="0">
      <text>
        <t>W7 13.590</t>
      </text>
    </comment>
    <comment ref="D13" authorId="4" shapeId="0">
      <text>
        <t>Việt Hoàng:
13.590.000</t>
      </text>
    </comment>
    <comment ref="E13" authorId="1" shapeId="0">
      <text>
        <t>was 13652
vnp1%</t>
      </text>
    </comment>
    <comment ref="B14" authorId="1" shapeId="0">
      <text>
        <t>was 7040
VNP40</t>
      </text>
    </comment>
    <comment ref="C14" authorId="0" shapeId="0">
      <text>
        <t>W7 9590</t>
      </text>
    </comment>
    <comment ref="D14" authorId="4" shapeId="0">
      <text>
        <t>Việt Hoàng:
9.690.000</t>
      </text>
    </comment>
    <comment ref="E14" authorId="1" shapeId="0">
      <text>
        <t>was 9296
vnp1%</t>
      </text>
    </comment>
    <comment ref="F14" authorId="2" shapeId="0">
      <text>
        <t>chit trang:
9.290</t>
      </text>
    </comment>
    <comment ref="G14" authorId="3" shapeId="0">
      <text>
        <t>Tran Dat:
9.290</t>
      </text>
    </comment>
    <comment ref="B15" authorId="1" shapeId="0">
      <text>
        <t>was 14390</t>
      </text>
    </comment>
    <comment ref="C15" authorId="0" shapeId="0">
      <text>
        <t>W7 15890</t>
      </text>
    </comment>
    <comment ref="D15" authorId="4" shapeId="0">
      <text>
        <t>Việt Hoàng:
16.190.000</t>
      </text>
    </comment>
    <comment ref="E15" authorId="1" shapeId="0">
      <text>
        <t>was 15830
vnp1%</t>
      </text>
    </comment>
    <comment ref="F15" authorId="2" shapeId="0">
      <text>
        <t>chit trang:
15.990</t>
      </text>
    </comment>
    <comment ref="G15" authorId="3" shapeId="0">
      <text>
        <t>Tran Dat:
15990</t>
      </text>
    </comment>
    <comment ref="C16" authorId="0" shapeId="0">
      <text>
        <t>W7 21590</t>
      </text>
    </comment>
    <comment ref="D16" authorId="4" shapeId="0">
      <text>
        <t>Việt Hoàng:
21.690.000</t>
      </text>
    </comment>
    <comment ref="F16" authorId="2" shapeId="0">
      <text>
        <t>chit trang:
21.690</t>
      </text>
    </comment>
    <comment ref="G16" authorId="3" shapeId="0">
      <text>
        <t>Tran Dat:
21590</t>
      </text>
    </comment>
    <comment ref="C17" authorId="0" shapeId="0">
      <text>
        <t>W7 26990</t>
      </text>
    </comment>
    <comment ref="D17" authorId="4" shapeId="0">
      <text>
        <t>Việt Hoàng:
27.290.000</t>
      </text>
    </comment>
    <comment ref="F17" authorId="2" shapeId="0">
      <text>
        <t>chit trang:
26.890</t>
      </text>
    </comment>
    <comment ref="B18" authorId="1" shapeId="0">
      <text>
        <t>was 36640</t>
      </text>
    </comment>
    <comment ref="C18" authorId="0" shapeId="0">
      <text>
        <t>W7 35790</t>
      </text>
    </comment>
    <comment ref="D18" authorId="4" shapeId="0">
      <text>
        <t>Việt Hoàng:
35.990.000</t>
      </text>
    </comment>
    <comment ref="F18" authorId="2" shapeId="0">
      <text>
        <t>chit trang:
35.990</t>
      </text>
    </comment>
    <comment ref="D19" authorId="3" shapeId="0">
      <text>
        <t>4.990.000</t>
      </text>
    </comment>
    <comment ref="D21" authorId="3" shapeId="0">
      <text>
        <t>Tran Dat:6990.000</t>
      </text>
    </comment>
    <comment ref="F21" authorId="2" shapeId="0">
      <text>
        <t>chit trang:
6.490</t>
      </text>
    </comment>
    <comment ref="D22" authorId="3" shapeId="0">
      <text>
        <t>Tran Dat:
7.590.000</t>
      </text>
    </comment>
    <comment ref="F23" authorId="2" shapeId="0">
      <text>
        <t>chit trang:
8.290</t>
      </text>
    </comment>
    <comment ref="B26" authorId="1" shapeId="0">
      <text>
        <t>was 13320
VNP100</t>
      </text>
    </comment>
    <comment ref="C26" authorId="0" shapeId="0">
      <text>
        <t>W7 13.690</t>
      </text>
    </comment>
    <comment ref="B28" authorId="1" shapeId="0">
      <text>
        <t>was 5550
VNP40</t>
      </text>
    </comment>
    <comment ref="B29" authorId="1" shapeId="0">
      <text>
        <t xml:space="preserve">was 4490
</t>
      </text>
    </comment>
    <comment ref="D29" authorId="4" shapeId="0">
      <text>
        <t>Việt Hoàng:
4.450.000</t>
      </text>
    </comment>
    <comment ref="G29" authorId="3" shapeId="0">
      <text>
        <t>Tran Dat:
4390</t>
      </text>
    </comment>
    <comment ref="B30" authorId="1" shapeId="0">
      <text>
        <t>was 3190</t>
      </text>
    </comment>
    <comment ref="C30" authorId="4" shapeId="0">
      <text>
        <t>W7 3190</t>
      </text>
    </comment>
    <comment ref="G30" authorId="3" shapeId="0">
      <text>
        <t>Tran Dat:
5390</t>
      </text>
    </comment>
    <comment ref="B31" authorId="1" shapeId="0">
      <text>
        <t>was 18090
VNP100</t>
      </text>
    </comment>
    <comment ref="C31" authorId="0" shapeId="0">
      <text>
        <t>W7 17190</t>
      </text>
    </comment>
    <comment ref="D32" authorId="3" shapeId="0">
      <text>
        <t>20.990.000</t>
      </text>
    </comment>
    <comment ref="B33" authorId="1" shapeId="0">
      <text>
        <t>was 26140
VNP150</t>
      </text>
    </comment>
    <comment ref="C34" authorId="4" shapeId="0">
      <text>
        <t>W7 25090</t>
      </text>
    </comment>
    <comment ref="D34" authorId="4" shapeId="0">
      <text>
        <t>Việt Hoàng:
25.190.000</t>
      </text>
    </comment>
    <comment ref="F34" authorId="2" shapeId="0">
      <text>
        <t>chit trang:
24.990</t>
      </text>
    </comment>
    <comment ref="G34" authorId="3" shapeId="0">
      <text>
        <t>Tran Dat:
24990</t>
      </text>
    </comment>
    <comment ref="C35" authorId="4" shapeId="0">
      <text>
        <t>W7 30790</t>
      </text>
    </comment>
    <comment ref="D35" authorId="4" shapeId="0">
      <text>
        <t>Việt Hoàng:
30.690.000</t>
      </text>
    </comment>
    <comment ref="G35" authorId="3" shapeId="0">
      <text>
        <t>Tran Dat:
31990</t>
      </text>
    </comment>
    <comment ref="F36" authorId="2" shapeId="0">
      <text>
        <t>chit trang:
37.990</t>
      </text>
    </comment>
  </commentList>
</comments>
</file>

<file path=xl/comments/comment71.xml><?xml version="1.0" encoding="utf-8"?>
<comments xmlns="http://schemas.openxmlformats.org/spreadsheetml/2006/main">
  <authors>
    <author>Microsoft Office User</author>
    <author>Duy</author>
    <author>Việt Hoàng</author>
    <author>chit trang</author>
    <author>Tran Dat</author>
    <author>Người dùng Khách</author>
  </authors>
  <commentList>
    <comment ref="E2" authorId="0" shapeId="0">
      <text>
        <t>giờ vàng</t>
      </text>
    </comment>
    <comment ref="E3" authorId="0" shapeId="0">
      <text>
        <t>Giờ vàng</t>
      </text>
    </comment>
    <comment ref="B4" authorId="0" shapeId="0">
      <text>
        <t>was 24640000
VNP150</t>
      </text>
    </comment>
    <comment ref="C4" authorId="1" shapeId="0">
      <text>
        <t>W8 22.190</t>
      </text>
    </comment>
    <comment ref="E4" authorId="0" shapeId="0">
      <text>
        <t>Giờ vàng</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D7" authorId="2" shapeId="0">
      <text>
        <t>Việt Hoàng:
15.390.000</t>
      </text>
    </comment>
    <comment ref="D8" authorId="2" shapeId="0">
      <text>
        <t>Việt Hoàng:
18.990.000</t>
      </text>
    </comment>
    <comment ref="B9" authorId="0" shapeId="0">
      <text>
        <t>was 29140000
VNP150</t>
      </text>
    </comment>
    <comment ref="B10" authorId="0" shapeId="0">
      <text>
        <t>was 18440</t>
      </text>
    </comment>
    <comment ref="C11" authorId="1" shapeId="0">
      <text>
        <t>W8 12.690</t>
      </text>
    </comment>
    <comment ref="B12" authorId="0" shapeId="0">
      <text>
        <t>was 13190
VNP100</t>
      </text>
    </comment>
    <comment ref="C12" authorId="1" shapeId="0">
      <text>
        <t>W8 11.690</t>
      </text>
    </comment>
    <comment ref="E12" authorId="0" shapeId="0">
      <text>
        <t>Giờ vàng</t>
      </text>
    </comment>
    <comment ref="F12" authorId="3" shapeId="0">
      <text>
        <t>chit trang:
11.490</t>
      </text>
    </comment>
    <comment ref="G12" authorId="4" shapeId="0">
      <text>
        <t xml:space="preserve">Tran Dat:
11390
</t>
      </text>
    </comment>
    <comment ref="D13" authorId="2" shapeId="0">
      <text>
        <t>Việt Hoàng:
13.790.000</t>
      </text>
    </comment>
    <comment ref="E13" authorId="0" shapeId="0">
      <text>
        <t>was 13652
vnp1%</t>
      </text>
    </comment>
    <comment ref="B14" authorId="0" shapeId="0">
      <text>
        <t>was 7040
VNP40</t>
      </text>
    </comment>
    <comment ref="E14" authorId="0" shapeId="0">
      <text>
        <t>was 9296
vnp1%</t>
      </text>
    </comment>
    <comment ref="B15" authorId="0" shapeId="0">
      <text>
        <t>was 14390</t>
      </text>
    </comment>
    <comment ref="C15" authorId="1" shapeId="0">
      <text>
        <t>W8 14490</t>
      </text>
    </comment>
    <comment ref="E15" authorId="0" shapeId="0">
      <text>
        <t>was 15830
vnp1%</t>
      </text>
    </comment>
    <comment ref="B18" authorId="0" shapeId="0">
      <text>
        <t>was 36640</t>
      </text>
    </comment>
    <comment ref="F18" authorId="3" shapeId="0">
      <text>
        <t>chit trang:
33.690</t>
      </text>
    </comment>
    <comment ref="F23" authorId="5" shapeId="0">
      <text>
        <t>Người dùng Không xác định:
8.390</t>
      </text>
    </comment>
    <comment ref="B26" authorId="0" shapeId="0">
      <text>
        <t>was 13320
VNP100</t>
      </text>
    </comment>
    <comment ref="F27" authorId="5" shapeId="0">
      <text>
        <t>Người dùng Không xác định:
21.590</t>
      </text>
    </comment>
    <comment ref="B28" authorId="0" shapeId="0">
      <text>
        <t>was 5550
VNP40</t>
      </text>
    </comment>
    <comment ref="B29" authorId="0" shapeId="0">
      <text>
        <t xml:space="preserve">was 4490
</t>
      </text>
    </comment>
    <comment ref="B30" authorId="0" shapeId="0">
      <text>
        <t>was 3190</t>
      </text>
    </comment>
    <comment ref="C30" authorId="2" shapeId="0">
      <text>
        <t>W8 3090</t>
      </text>
    </comment>
    <comment ref="B31" authorId="0" shapeId="0">
      <text>
        <t>was 18090
VNP100</t>
      </text>
    </comment>
    <comment ref="C31" authorId="1" shapeId="0">
      <text>
        <t>W8 16990</t>
      </text>
    </comment>
    <comment ref="B33" authorId="0" shapeId="0">
      <text>
        <t>was 26140
VNP150</t>
      </text>
    </comment>
    <comment ref="F35" authorId="5" shapeId="0">
      <text>
        <t>Người dùng Không xác định:
30.390</t>
      </text>
    </comment>
  </commentList>
</comments>
</file>

<file path=xl/comments/comment72.xml><?xml version="1.0" encoding="utf-8"?>
<comments xmlns="http://schemas.openxmlformats.org/spreadsheetml/2006/main">
  <authors>
    <author>Duy</author>
    <author>Microsoft Office User</author>
    <author>Tran Dat</author>
    <author>Người dùng Khách</author>
    <author>chit trang</author>
    <author>Việt Hoàng</author>
  </authors>
  <commentList>
    <comment ref="C2" authorId="0" shapeId="0">
      <text>
        <t>W9 14.990</t>
      </text>
    </comment>
    <comment ref="E2" authorId="1" shapeId="0">
      <text>
        <t>giờ vàng</t>
      </text>
    </comment>
    <comment ref="G2" authorId="2" shapeId="0">
      <text>
        <t>Tran Dat:
15990</t>
      </text>
    </comment>
    <comment ref="E3" authorId="1" shapeId="0">
      <text>
        <t>Giờ vàng</t>
      </text>
    </comment>
    <comment ref="B4" authorId="1" shapeId="0">
      <text>
        <t>was 24640000
VNP150</t>
      </text>
    </comment>
    <comment ref="E4" authorId="1" shapeId="0">
      <text>
        <t>Giờ vàng</t>
      </text>
    </comment>
    <comment ref="C5" authorId="0" shapeId="0">
      <text>
        <t>W9 25090</t>
      </text>
    </comment>
    <comment ref="E5" authorId="1" shapeId="0">
      <text>
        <t xml:space="preserve">Giờ vàng
</t>
      </text>
    </comment>
    <comment ref="B6"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1" shapeId="0">
      <text>
        <t xml:space="preserve">Giờ vàng
</t>
      </text>
    </comment>
    <comment ref="C8" authorId="0" shapeId="0">
      <text>
        <t>W9 18590</t>
      </text>
    </comment>
    <comment ref="B9" authorId="1" shapeId="0">
      <text>
        <t>was 29140000
VNP150</t>
      </text>
    </comment>
    <comment ref="C9" authorId="0" shapeId="0">
      <text>
        <t>W9 26890</t>
      </text>
    </comment>
    <comment ref="B10" authorId="1" shapeId="0">
      <text>
        <t>was 18440</t>
      </text>
    </comment>
    <comment ref="E11" authorId="1" shapeId="0">
      <text>
        <t>was 12690
FS</t>
      </text>
    </comment>
    <comment ref="B12" authorId="1" shapeId="0">
      <text>
        <t>was 13190
VNP100</t>
      </text>
    </comment>
    <comment ref="C12" authorId="0" shapeId="0">
      <text>
        <t>W9 11.490</t>
      </text>
    </comment>
    <comment ref="E12" authorId="1" shapeId="0">
      <text>
        <t>Giờ vàng</t>
      </text>
    </comment>
    <comment ref="E13" authorId="1" shapeId="0">
      <text>
        <t>was 11870
vnp1%</t>
      </text>
    </comment>
    <comment ref="B14" authorId="1" shapeId="0">
      <text>
        <t>was 7040
VNP40</t>
      </text>
    </comment>
    <comment ref="E14" authorId="1" shapeId="0">
      <text>
        <t>was 8801
vnp1%</t>
      </text>
    </comment>
    <comment ref="B15" authorId="1" shapeId="0">
      <text>
        <t>was 14390</t>
      </text>
    </comment>
    <comment ref="E15" authorId="1" shapeId="0">
      <text>
        <t>was 14543
vnp1%</t>
      </text>
    </comment>
    <comment ref="G15" authorId="2" shapeId="0">
      <text>
        <t>Tran Dat:
1459</t>
      </text>
    </comment>
    <comment ref="C16" authorId="0" shapeId="0">
      <text>
        <t>W9 20590</t>
      </text>
    </comment>
    <comment ref="F16" authorId="3" shapeId="0">
      <text>
        <t>Người dùng Không xác định:
20.790k</t>
      </text>
    </comment>
    <comment ref="G16" authorId="2" shapeId="0">
      <text>
        <t>Tran Dat:
20690</t>
      </text>
    </comment>
    <comment ref="C17" authorId="0" shapeId="0">
      <text>
        <t>W9 25890</t>
      </text>
    </comment>
    <comment ref="E17" authorId="1" shapeId="0">
      <text>
        <t>was 26490
vnp1%</t>
      </text>
    </comment>
    <comment ref="B18" authorId="1" shapeId="0">
      <text>
        <t>was 36640</t>
      </text>
    </comment>
    <comment ref="C18" authorId="0" shapeId="0">
      <text>
        <t>W9 33590</t>
      </text>
    </comment>
    <comment ref="E18" authorId="1" shapeId="0">
      <text>
        <t>was 35490
vnp1%</t>
      </text>
    </comment>
    <comment ref="F18" authorId="4" shapeId="0">
      <text>
        <t>chit trang:
33.590</t>
      </text>
    </comment>
    <comment ref="C19" authorId="0" shapeId="0">
      <text>
        <t>W9 5190</t>
      </text>
    </comment>
    <comment ref="D19" authorId="5" shapeId="0">
      <text>
        <t>Việt Hoàng:
5.190.000</t>
      </text>
    </comment>
    <comment ref="E19" authorId="1" shapeId="0">
      <text>
        <t>was 4940
vnp1%</t>
      </text>
    </comment>
    <comment ref="F19" authorId="3" shapeId="0">
      <text>
        <t>Người dùng Không xác định:
4.990</t>
      </text>
    </comment>
    <comment ref="G19" authorId="2" shapeId="0">
      <text>
        <t>Tran Dat:
5090</t>
      </text>
    </comment>
    <comment ref="C21" authorId="0" shapeId="0">
      <text>
        <t>W9 5790</t>
      </text>
    </comment>
    <comment ref="D21" authorId="5" shapeId="0">
      <text>
        <t>Việt Hoàng:
5.790.000</t>
      </text>
    </comment>
    <comment ref="E21" authorId="1" shapeId="0">
      <text>
        <t>was 5732
vnp1%</t>
      </text>
    </comment>
    <comment ref="F21" authorId="3" shapeId="0">
      <text>
        <t>Người dùng Không xác định:
5.790</t>
      </text>
    </comment>
    <comment ref="G21" authorId="2" shapeId="0">
      <text>
        <t>Tran Dat:
5890</t>
      </text>
    </comment>
    <comment ref="C23" authorId="0" shapeId="0">
      <text>
        <t>W9 8390</t>
      </text>
    </comment>
    <comment ref="D23" authorId="5" shapeId="0">
      <text>
        <t>Việt Hoàng:
8.390.000</t>
      </text>
    </comment>
    <comment ref="E23" authorId="1" shapeId="0">
      <text>
        <t>was 8207
vnp1%</t>
      </text>
    </comment>
    <comment ref="F23" authorId="3" shapeId="0">
      <text>
        <t>Người dùng Không xác định:
8.490</t>
      </text>
    </comment>
    <comment ref="G23" authorId="2" shapeId="0">
      <text>
        <t>Tran Dat:
8390</t>
      </text>
    </comment>
    <comment ref="C25" authorId="0" shapeId="0">
      <text>
        <t>W9 9190</t>
      </text>
    </comment>
    <comment ref="D25" authorId="5" shapeId="0">
      <text>
        <t>Việt Hoàng:
9.190.000</t>
      </text>
    </comment>
    <comment ref="E25" authorId="1" shapeId="0">
      <text>
        <t>was 8900
vnp1%</t>
      </text>
    </comment>
    <comment ref="F25" authorId="3" shapeId="0">
      <text>
        <t>Người dùng Không xác định:
9.190</t>
      </text>
    </comment>
    <comment ref="G25" authorId="2" shapeId="0">
      <text>
        <t>Tran Dat:
8990</t>
      </text>
    </comment>
    <comment ref="B26" authorId="1" shapeId="0">
      <text>
        <t>was 13320
VNP100</t>
      </text>
    </comment>
    <comment ref="F27" authorId="3" shapeId="0">
      <text>
        <t>Người dùng Không xác định:
21.590</t>
      </text>
    </comment>
    <comment ref="B28" authorId="1" shapeId="0">
      <text>
        <t>was 5550
VNP40</t>
      </text>
    </comment>
    <comment ref="C28" authorId="0" shapeId="0">
      <text>
        <t>W9 5390</t>
      </text>
    </comment>
    <comment ref="D28" authorId="5" shapeId="0">
      <text>
        <t>Việt Hoàng:
5.350.000</t>
      </text>
    </comment>
    <comment ref="E28" authorId="1" shapeId="0">
      <text>
        <t xml:space="preserve">was 5039
vnp1%
</t>
      </text>
    </comment>
    <comment ref="F28" authorId="3" shapeId="0">
      <text>
        <t>Người dùng Không xác định:
5.290</t>
      </text>
    </comment>
    <comment ref="G28" authorId="2" shapeId="0">
      <text>
        <t xml:space="preserve">Tran Dat:
5390
</t>
      </text>
    </comment>
    <comment ref="B29" authorId="1" shapeId="0">
      <text>
        <t xml:space="preserve">was 4490
</t>
      </text>
    </comment>
    <comment ref="C29" authorId="0" shapeId="0">
      <text>
        <t>W9 4490</t>
      </text>
    </comment>
    <comment ref="D29" authorId="5" shapeId="0">
      <text>
        <t>Việt Hoàng:
4.350.000</t>
      </text>
    </comment>
    <comment ref="E29" authorId="1" shapeId="0">
      <text>
        <t>was 4247
vnp1%</t>
      </text>
    </comment>
    <comment ref="F29" authorId="3" shapeId="0">
      <text>
        <t>Người dùng Không xác định:
4.390</t>
      </text>
    </comment>
    <comment ref="G29" authorId="2" shapeId="0">
      <text>
        <t>Tran Dat:
4190</t>
      </text>
    </comment>
    <comment ref="B30" authorId="1" shapeId="0">
      <text>
        <t>was 3190</t>
      </text>
    </comment>
    <comment ref="C30" authorId="5" shapeId="0">
      <text>
        <t>W9 3190</t>
      </text>
    </comment>
    <comment ref="D30" authorId="5" shapeId="0">
      <text>
        <t>Việt Hoàng:
3.050.000</t>
      </text>
    </comment>
    <comment ref="E30" authorId="1" shapeId="0">
      <text>
        <t xml:space="preserve">was 2890
</t>
      </text>
    </comment>
    <comment ref="F30" authorId="3" shapeId="0">
      <text>
        <t>Người dùng Không xác định:
2.990</t>
      </text>
    </comment>
    <comment ref="G30" authorId="2" shapeId="0">
      <text>
        <t>Tran Dat:
2890</t>
      </text>
    </comment>
    <comment ref="B31" authorId="1" shapeId="0">
      <text>
        <t>was 18090
VNP100</t>
      </text>
    </comment>
    <comment ref="B33" authorId="1" shapeId="0">
      <text>
        <t>was 26140
VNP150</t>
      </text>
    </comment>
    <comment ref="F35" authorId="3" shapeId="0">
      <text>
        <t>Người dùng Không xác định:29.490</t>
      </text>
    </comment>
  </commentList>
</comments>
</file>

<file path=xl/comments/comment73.xml><?xml version="1.0" encoding="utf-8"?>
<comments xmlns="http://schemas.openxmlformats.org/spreadsheetml/2006/main">
  <authors>
    <author>Microsoft Office User</author>
    <author>Tran Dat</author>
    <author>Việt Hoàng</author>
    <author>Duy</author>
    <author>Người dùng Khách</author>
    <author>chit trang</author>
  </authors>
  <commentList>
    <comment ref="E2" authorId="0" shapeId="0">
      <text>
        <t>giờ vàng</t>
      </text>
    </comment>
    <comment ref="G2" authorId="1" shapeId="0">
      <text>
        <t>Tran Dat:
15890</t>
      </text>
    </comment>
    <comment ref="E3" authorId="0" shapeId="0">
      <text>
        <t>Giờ vàng</t>
      </text>
    </comment>
    <comment ref="B4" authorId="0" shapeId="0">
      <text>
        <t>was 24640000
VNP150</t>
      </text>
    </comment>
    <comment ref="E4" authorId="0" shapeId="0">
      <text>
        <t>Giờ vàng</t>
      </text>
    </comment>
    <comment ref="D5" authorId="2" shapeId="0">
      <text>
        <t>Việt Hoàng:
25.090.000</t>
      </text>
    </comment>
    <comment ref="E5" authorId="0" shapeId="0">
      <text>
        <t xml:space="preserve">Giờ vàng
</t>
      </text>
    </comment>
    <comment ref="B6"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6" authorId="0" shapeId="0">
      <text>
        <t xml:space="preserve">Giờ vàng
</t>
      </text>
    </comment>
    <comment ref="G6" authorId="1" shapeId="0">
      <text>
        <t>Tran Dat:
29.550</t>
      </text>
    </comment>
    <comment ref="C8" authorId="3" shapeId="0">
      <text>
        <t>W10 18790</t>
      </text>
    </comment>
    <comment ref="D8" authorId="2" shapeId="0">
      <text>
        <t>Việt Hoàng:
18.590.000</t>
      </text>
    </comment>
    <comment ref="B9" authorId="0" shapeId="0">
      <text>
        <t>was 29140000
VNP150</t>
      </text>
    </comment>
    <comment ref="B10" authorId="0" shapeId="0">
      <text>
        <t>was 18440</t>
      </text>
    </comment>
    <comment ref="D11" authorId="2" shapeId="0">
      <text>
        <t>Việt Hoàng:
12.690.000</t>
      </text>
    </comment>
    <comment ref="E11" authorId="0" shapeId="0">
      <text>
        <t>was 12690
FS</t>
      </text>
    </comment>
    <comment ref="B12" authorId="0" shapeId="0">
      <text>
        <t>was 13190
VNP100</t>
      </text>
    </comment>
    <comment ref="E12" authorId="0" shapeId="0">
      <text>
        <t>Giờ vàng</t>
      </text>
    </comment>
    <comment ref="F12" authorId="4" shapeId="0">
      <text>
        <t>Người dùng Không xác định:
11.390</t>
      </text>
    </comment>
    <comment ref="C13" authorId="3" shapeId="0">
      <text>
        <t>W10 11790</t>
      </text>
    </comment>
    <comment ref="D13" authorId="2" shapeId="0">
      <text>
        <t>Việt Hoàng:
11.790.000</t>
      </text>
    </comment>
    <comment ref="E13" authorId="0" shapeId="0">
      <text>
        <t>was 11276
vnp1%</t>
      </text>
    </comment>
    <comment ref="F13" authorId="4" shapeId="0">
      <text>
        <t>Người dùng Không xác định:
11.790</t>
      </text>
    </comment>
    <comment ref="B14" authorId="0" shapeId="0">
      <text>
        <t>was 7040
VNP40</t>
      </text>
    </comment>
    <comment ref="C14" authorId="3" shapeId="0">
      <text>
        <t>W10 8790</t>
      </text>
    </comment>
    <comment ref="E14" authorId="0" shapeId="0">
      <text>
        <t>was 8603
vnp1%</t>
      </text>
    </comment>
    <comment ref="F14" authorId="4" shapeId="0">
      <text>
        <t>Người dùng Không xác định:
8.690</t>
      </text>
    </comment>
    <comment ref="G14" authorId="1" shapeId="0">
      <text>
        <t>Tran Dat:
8590</t>
      </text>
    </comment>
    <comment ref="B15" authorId="0" shapeId="0">
      <text>
        <t>was 14390</t>
      </text>
    </comment>
    <comment ref="C15" authorId="3" shapeId="0">
      <text>
        <t>W10 14690</t>
      </text>
    </comment>
    <comment ref="D15" authorId="2" shapeId="0">
      <text>
        <t>Việt Hoàng:
14.490.000</t>
      </text>
    </comment>
    <comment ref="E15" authorId="0" shapeId="0">
      <text>
        <t>was 14048
vnp1%</t>
      </text>
    </comment>
    <comment ref="F15" authorId="4" shapeId="0">
      <text>
        <t>Người dùng Không xác định:
14.590</t>
      </text>
    </comment>
    <comment ref="G15" authorId="1" shapeId="0">
      <text>
        <t>Tran Dat:
14490</t>
      </text>
    </comment>
    <comment ref="C16" authorId="3" shapeId="0">
      <text>
        <t>W10 20790</t>
      </text>
    </comment>
    <comment ref="D16" authorId="2" shapeId="0">
      <text>
        <t>Việt Hoàng:
20.590.000</t>
      </text>
    </comment>
    <comment ref="F16" authorId="4" shapeId="0">
      <text>
        <t>Người dùng Không xác định:
19.990k</t>
      </text>
    </comment>
    <comment ref="G16" authorId="1" shapeId="0">
      <text>
        <t>Tran Dat:19990</t>
      </text>
    </comment>
    <comment ref="C17" authorId="3" shapeId="0">
      <text>
        <t>W10 25990</t>
      </text>
    </comment>
    <comment ref="D17" authorId="2" shapeId="0">
      <text>
        <t>Việt Hoàng:
25.990.000</t>
      </text>
    </comment>
    <comment ref="F17" authorId="4" shapeId="0">
      <text>
        <t>Người dùng Không xác định:
25.890</t>
      </text>
    </comment>
    <comment ref="B18" authorId="0" shapeId="0">
      <text>
        <t>was 36640</t>
      </text>
    </comment>
    <comment ref="C18" authorId="3" shapeId="0">
      <text>
        <t>W10 33090</t>
      </text>
    </comment>
    <comment ref="D18" authorId="2" shapeId="0">
      <text>
        <t>Việt Hoàng:
33.590.000</t>
      </text>
    </comment>
    <comment ref="F18" authorId="5" shapeId="0">
      <text>
        <t>chit trang:
32.990</t>
      </text>
    </comment>
    <comment ref="G18" authorId="1" shapeId="0">
      <text>
        <t>Tran Dat:
35990</t>
      </text>
    </comment>
    <comment ref="G19" authorId="1" shapeId="0">
      <text>
        <t>Tran Dat:
5690</t>
      </text>
    </comment>
    <comment ref="G20" authorId="1" shapeId="0">
      <text>
        <t>Tran Dat:
6590</t>
      </text>
    </comment>
    <comment ref="G21" authorId="1" shapeId="0">
      <text>
        <t>Tran Dat:
6590</t>
      </text>
    </comment>
    <comment ref="G22" authorId="1" shapeId="0">
      <text>
        <t>Tran Dat:
7690</t>
      </text>
    </comment>
    <comment ref="G23" authorId="1" shapeId="0">
      <text>
        <t>Tran Dat:
8390</t>
      </text>
    </comment>
    <comment ref="B26" authorId="0" shapeId="0">
      <text>
        <t>was 13320
VNP100</t>
      </text>
    </comment>
    <comment ref="F27" authorId="4" shapeId="0">
      <text>
        <t>Người dùng Không xác định
18.190</t>
      </text>
    </comment>
    <comment ref="B28" authorId="0" shapeId="0">
      <text>
        <t>was 5550
VNP40</t>
      </text>
    </comment>
    <comment ref="B29" authorId="0" shapeId="0">
      <text>
        <t xml:space="preserve">was 4490
</t>
      </text>
    </comment>
    <comment ref="F29" authorId="4" shapeId="0">
      <text>
        <t>Người dùng Không xác định:
4.490</t>
      </text>
    </comment>
    <comment ref="G29" authorId="1" shapeId="0">
      <text>
        <t>Tran Dat:
4190</t>
      </text>
    </comment>
    <comment ref="B30" authorId="0" shapeId="0">
      <text>
        <t>was 3190</t>
      </text>
    </comment>
    <comment ref="F30" authorId="4" shapeId="0">
      <text>
        <t>Người dùng Không xác định:3290</t>
      </text>
    </comment>
    <comment ref="G30" authorId="1" shapeId="0">
      <text>
        <t>Tran Dat:
2890</t>
      </text>
    </comment>
    <comment ref="B31" authorId="0" shapeId="0">
      <text>
        <t>was 18090
VNP100</t>
      </text>
    </comment>
    <comment ref="C31" authorId="3" shapeId="0">
      <text>
        <t>W10 17190</t>
      </text>
    </comment>
    <comment ref="F32" authorId="4" shapeId="0">
      <text>
        <t>Người dùng Không xác định:
19.590</t>
      </text>
    </comment>
    <comment ref="B33" authorId="0" shapeId="0">
      <text>
        <t>was 26140
VNP150</t>
      </text>
    </comment>
    <comment ref="C34" authorId="3" shapeId="0">
      <text>
        <t>W10 24290</t>
      </text>
    </comment>
    <comment ref="D34" authorId="2" shapeId="0">
      <text>
        <t>Việt Hoàng:
24.290.000</t>
      </text>
    </comment>
    <comment ref="F34" authorId="4" shapeId="0">
      <text>
        <t>Người dùng Không xác định:
24.290</t>
      </text>
    </comment>
    <comment ref="G34" authorId="1" shapeId="0">
      <text>
        <t>Tran Dat:
24290</t>
      </text>
    </comment>
    <comment ref="D35" authorId="2" shapeId="0">
      <text>
        <t>Việt Hoàng:
29.490.000</t>
      </text>
    </comment>
    <comment ref="F35" authorId="4" shapeId="0">
      <text>
        <t>Người dùng Không xác định:
28.990</t>
      </text>
    </comment>
    <comment ref="G35" authorId="1" shapeId="0">
      <text>
        <t>Tran Dat:
29490</t>
      </text>
    </comment>
    <comment ref="G36" authorId="1" shapeId="0">
      <text>
        <t>Tran Dat:
38290</t>
      </text>
    </comment>
  </commentList>
</comments>
</file>

<file path=xl/comments/comment74.xml><?xml version="1.0" encoding="utf-8"?>
<comments xmlns="http://schemas.openxmlformats.org/spreadsheetml/2006/main">
  <authors>
    <author>Microsoft Office User</author>
    <author>Tran Dat</author>
    <author>chit trang</author>
    <author>Việt Hoàng</author>
    <author>Duy</author>
    <author>Người dùng Khách</author>
  </authors>
  <commentList>
    <comment ref="E2" authorId="0" shapeId="0">
      <text>
        <t>giờ vàng</t>
      </text>
    </comment>
    <comment ref="G2" authorId="1" shapeId="0">
      <text>
        <t>Tran Dat:
15890</t>
      </text>
    </comment>
    <comment ref="E6" authorId="0" shapeId="0">
      <text>
        <t>giờ vàng</t>
      </text>
    </comment>
    <comment ref="F6" authorId="2" shapeId="0">
      <text>
        <t>chit trang:
14.990</t>
      </text>
    </comment>
    <comment ref="G6" authorId="1" shapeId="0">
      <text>
        <t>Tran Dat:
15890</t>
      </text>
    </comment>
    <comment ref="E7" authorId="0" shapeId="0">
      <text>
        <t>Giờ vàng</t>
      </text>
    </comment>
    <comment ref="B8" authorId="0" shapeId="0">
      <text>
        <t>was 24640000
VNP150</t>
      </text>
    </comment>
    <comment ref="E8" authorId="0" shapeId="0">
      <text>
        <t>Giờ vàng</t>
      </text>
    </comment>
    <comment ref="D9" authorId="3" shapeId="0">
      <text>
        <t>Việt Hoàng:
25.090.000</t>
      </text>
    </comment>
    <comment ref="E9" authorId="0" shapeId="0">
      <text>
        <t xml:space="preserve">Giờ vàng
</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10" authorId="0" shapeId="0">
      <text>
        <t xml:space="preserve">Giờ vàng
</t>
      </text>
    </comment>
    <comment ref="F10" authorId="2" shapeId="0">
      <text>
        <t>chit trang:
29.790</t>
      </text>
    </comment>
    <comment ref="G10" authorId="1" shapeId="0">
      <text>
        <t>Tran Dat:
29.550</t>
      </text>
    </comment>
    <comment ref="C12" authorId="4" shapeId="0">
      <text>
        <t>W10 18790</t>
      </text>
    </comment>
    <comment ref="D12" authorId="3" shapeId="0">
      <text>
        <t>Việt Hoàng:
18.590.000</t>
      </text>
    </comment>
    <comment ref="F12" authorId="2" shapeId="0">
      <text>
        <t>chit trang:
18.490</t>
      </text>
    </comment>
    <comment ref="B13" authorId="0" shapeId="0">
      <text>
        <t>was 29140000
VNP150</t>
      </text>
    </comment>
    <comment ref="B14" authorId="0" shapeId="0">
      <text>
        <t>was 18440</t>
      </text>
    </comment>
    <comment ref="D15" authorId="3" shapeId="0">
      <text>
        <t>Việt Hoàng:
12.690.000</t>
      </text>
    </comment>
    <comment ref="E15" authorId="0" shapeId="0">
      <text>
        <t>was 12690
FS</t>
      </text>
    </comment>
    <comment ref="B16" authorId="0" shapeId="0">
      <text>
        <t>was 13190
VNP100</t>
      </text>
    </comment>
    <comment ref="E16" authorId="0" shapeId="0">
      <text>
        <t>Giờ vàng</t>
      </text>
    </comment>
    <comment ref="F16" authorId="5" shapeId="0">
      <text>
        <t>Người dùng Không xác định:
11.390</t>
      </text>
    </comment>
    <comment ref="C17" authorId="4" shapeId="0">
      <text>
        <t>W10 11790</t>
      </text>
    </comment>
    <comment ref="D17" authorId="3" shapeId="0">
      <text>
        <t>Việt Hoàng:
11.790.000</t>
      </text>
    </comment>
    <comment ref="E17" authorId="0" shapeId="0">
      <text>
        <t>was 11276
vnp1%</t>
      </text>
    </comment>
    <comment ref="F17" authorId="5" shapeId="0">
      <text>
        <t>Người dùng Không xác định:
11.790</t>
      </text>
    </comment>
    <comment ref="B18" authorId="0" shapeId="0">
      <text>
        <t>was 7040
VNP40</t>
      </text>
    </comment>
    <comment ref="C18" authorId="4" shapeId="0">
      <text>
        <t>W10 8790</t>
      </text>
    </comment>
    <comment ref="E18" authorId="0" shapeId="0">
      <text>
        <t>was 8603
vnp1%</t>
      </text>
    </comment>
    <comment ref="F18" authorId="5" shapeId="0">
      <text>
        <t>Người dùng Không xác định:
8.690</t>
      </text>
    </comment>
    <comment ref="G18" authorId="1" shapeId="0">
      <text>
        <t>Tran Dat:
8590</t>
      </text>
    </comment>
    <comment ref="B19" authorId="0" shapeId="0">
      <text>
        <t>was 14390</t>
      </text>
    </comment>
    <comment ref="C19" authorId="4" shapeId="0">
      <text>
        <t>W10 14690</t>
      </text>
    </comment>
    <comment ref="D19" authorId="3" shapeId="0">
      <text>
        <t>Việt Hoàng:
14.490.000</t>
      </text>
    </comment>
    <comment ref="E19" authorId="0" shapeId="0">
      <text>
        <t>was 14048
vnp1%</t>
      </text>
    </comment>
    <comment ref="F19" authorId="5" shapeId="0">
      <text>
        <t>Người dùng Không xác định:
14.590</t>
      </text>
    </comment>
    <comment ref="G19" authorId="1" shapeId="0">
      <text>
        <t>Tran Dat:
14490</t>
      </text>
    </comment>
    <comment ref="C20" authorId="4" shapeId="0">
      <text>
        <t>W10 20790</t>
      </text>
    </comment>
    <comment ref="D20" authorId="3" shapeId="0">
      <text>
        <t>Việt Hoàng:
20.590.000</t>
      </text>
    </comment>
    <comment ref="F20" authorId="5" shapeId="0">
      <text>
        <t>Người dùng Không xác định:
19.990k</t>
      </text>
    </comment>
    <comment ref="G20" authorId="1" shapeId="0">
      <text>
        <t>Tran Dat:19990</t>
      </text>
    </comment>
    <comment ref="C21" authorId="4" shapeId="0">
      <text>
        <t>W10 25990</t>
      </text>
    </comment>
    <comment ref="D21" authorId="3" shapeId="0">
      <text>
        <t>Việt Hoàng:
25.990.000</t>
      </text>
    </comment>
    <comment ref="F21" authorId="5" shapeId="0">
      <text>
        <t>Người dùng Không xác định:
25.890</t>
      </text>
    </comment>
    <comment ref="B22" authorId="0" shapeId="0">
      <text>
        <t>was 36640</t>
      </text>
    </comment>
    <comment ref="C22" authorId="4" shapeId="0">
      <text>
        <t>W10 33090</t>
      </text>
    </comment>
    <comment ref="D22" authorId="3" shapeId="0">
      <text>
        <t>Việt Hoàng:
33.590.000</t>
      </text>
    </comment>
    <comment ref="F22" authorId="2" shapeId="0">
      <text>
        <t>chit trang:
32.990</t>
      </text>
    </comment>
    <comment ref="G22" authorId="1" shapeId="0">
      <text>
        <t>Tran Dat:
35990</t>
      </text>
    </comment>
    <comment ref="G23" authorId="1" shapeId="0">
      <text>
        <t>Tran Dat:
5690</t>
      </text>
    </comment>
    <comment ref="G24" authorId="1" shapeId="0">
      <text>
        <t>Tran Dat:
6590</t>
      </text>
    </comment>
    <comment ref="G25" authorId="1" shapeId="0">
      <text>
        <t>Tran Dat:
6590</t>
      </text>
    </comment>
    <comment ref="G26" authorId="1" shapeId="0">
      <text>
        <t>Tran Dat:
7690</t>
      </text>
    </comment>
    <comment ref="G27" authorId="1" shapeId="0">
      <text>
        <t>Tran Dat:
8390</t>
      </text>
    </comment>
    <comment ref="B30" authorId="0" shapeId="0">
      <text>
        <t>was 13320
VNP100</t>
      </text>
    </comment>
    <comment ref="F31" authorId="5" shapeId="0">
      <text>
        <t>Người dùng Không xác định
18.190</t>
      </text>
    </comment>
    <comment ref="B32" authorId="0" shapeId="0">
      <text>
        <t>was 5550
VNP40</t>
      </text>
    </comment>
    <comment ref="B33" authorId="0" shapeId="0">
      <text>
        <t xml:space="preserve">was 4490
</t>
      </text>
    </comment>
    <comment ref="F33" authorId="5" shapeId="0">
      <text>
        <t>Người dùng Không xác định:
4.490</t>
      </text>
    </comment>
    <comment ref="G33" authorId="1" shapeId="0">
      <text>
        <t>Tran Dat:
4190</t>
      </text>
    </comment>
    <comment ref="B34" authorId="0" shapeId="0">
      <text>
        <t>was 3190</t>
      </text>
    </comment>
    <comment ref="F34" authorId="5" shapeId="0">
      <text>
        <t>Người dùng Không xác định:3290</t>
      </text>
    </comment>
    <comment ref="G34" authorId="1" shapeId="0">
      <text>
        <t>Tran Dat:
2890</t>
      </text>
    </comment>
    <comment ref="B35" authorId="0" shapeId="0">
      <text>
        <t>was 18090
VNP100</t>
      </text>
    </comment>
    <comment ref="C35" authorId="4" shapeId="0">
      <text>
        <t>W10 17190</t>
      </text>
    </comment>
    <comment ref="F36" authorId="5" shapeId="0">
      <text>
        <t>Người dùng Không xác định:
19.590</t>
      </text>
    </comment>
    <comment ref="B37" authorId="0" shapeId="0">
      <text>
        <t>was 26140
VNP150</t>
      </text>
    </comment>
    <comment ref="C38" authorId="4" shapeId="0">
      <text>
        <t>W10 24290</t>
      </text>
    </comment>
    <comment ref="D38" authorId="3" shapeId="0">
      <text>
        <t>Việt Hoàng:
24.290.000</t>
      </text>
    </comment>
    <comment ref="F38" authorId="5" shapeId="0">
      <text>
        <t>Người dùng Không xác định:
24.290</t>
      </text>
    </comment>
    <comment ref="G38" authorId="1" shapeId="0">
      <text>
        <t>Tran Dat:
24290</t>
      </text>
    </comment>
    <comment ref="D39" authorId="3" shapeId="0">
      <text>
        <t>Việt Hoàng:
29.490.000</t>
      </text>
    </comment>
    <comment ref="F39" authorId="5" shapeId="0">
      <text>
        <t>Người dùng Không xác định:
28.990</t>
      </text>
    </comment>
    <comment ref="G39" authorId="1" shapeId="0">
      <text>
        <t>Tran Dat:
29490</t>
      </text>
    </comment>
    <comment ref="G40" authorId="1" shapeId="0">
      <text>
        <t>Tran Dat:
38290</t>
      </text>
    </comment>
  </commentList>
</comments>
</file>

<file path=xl/comments/comment75.xml><?xml version="1.0" encoding="utf-8"?>
<comments xmlns="http://schemas.openxmlformats.org/spreadsheetml/2006/main">
  <authors>
    <author>Microsoft Office User</author>
    <author>Duy Ha Minh</author>
    <author>Tran Dat</author>
    <author>Duy</author>
    <author>Việt Hoàng</author>
    <author>Người dùng Khách</author>
  </authors>
  <commentList>
    <comment ref="E2" authorId="0" shapeId="0">
      <text>
        <t>VNP500K</t>
      </text>
    </comment>
    <comment ref="E3" authorId="0" shapeId="0">
      <text>
        <t>VNP500</t>
      </text>
    </comment>
    <comment ref="E4" authorId="0" shapeId="0">
      <text>
        <t>VNP500</t>
      </text>
    </comment>
    <comment ref="E6" authorId="0" shapeId="0">
      <text>
        <t>giờ vàng</t>
      </text>
    </comment>
    <comment ref="E7" authorId="0" shapeId="0">
      <text>
        <t>Giờ vàng</t>
      </text>
    </comment>
    <comment ref="B8" authorId="0" shapeId="0">
      <text>
        <t>was 24640000
VNP150</t>
      </text>
    </comment>
    <comment ref="E8" authorId="0" shapeId="0">
      <text>
        <t>Giờ vàng</t>
      </text>
    </comment>
    <comment ref="C9" authorId="1" shapeId="0">
      <text>
        <t>W12 24.990</t>
      </text>
    </comment>
    <comment ref="E9" authorId="0" shapeId="0">
      <text>
        <t xml:space="preserve">Giờ vàng
</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E10" authorId="0" shapeId="0">
      <text>
        <t xml:space="preserve">Giờ vàng
</t>
      </text>
    </comment>
    <comment ref="G10" authorId="2" shapeId="0">
      <text>
        <t>Tran Dat:
29.490</t>
      </text>
    </comment>
    <comment ref="C11" authorId="1" shapeId="0">
      <text>
        <t>W12 15.290</t>
      </text>
    </comment>
    <comment ref="C12" authorId="3" shapeId="0">
      <text>
        <t>W12 18590</t>
      </text>
    </comment>
    <comment ref="C13" authorId="1" shapeId="0">
      <text>
        <t>W12 12390</t>
      </text>
    </comment>
    <comment ref="D13" authorId="4" shapeId="0">
      <text>
        <t>Việt Hoàng:
12.390.000</t>
      </text>
    </comment>
    <comment ref="E13" authorId="0" shapeId="0">
      <text>
        <t>was 12690
FS</t>
      </text>
    </comment>
    <comment ref="F13" authorId="5" shapeId="0">
      <text>
        <t>Người dùng Không xác định:
12.390</t>
      </text>
    </comment>
    <comment ref="B14" authorId="0" shapeId="0">
      <text>
        <t>was 13190
VNP100</t>
      </text>
    </comment>
    <comment ref="E14" authorId="0" shapeId="0">
      <text>
        <t>Giờ vàng</t>
      </text>
    </comment>
    <comment ref="F14" authorId="5" shapeId="0">
      <text>
        <t>Người dùng Không xác định:
11.290</t>
      </text>
    </comment>
    <comment ref="B16" authorId="0" shapeId="0">
      <text>
        <t>was 7040
VNP40</t>
      </text>
    </comment>
    <comment ref="G16" authorId="2" shapeId="0">
      <text>
        <t>Tran Dat:
9490</t>
      </text>
    </comment>
    <comment ref="B17" authorId="0" shapeId="0">
      <text>
        <t>was 14390</t>
      </text>
    </comment>
    <comment ref="C18" authorId="3" shapeId="0">
      <text>
        <t>W12 21690</t>
      </text>
    </comment>
    <comment ref="F18" authorId="5" shapeId="0">
      <text>
        <t>Người dùng Không xác định:
19.990k</t>
      </text>
    </comment>
    <comment ref="C19" authorId="3" shapeId="0">
      <text>
        <t>W12 26990</t>
      </text>
    </comment>
    <comment ref="F19" authorId="5" shapeId="0">
      <text>
        <t>Người dùng Không xác định:
26690.</t>
      </text>
    </comment>
    <comment ref="G19" authorId="2" shapeId="0">
      <text>
        <t>Tran Dat:
25890</t>
      </text>
    </comment>
    <comment ref="B20" authorId="0" shapeId="0">
      <text>
        <t>was 36640</t>
      </text>
    </comment>
    <comment ref="E21" authorId="0" shapeId="0">
      <text>
        <t>was 5732
vnp1%</t>
      </text>
    </comment>
    <comment ref="G21" authorId="2" shapeId="0">
      <text>
        <t>Tran Dat:
5890</t>
      </text>
    </comment>
    <comment ref="G22" authorId="2" shapeId="0">
      <text>
        <t>Tran Dat:
7190</t>
      </text>
    </comment>
    <comment ref="E23" authorId="0" shapeId="0">
      <text>
        <t>was 6128
vnp1%</t>
      </text>
    </comment>
    <comment ref="G23" authorId="2" shapeId="0">
      <text>
        <t>6790</t>
      </text>
    </comment>
    <comment ref="G24" authorId="2" shapeId="0">
      <text>
        <t>Tran Dat:
7790</t>
      </text>
    </comment>
    <comment ref="E25" authorId="0" shapeId="0">
      <text>
        <t>was 10187
vnp1%</t>
      </text>
    </comment>
    <comment ref="F25" authorId="5" shapeId="0">
      <text>
        <t>Người dùng Không xác định:
10.390</t>
      </text>
    </comment>
    <comment ref="G25" authorId="2" shapeId="0">
      <text>
        <t>Tran Dat:
8390</t>
      </text>
    </comment>
    <comment ref="E26" authorId="0" shapeId="0">
      <text>
        <t>was 12860
vnp1%</t>
      </text>
    </comment>
    <comment ref="E27" authorId="0" shapeId="0">
      <text>
        <t>was 10880
vnp1%</t>
      </text>
    </comment>
    <comment ref="B28" authorId="0" shapeId="0">
      <text>
        <t>was 13320
VNP100</t>
      </text>
    </comment>
    <comment ref="C28" authorId="1" shapeId="0">
      <text>
        <t>W12 13890</t>
      </text>
    </comment>
    <comment ref="E28" authorId="0" shapeId="0">
      <text>
        <t>was 13553
vnp1%</t>
      </text>
    </comment>
    <comment ref="F29" authorId="5" shapeId="0">
      <text>
        <t>Người dùng Không xác định
21.590</t>
      </text>
    </comment>
    <comment ref="B30" authorId="0" shapeId="0">
      <text>
        <t>was 5550
VNP40</t>
      </text>
    </comment>
    <comment ref="B31" authorId="0" shapeId="0">
      <text>
        <t xml:space="preserve">was 4490
</t>
      </text>
    </comment>
    <comment ref="B32" authorId="0" shapeId="0">
      <text>
        <t>was 3190</t>
      </text>
    </comment>
    <comment ref="E32" authorId="0" shapeId="0">
      <text>
        <t>was 3190</t>
      </text>
    </comment>
    <comment ref="B34" authorId="0" shapeId="0">
      <text>
        <t>was 18090
VNP100</t>
      </text>
    </comment>
    <comment ref="C34" authorId="3" shapeId="0">
      <text>
        <t>W12 16990</t>
      </text>
    </comment>
    <comment ref="C35" authorId="1" shapeId="0">
      <text>
        <t>W12 19590</t>
      </text>
    </comment>
    <comment ref="B36" authorId="0" shapeId="0">
      <text>
        <t>was 26140
VNP150</t>
      </text>
    </comment>
    <comment ref="F37" authorId="5" shapeId="0">
      <text>
        <t>Người dùng Không xác định:
24.990</t>
      </text>
    </comment>
  </commentList>
</comments>
</file>

<file path=xl/comments/comment76.xml><?xml version="1.0" encoding="utf-8"?>
<comments xmlns="http://schemas.openxmlformats.org/spreadsheetml/2006/main">
  <authors>
    <author>Microsoft Office User</author>
    <author>Duy Ha Minh</author>
    <author>Việt Hoàng</author>
    <author>Người dùng Khách</author>
    <author>Tran Dat</author>
    <author>Duy</author>
  </authors>
  <commentList>
    <comment ref="E2" authorId="0" shapeId="0">
      <text>
        <t>VNP500K</t>
      </text>
    </comment>
    <comment ref="E4" authorId="0" shapeId="0">
      <text>
        <t>VNP500
was 34490</t>
      </text>
    </comment>
    <comment ref="E6" authorId="0" shapeId="0">
      <text>
        <t>giờ vàng
GIảm 200K</t>
      </text>
    </comment>
    <comment ref="C7" authorId="1" shapeId="0">
      <text>
        <t>W13 18.890</t>
      </text>
    </comment>
    <comment ref="D7" authorId="2" shapeId="0">
      <text>
        <t>Việt Hoàng:
18.890.000</t>
      </text>
    </comment>
    <comment ref="E7" authorId="0" shapeId="0">
      <text>
        <t>Giờ vàng</t>
      </text>
    </comment>
    <comment ref="F7" authorId="3" shapeId="0">
      <text>
        <t>Người dùng Không xác định:
18.790</t>
      </text>
    </comment>
    <comment ref="B8" authorId="0" shapeId="0">
      <text>
        <t>was 24640000
VNP150</t>
      </text>
    </comment>
    <comment ref="C8" authorId="1" shapeId="0">
      <text>
        <t>W13 21990</t>
      </text>
    </comment>
    <comment ref="D8" authorId="2" shapeId="0">
      <text>
        <t>Việt Hoàng:
21.990.000</t>
      </text>
    </comment>
    <comment ref="E8" authorId="0" shapeId="0">
      <text>
        <t>Giờ vàng
Tăng 200K</t>
      </text>
    </comment>
    <comment ref="F8" authorId="3" shapeId="0">
      <text>
        <t>Người dùng Không xác định:
21.890</t>
      </text>
    </comment>
    <comment ref="C9" authorId="1" shapeId="0">
      <text>
        <t>W13 25.090</t>
      </text>
    </comment>
    <comment ref="D9" authorId="2" shapeId="0">
      <text>
        <t>Việt Hoàng:
24.990.000</t>
      </text>
    </comment>
    <comment ref="E9" authorId="0" shapeId="0">
      <text>
        <t xml:space="preserve">Giờ vàng
</t>
      </text>
    </comment>
    <comment ref="F9" authorId="3" shapeId="0">
      <text>
        <t>Người dùng Không xác định:
24.890</t>
      </text>
    </comment>
    <comment ref="G9" authorId="4" shapeId="0">
      <text>
        <t>Tran Dat:
24590</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1" shapeId="0">
      <text>
        <t>W13 30090</t>
      </text>
    </comment>
    <comment ref="D10" authorId="2" shapeId="0">
      <text>
        <t>Việt Hoàng:
29.990.000</t>
      </text>
    </comment>
    <comment ref="E10" authorId="0" shapeId="0">
      <text>
        <t xml:space="preserve">Giờ vàng
</t>
      </text>
    </comment>
    <comment ref="F10" authorId="3" shapeId="0">
      <text>
        <t>Người dùng Không xác định:
29.990</t>
      </text>
    </comment>
    <comment ref="G10" authorId="4" shapeId="0">
      <text>
        <t>Tran Dat:
29.490</t>
      </text>
    </comment>
    <comment ref="C11" authorId="1" shapeId="0">
      <text>
        <t>W13 15.490</t>
      </text>
    </comment>
    <comment ref="D11" authorId="2" shapeId="0">
      <text>
        <t>Việt Hoàng:
15.290.000</t>
      </text>
    </comment>
    <comment ref="F11" authorId="3" shapeId="0">
      <text>
        <t>Người dùng Không xác định:
15390</t>
      </text>
    </comment>
    <comment ref="G11" authorId="4" shapeId="0">
      <text>
        <t>Tran Dat:15090</t>
      </text>
    </comment>
    <comment ref="C12" authorId="5" shapeId="0">
      <text>
        <t>W13 18890</t>
      </text>
    </comment>
    <comment ref="D12" authorId="2" shapeId="0">
      <text>
        <t>Việt Hoàng:
18.790.000</t>
      </text>
    </comment>
    <comment ref="E12" authorId="0" shapeId="0">
      <text>
        <t>Giờ vàng
Gỉam 300K</t>
      </text>
    </comment>
    <comment ref="C13" authorId="1" shapeId="0">
      <text>
        <t>W13 12590</t>
      </text>
    </comment>
    <comment ref="D13" authorId="2" shapeId="0">
      <text>
        <t>Việt Hoàng:
12.490.000</t>
      </text>
    </comment>
    <comment ref="E13" authorId="0" shapeId="0">
      <text>
        <t>Giờ vàng
Tăng 200K</t>
      </text>
    </comment>
    <comment ref="F13" authorId="3" shapeId="0">
      <text>
        <t>Người dùng Không xác định:
12.190</t>
      </text>
    </comment>
    <comment ref="B14" authorId="0" shapeId="0">
      <text>
        <t>was 13190
VNP100</t>
      </text>
    </comment>
    <comment ref="C14" authorId="1" shapeId="0">
      <text>
        <t>W13 11590</t>
      </text>
    </comment>
    <comment ref="D14" authorId="2" shapeId="0">
      <text>
        <t>Việt Hoàng:
11.490.000</t>
      </text>
    </comment>
    <comment ref="E14" authorId="0" shapeId="0">
      <text>
        <t>Giờ vàng
Giảm 100K</t>
      </text>
    </comment>
    <comment ref="F14" authorId="3" shapeId="0">
      <text>
        <t>Người dùng Không xác định:
11.390</t>
      </text>
    </comment>
    <comment ref="B16" authorId="0" shapeId="0">
      <text>
        <t>was 7040
VNP40</t>
      </text>
    </comment>
    <comment ref="D16" authorId="2" shapeId="0">
      <text>
        <t>Việt Hoàng
8.490.000</t>
      </text>
    </comment>
    <comment ref="E16" authorId="0" shapeId="0">
      <text>
        <t>was 9296</t>
      </text>
    </comment>
    <comment ref="B17" authorId="0" shapeId="0">
      <text>
        <t>was 14390</t>
      </text>
    </comment>
    <comment ref="E17" authorId="0" shapeId="0">
      <text>
        <t>was 15830</t>
      </text>
    </comment>
    <comment ref="C18" authorId="5" shapeId="0">
      <text>
        <t>W12 21690</t>
      </text>
    </comment>
    <comment ref="C19" authorId="5" shapeId="0">
      <text>
        <t>W12 26990</t>
      </text>
    </comment>
    <comment ref="D19" authorId="2" shapeId="0">
      <text>
        <t>Việt Hoàng:
26.890.000</t>
      </text>
    </comment>
    <comment ref="E19" authorId="0" shapeId="0">
      <text>
        <t>was 26290</t>
      </text>
    </comment>
    <comment ref="F19" authorId="3" shapeId="0">
      <text>
        <t>Người dùng Không xác định:
26990.</t>
      </text>
    </comment>
    <comment ref="G19" authorId="4" shapeId="0">
      <text>
        <t>Tran Dat:
26590</t>
      </text>
    </comment>
    <comment ref="B20" authorId="0" shapeId="0">
      <text>
        <t>was 36640</t>
      </text>
    </comment>
    <comment ref="D20" authorId="2" shapeId="0">
      <text>
        <t>Việt Hoàng:
35.990.000</t>
      </text>
    </comment>
    <comment ref="E20" authorId="0" shapeId="0">
      <text>
        <t>was 35290</t>
      </text>
    </comment>
    <comment ref="F20" authorId="3" shapeId="0">
      <text>
        <t>Người dùng Không xác định:
36.290</t>
      </text>
    </comment>
    <comment ref="E21" authorId="0" shapeId="0">
      <text>
        <t>was 5435</t>
      </text>
    </comment>
    <comment ref="E22" authorId="0" shapeId="0">
      <text>
        <t>was 6920</t>
      </text>
    </comment>
    <comment ref="E23" authorId="0" shapeId="0">
      <text>
        <t>was 6326</t>
      </text>
    </comment>
    <comment ref="E24" authorId="0" shapeId="0">
      <text>
        <t>was 7712</t>
      </text>
    </comment>
    <comment ref="E25" authorId="0" shapeId="0">
      <text>
        <t>was 9890</t>
      </text>
    </comment>
    <comment ref="F25" authorId="3" shapeId="0">
      <text>
        <t>Người dùng Không xác định:
10.790</t>
      </text>
    </comment>
    <comment ref="E26" authorId="0" shapeId="0">
      <text>
        <t>was 12365</t>
      </text>
    </comment>
    <comment ref="E27" authorId="0" shapeId="0">
      <text>
        <t>was 10583</t>
      </text>
    </comment>
    <comment ref="B28" authorId="0" shapeId="0">
      <text>
        <t>was 13320
VNP100</t>
      </text>
    </comment>
    <comment ref="C28" authorId="1" shapeId="0">
      <text>
        <t>W12 13890</t>
      </text>
    </comment>
    <comment ref="E28" authorId="0" shapeId="0">
      <text>
        <t>was 13150</t>
      </text>
    </comment>
    <comment ref="E29" authorId="0" shapeId="0">
      <text>
        <t>was 21790</t>
      </text>
    </comment>
    <comment ref="B30" authorId="0" shapeId="0">
      <text>
        <t>was 5550
VNP40</t>
      </text>
    </comment>
    <comment ref="E30" authorId="0" shapeId="0">
      <text>
        <t>was 5534</t>
      </text>
    </comment>
    <comment ref="B31" authorId="0" shapeId="0">
      <text>
        <t xml:space="preserve">was 4490
</t>
      </text>
    </comment>
    <comment ref="D31" authorId="2" shapeId="0">
      <text>
        <t>Việt Hoàng:
4.490.000</t>
      </text>
    </comment>
    <comment ref="E31" authorId="0" shapeId="0">
      <text>
        <t>was 4346</t>
      </text>
    </comment>
    <comment ref="F31" authorId="3" shapeId="0">
      <text>
        <t>Người dùng Không xác định:
4.590</t>
      </text>
    </comment>
    <comment ref="B32" authorId="0" shapeId="0">
      <text>
        <t>was 3190</t>
      </text>
    </comment>
    <comment ref="D32" authorId="2" shapeId="0">
      <text>
        <t>Việt Hoàng:
3.290.000</t>
      </text>
    </comment>
    <comment ref="F32" authorId="3" shapeId="0">
      <text>
        <t>Người dùng Không xác định:
3.390</t>
      </text>
    </comment>
    <comment ref="D33" authorId="2" shapeId="0">
      <text>
        <t>Việt Hoàng:
6.690.000</t>
      </text>
    </comment>
    <comment ref="B34" authorId="0" shapeId="0">
      <text>
        <t>was 18090
VNP100</t>
      </text>
    </comment>
    <comment ref="C34" authorId="5" shapeId="0">
      <text>
        <t>W12 16990</t>
      </text>
    </comment>
    <comment ref="C35" authorId="1" shapeId="0">
      <text>
        <t>W12 19590</t>
      </text>
    </comment>
    <comment ref="D35" authorId="2" shapeId="0">
      <text>
        <t>Việt Hoàng:
19.590.000</t>
      </text>
    </comment>
    <comment ref="B36" authorId="0" shapeId="0">
      <text>
        <t>was 26140
VNP150</t>
      </text>
    </comment>
    <comment ref="D37" authorId="2" shapeId="0">
      <text>
        <t>Việt Hoàng:
24.990.000</t>
      </text>
    </comment>
    <comment ref="G37" authorId="4" shapeId="0">
      <text>
        <t>Tran Dat:
24990</t>
      </text>
    </comment>
    <comment ref="D39" authorId="2" shapeId="0">
      <text>
        <t>Việt Hoàng:
38.190.000</t>
      </text>
    </comment>
  </commentList>
</comments>
</file>

<file path=xl/comments/comment77.xml><?xml version="1.0" encoding="utf-8"?>
<comments xmlns="http://schemas.openxmlformats.org/spreadsheetml/2006/main">
  <authors>
    <author>Microsoft Office User</author>
    <author>Duy Ha Minh</author>
    <author>Việt Hoàng</author>
    <author>Tran Dat</author>
    <author>Người dùng Khách</author>
    <author>Duy</author>
  </authors>
  <commentList>
    <comment ref="E2" authorId="0" shapeId="0">
      <text>
        <t>VNP500K</t>
      </text>
    </comment>
    <comment ref="E4" authorId="0" shapeId="0">
      <text>
        <t>VNP500
was 34490</t>
      </text>
    </comment>
    <comment ref="E6" authorId="0" shapeId="0">
      <text>
        <t>giờ vàng
GIảm 200K</t>
      </text>
    </comment>
    <comment ref="C7" authorId="1" shapeId="0">
      <text>
        <t>W1 19990</t>
      </text>
    </comment>
    <comment ref="D7" authorId="2" shapeId="0">
      <text>
        <t>Việt Hoàng:
19.990.000</t>
      </text>
    </comment>
    <comment ref="E7" authorId="0" shapeId="0">
      <text>
        <t>Giờ vàng</t>
      </text>
    </comment>
    <comment ref="G7" authorId="3" shapeId="0">
      <text>
        <t>Tran Dat:
18590</t>
      </text>
    </comment>
    <comment ref="B8" authorId="0" shapeId="0">
      <text>
        <t>was 24640000
VNP150</t>
      </text>
    </comment>
    <comment ref="C8" authorId="1" shapeId="0">
      <text>
        <t>W1 22990</t>
      </text>
    </comment>
    <comment ref="D8" authorId="2" shapeId="0">
      <text>
        <t>Việt Hoàng:
22.990.000</t>
      </text>
    </comment>
    <comment ref="E8" authorId="0" shapeId="0">
      <text>
        <t>Giờ vàng
Tăng 200K</t>
      </text>
    </comment>
    <comment ref="G8" authorId="3" shapeId="0">
      <text>
        <t>Tran Dat:
21690</t>
      </text>
    </comment>
    <comment ref="E9" authorId="0" shapeId="0">
      <text>
        <t xml:space="preserve">Giờ vàng
</t>
      </text>
    </comment>
    <comment ref="F9" authorId="4" shapeId="0">
      <text>
        <t>Người dùng Không xác định:
25.390</t>
      </text>
    </comment>
    <comment ref="G9" authorId="3" shapeId="0">
      <text>
        <t>Tran Dat:
25490</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2" shapeId="0">
      <text>
        <t>Việt Hoàng:
29.990.000</t>
      </text>
    </comment>
    <comment ref="E10" authorId="0" shapeId="0">
      <text>
        <t xml:space="preserve">Giờ vàng
</t>
      </text>
    </comment>
    <comment ref="G10" authorId="3" shapeId="0">
      <text>
        <t>Tran Dat:
29.490</t>
      </text>
    </comment>
    <comment ref="C11" authorId="1" shapeId="0">
      <text>
        <t>W1 15990</t>
      </text>
    </comment>
    <comment ref="D11" authorId="2" shapeId="0">
      <text>
        <t>Việt Hoàng:
15.990.000</t>
      </text>
    </comment>
    <comment ref="G11" authorId="3" shapeId="0">
      <text>
        <t>Tran Dat:15990</t>
      </text>
    </comment>
    <comment ref="D12" authorId="2" shapeId="0">
      <text>
        <t>Việt Hoàng:
18.890.000</t>
      </text>
    </comment>
    <comment ref="E12" authorId="0" shapeId="0">
      <text>
        <t>Giờ vàng
Gỉam 300K</t>
      </text>
    </comment>
    <comment ref="F12" authorId="4" shapeId="0">
      <text>
        <t>Người dùng Không xác định:
18.790</t>
      </text>
    </comment>
    <comment ref="C13" authorId="1" shapeId="0">
      <text>
        <t>W1 12990</t>
      </text>
    </comment>
    <comment ref="D13" authorId="2" shapeId="0">
      <text>
        <t>Việt Hoàng:
12.990.000</t>
      </text>
    </comment>
    <comment ref="E13" authorId="0" shapeId="0">
      <text>
        <t>Giờ vàng
Tăng 200K</t>
      </text>
    </comment>
    <comment ref="F13" authorId="4" shapeId="0">
      <text>
        <t>Người dùng Không xác định:
12.890</t>
      </text>
    </comment>
    <comment ref="B14" authorId="0" shapeId="0">
      <text>
        <t>was 13190
VNP100</t>
      </text>
    </comment>
    <comment ref="C14" authorId="1" shapeId="0">
      <text>
        <t>W1 11990</t>
      </text>
    </comment>
    <comment ref="D14" authorId="2" shapeId="0">
      <text>
        <t>Việt Hoàng:
11.890.000</t>
      </text>
    </comment>
    <comment ref="E14" authorId="0" shapeId="0">
      <text>
        <t>Giờ vàng
Giảm 100K</t>
      </text>
    </comment>
    <comment ref="F14" authorId="4" shapeId="0">
      <text>
        <t>Người dùng Không xác định:
11.790</t>
      </text>
    </comment>
    <comment ref="E15" authorId="0" shapeId="0">
      <text>
        <t>was 13652</t>
      </text>
    </comment>
    <comment ref="B16" authorId="0" shapeId="0">
      <text>
        <t>was 7040
VNP40</t>
      </text>
    </comment>
    <comment ref="D16" authorId="2" shapeId="0">
      <text>
        <t>Việt Hoàng
9.590.000</t>
      </text>
    </comment>
    <comment ref="B17" authorId="0" shapeId="0">
      <text>
        <t>was 14390</t>
      </text>
    </comment>
    <comment ref="C18" authorId="5" shapeId="0">
      <text>
        <t>W1 21590</t>
      </text>
    </comment>
    <comment ref="C19" authorId="5" shapeId="0">
      <text>
        <t>W1 27090</t>
      </text>
    </comment>
    <comment ref="B20" authorId="0" shapeId="0">
      <text>
        <t>was 36640</t>
      </text>
    </comment>
    <comment ref="B28" authorId="0" shapeId="0">
      <text>
        <t>was 13320
VNP100</t>
      </text>
    </comment>
    <comment ref="B30" authorId="0" shapeId="0">
      <text>
        <t>was 5550
VNP40</t>
      </text>
    </comment>
    <comment ref="B31" authorId="0" shapeId="0">
      <text>
        <t xml:space="preserve">was 4490
</t>
      </text>
    </comment>
    <comment ref="B32" authorId="0" shapeId="0">
      <text>
        <t>was 3190</t>
      </text>
    </comment>
    <comment ref="E33" authorId="0" shapeId="0">
      <text>
        <t xml:space="preserve">was 6790
</t>
      </text>
    </comment>
    <comment ref="B34" authorId="0" shapeId="0">
      <text>
        <t>was 18090
VNP100</t>
      </text>
    </comment>
    <comment ref="C35" authorId="1" shapeId="0">
      <text>
        <t>W1 19790</t>
      </text>
    </comment>
    <comment ref="D35" authorId="2" shapeId="0">
      <text>
        <t>Việt Hoàng:
19.890.000</t>
      </text>
    </comment>
    <comment ref="F35" authorId="4" shapeId="0">
      <text>
        <t>Người dùng Không xác định:
19.790</t>
      </text>
    </comment>
    <comment ref="B36" authorId="0" shapeId="0">
      <text>
        <t>was 26140
VNP150</t>
      </text>
    </comment>
    <comment ref="G37" authorId="3" shapeId="0">
      <text>
        <t>Tran Dat:
24990</t>
      </text>
    </comment>
    <comment ref="D38" authorId="2" shapeId="0">
      <text>
        <t>Việt Hoàng:
30.490.000</t>
      </text>
    </comment>
    <comment ref="F38" authorId="4" shapeId="0">
      <text>
        <t>Người dùng Không xác định:
29.290</t>
      </text>
    </comment>
    <comment ref="F39" authorId="4" shapeId="0">
      <text>
        <t>Người dùng Không xác định:
37.590</t>
      </text>
    </comment>
  </commentList>
</comments>
</file>

<file path=xl/comments/comment78.xml><?xml version="1.0" encoding="utf-8"?>
<comments xmlns="http://schemas.openxmlformats.org/spreadsheetml/2006/main">
  <authors>
    <author>Microsoft Office User</author>
    <author>Duy</author>
    <author>Tran Dat</author>
    <author>Việt Hoàng</author>
    <author>Người dùng Khách</author>
    <author>Duy Ha Minh</author>
  </authors>
  <commentList>
    <comment ref="E2" authorId="0" shapeId="0">
      <text>
        <t>VNP500K</t>
      </text>
    </comment>
    <comment ref="C3" authorId="1" shapeId="0">
      <text>
        <t>W2 31990</t>
      </text>
    </comment>
    <comment ref="G3" authorId="2" shapeId="0">
      <text>
        <t xml:space="preserve">Tran Dat:
30990000
</t>
      </text>
    </comment>
    <comment ref="E4" authorId="0" shapeId="0">
      <text>
        <t>VNP500
was 34490</t>
      </text>
    </comment>
    <comment ref="G4" authorId="2" shapeId="0">
      <text>
        <t>Tran Dat:
34990</t>
      </text>
    </comment>
    <comment ref="C6" authorId="1" shapeId="0">
      <text>
        <t>W2 15990</t>
      </text>
    </comment>
    <comment ref="D6" authorId="3" shapeId="0">
      <text>
        <t>Việt Hoàng:
15.990.000</t>
      </text>
    </comment>
    <comment ref="E6" authorId="0" shapeId="0">
      <text>
        <t>giờ vàng
GIảm 200K</t>
      </text>
    </comment>
    <comment ref="F6" authorId="4" shapeId="0">
      <text>
        <t>Người dùng Không xác định:
15.590</t>
      </text>
    </comment>
    <comment ref="C7" authorId="5" shapeId="0">
      <text>
        <t>W2 20990</t>
      </text>
    </comment>
    <comment ref="D7" authorId="3" shapeId="0">
      <text>
        <t>Việt Hoàng:
20.990.000</t>
      </text>
    </comment>
    <comment ref="E7" authorId="0" shapeId="0">
      <text>
        <t>was 18490</t>
      </text>
    </comment>
    <comment ref="F7" authorId="4" shapeId="0">
      <text>
        <t>Người dùng Không xác định:
18.990k</t>
      </text>
    </comment>
    <comment ref="B8" authorId="0" shapeId="0">
      <text>
        <t>was 24640000
VNP150</t>
      </text>
    </comment>
    <comment ref="C8" authorId="5" shapeId="0">
      <text>
        <t>W2 23990</t>
      </text>
    </comment>
    <comment ref="D8" authorId="3" shapeId="0">
      <text>
        <t>Việt Hoàng:
23.990.000</t>
      </text>
    </comment>
    <comment ref="E8" authorId="0" shapeId="0">
      <text>
        <t>was 21890</t>
      </text>
    </comment>
    <comment ref="E9" authorId="0" shapeId="0">
      <text>
        <t xml:space="preserve">Giờ vàng
</t>
      </text>
    </comment>
    <comment ref="G9" authorId="2" shapeId="0">
      <text>
        <t>Tran Dat:
25490</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3" shapeId="0">
      <text>
        <t>Việt Hoàng:
30.490.000</t>
      </text>
    </comment>
    <comment ref="E10" authorId="0" shapeId="0">
      <text>
        <t>Giờ vàng
KH mới 400</t>
      </text>
    </comment>
    <comment ref="F10" authorId="4" shapeId="0">
      <text>
        <t>Người dùng Không xác định:
30.590</t>
      </text>
    </comment>
    <comment ref="G10" authorId="2" shapeId="0">
      <text>
        <t>Tran Dat:
30490</t>
      </text>
    </comment>
    <comment ref="C11" authorId="5" shapeId="0">
      <text>
        <t>W2 16990</t>
      </text>
    </comment>
    <comment ref="D11" authorId="3" shapeId="0">
      <text>
        <t>Việt Hoàng:
16.990.000</t>
      </text>
    </comment>
    <comment ref="E11" authorId="0" shapeId="0">
      <text>
        <t>was 15190</t>
      </text>
    </comment>
    <comment ref="F11" authorId="4" shapeId="0">
      <text>
        <t>Người dùng Không xác định:
15.990</t>
      </text>
    </comment>
    <comment ref="G11" authorId="2" shapeId="0">
      <text>
        <t>Tran Dat:15990</t>
      </text>
    </comment>
    <comment ref="E12" authorId="0" shapeId="0">
      <text>
        <t>Giờ vàng
Gỉam 300K</t>
      </text>
    </comment>
    <comment ref="F12" authorId="4" shapeId="0">
      <text>
        <t>Người dùng Không xác định:
17.990</t>
      </text>
    </comment>
    <comment ref="D13" authorId="3" shapeId="0">
      <text>
        <t>Việt Hoàng:
13.990.000</t>
      </text>
    </comment>
    <comment ref="E13" authorId="0" shapeId="0">
      <text>
        <t>was 12490</t>
      </text>
    </comment>
    <comment ref="F13" authorId="4" shapeId="0">
      <text>
        <t>Người dùng Không xác định:
13990</t>
      </text>
    </comment>
    <comment ref="G13" authorId="2" shapeId="0">
      <text>
        <t>Tran Dat:
12190</t>
      </text>
    </comment>
    <comment ref="B14" authorId="0" shapeId="0">
      <text>
        <t>was 13190
VNP100</t>
      </text>
    </comment>
    <comment ref="D14" authorId="3" shapeId="0">
      <text>
        <t>Việt Hoàng:
12.590.000</t>
      </text>
    </comment>
    <comment ref="E14" authorId="0" shapeId="0">
      <text>
        <t>was 11290</t>
      </text>
    </comment>
    <comment ref="F14" authorId="4" shapeId="0">
      <text>
        <t>Người dùng Không xác định:
12390</t>
      </text>
    </comment>
    <comment ref="C15" authorId="1" shapeId="0">
      <text>
        <t>W2 13590</t>
      </text>
    </comment>
    <comment ref="D15" authorId="3" shapeId="0">
      <text>
        <t>Việt Hoàng:
13.590.000</t>
      </text>
    </comment>
    <comment ref="E15" authorId="0" shapeId="0">
      <text>
        <t>was 13790</t>
      </text>
    </comment>
    <comment ref="F15" authorId="4" shapeId="0">
      <text>
        <t>Người dùng Không xác định:
13.390</t>
      </text>
    </comment>
    <comment ref="B16" authorId="0" shapeId="0">
      <text>
        <t>was 7040
VNP40</t>
      </text>
    </comment>
    <comment ref="C16" authorId="1" shapeId="0">
      <text>
        <t>W2 9690</t>
      </text>
    </comment>
    <comment ref="D16" authorId="3" shapeId="0">
      <text>
        <t>Việt Hoàng
8.490.000</t>
      </text>
    </comment>
    <comment ref="E16" authorId="0" shapeId="0">
      <text>
        <t>was 9390
HSSV 200</t>
      </text>
    </comment>
    <comment ref="F16" authorId="4" shapeId="0">
      <text>
        <t>Người dùng Không xác định:
9.590</t>
      </text>
    </comment>
    <comment ref="G16" authorId="2" shapeId="0">
      <text>
        <t>Tran Dat:
9190</t>
      </text>
    </comment>
    <comment ref="B17" authorId="0" shapeId="0">
      <text>
        <t>was 14390</t>
      </text>
    </comment>
    <comment ref="C17" authorId="1" shapeId="0">
      <text>
        <t>W2 16290</t>
      </text>
    </comment>
    <comment ref="D17" authorId="3" shapeId="0">
      <text>
        <t>Việt Hoàng:
16.190.000</t>
      </text>
    </comment>
    <comment ref="E17" authorId="0" shapeId="0">
      <text>
        <t>was 15790
HSSV 200</t>
      </text>
    </comment>
    <comment ref="F17" authorId="4" shapeId="0">
      <text>
        <t>Người dùng Không xác định:
16.190</t>
      </text>
    </comment>
    <comment ref="G17" authorId="2" shapeId="0">
      <text>
        <t>Tran Dat:
15.990</t>
      </text>
    </comment>
    <comment ref="C18" authorId="1" shapeId="0">
      <text>
        <t>W2 21690</t>
      </text>
    </comment>
    <comment ref="D18" authorId="3" shapeId="0">
      <text>
        <t>Việt Hoàng:
21.690.000</t>
      </text>
    </comment>
    <comment ref="F18" authorId="4" shapeId="0">
      <text>
        <t>Người dùng Không xác định:
21.690</t>
      </text>
    </comment>
    <comment ref="G18" authorId="2" shapeId="0">
      <text>
        <t xml:space="preserve">Tran Dat:
21490
</t>
      </text>
    </comment>
    <comment ref="C19" authorId="1" shapeId="0">
      <text>
        <t>W2 27290</t>
      </text>
    </comment>
    <comment ref="D19" authorId="3" shapeId="0">
      <text>
        <t>Việt Hoàng:
27.190.000</t>
      </text>
    </comment>
    <comment ref="F19" authorId="4" shapeId="0">
      <text>
        <t>Người dùng Không xác định:
27.290</t>
      </text>
    </comment>
    <comment ref="G19" authorId="2" shapeId="0">
      <text>
        <t>Tran Dat:
27390</t>
      </text>
    </comment>
    <comment ref="B20" authorId="0" shapeId="0">
      <text>
        <t>was 36640</t>
      </text>
    </comment>
    <comment ref="C20" authorId="1" shapeId="0">
      <text>
        <t>W2 36090</t>
      </text>
    </comment>
    <comment ref="F20" authorId="4" shapeId="0">
      <text>
        <t>Người dùng Không xác định:
35.890</t>
      </text>
    </comment>
    <comment ref="F22" authorId="4" shapeId="0">
      <text>
        <t>Người dùng Không xác định:
6.290</t>
      </text>
    </comment>
    <comment ref="F24" authorId="4" shapeId="0">
      <text>
        <t>Người dùng Không xác định:
5.590</t>
      </text>
    </comment>
    <comment ref="C31" authorId="1" shapeId="0">
      <text>
        <t>W2 11390</t>
      </text>
    </comment>
    <comment ref="B32" authorId="0" shapeId="0">
      <text>
        <t>was 13320
VNP100</t>
      </text>
    </comment>
    <comment ref="B39" authorId="0" shapeId="0">
      <text>
        <t>was 5550
VNP40</t>
      </text>
    </comment>
    <comment ref="B40" authorId="0" shapeId="0">
      <text>
        <t xml:space="preserve">was 4490
</t>
      </text>
    </comment>
    <comment ref="C40" authorId="1" shapeId="0">
      <text>
        <t>W2 4690</t>
      </text>
    </comment>
    <comment ref="D40" authorId="3" shapeId="0">
      <text>
        <t>Việt Hoàng:
4790000</t>
      </text>
    </comment>
    <comment ref="B41" authorId="0" shapeId="0">
      <text>
        <t>was 3190</t>
      </text>
    </comment>
    <comment ref="C41" authorId="1" shapeId="0">
      <text>
        <t>W2 3390</t>
      </text>
    </comment>
    <comment ref="D41" authorId="3" shapeId="0">
      <text>
        <t>Việt Hoàng:
3.590.000</t>
      </text>
    </comment>
    <comment ref="E41" authorId="0" shapeId="0">
      <text>
        <t>was 3390</t>
      </text>
    </comment>
    <comment ref="B43" authorId="0" shapeId="0">
      <text>
        <t>was 18090
VNP100</t>
      </text>
    </comment>
    <comment ref="C44" authorId="5" shapeId="0">
      <text>
        <t>W2 20090</t>
      </text>
    </comment>
    <comment ref="D44" authorId="3" shapeId="0">
      <text>
        <t>Việt Hoàng
20.090.000</t>
      </text>
    </comment>
    <comment ref="F44" authorId="4" shapeId="0">
      <text>
        <t>Người dùng Không xác định:20.290</t>
      </text>
    </comment>
    <comment ref="B45" authorId="0" shapeId="0">
      <text>
        <t>was 26140
VNP150</t>
      </text>
    </comment>
    <comment ref="D46" authorId="3" shapeId="0">
      <text>
        <t>Việt Hoàng:
25.090.000</t>
      </text>
    </comment>
    <comment ref="F46" authorId="4" shapeId="0">
      <text>
        <t>Người dùng Không xác định:
25.090</t>
      </text>
    </comment>
    <comment ref="G46" authorId="2" shapeId="0">
      <text>
        <t>Tran Dat:
24990</t>
      </text>
    </comment>
    <comment ref="D47" authorId="3" shapeId="0">
      <text>
        <t>Việt Hoàng:
29.690.000</t>
      </text>
    </comment>
    <comment ref="F47" authorId="4" shapeId="0">
      <text>
        <t>Người dùng Không xác định:
29.690</t>
      </text>
    </comment>
    <comment ref="D48" authorId="3" shapeId="0">
      <text>
        <t>Việt Hoàng:
37.790.000</t>
      </text>
    </comment>
    <comment ref="F48" authorId="4" shapeId="0">
      <text>
        <t>Người dùng Không xác định:
38.090</t>
      </text>
    </comment>
  </commentList>
</comments>
</file>

<file path=xl/comments/comment79.xml><?xml version="1.0" encoding="utf-8"?>
<comments xmlns="http://schemas.openxmlformats.org/spreadsheetml/2006/main">
  <authors>
    <author>Microsoft Office User</author>
    <author>Tran Dat</author>
    <author>Duy</author>
    <author>Việt Hoàng</author>
    <author>Người dùng Khách</author>
    <author>Duy Ha Minh</author>
  </authors>
  <commentList>
    <comment ref="E2" authorId="0" shapeId="0">
      <text>
        <t>VNP500K</t>
      </text>
    </comment>
    <comment ref="G3" authorId="1" shapeId="0">
      <text>
        <t xml:space="preserve">Tran Dat:
31390
</t>
      </text>
    </comment>
    <comment ref="E4" authorId="0" shapeId="0">
      <text>
        <t>VNP500
was 34490</t>
      </text>
    </comment>
    <comment ref="C6" authorId="2" shapeId="0">
      <text>
        <t>W3 14990</t>
      </text>
    </comment>
    <comment ref="D6" authorId="3" shapeId="0">
      <text>
        <t>Việt Hoàng:
15.990.000</t>
      </text>
    </comment>
    <comment ref="E6" authorId="0" shapeId="0">
      <text>
        <t>giờ vàng
GIảm 200K</t>
      </text>
    </comment>
    <comment ref="F6" authorId="4" shapeId="0">
      <text>
        <t>Người dùng Không xác định:
15.390</t>
      </text>
    </comment>
    <comment ref="G6" authorId="1" shapeId="0">
      <text>
        <t>Tran Dat:
14990</t>
      </text>
    </comment>
    <comment ref="D7" authorId="3" shapeId="0">
      <text>
        <t>Việt Hoàng:
20.990.000</t>
      </text>
    </comment>
    <comment ref="F7" authorId="4" shapeId="0">
      <text>
        <t>Người dùng Không xác định:
20590k</t>
      </text>
    </comment>
    <comment ref="B8" authorId="0" shapeId="0">
      <text>
        <t>was 24640000
VNP150</t>
      </text>
    </comment>
    <comment ref="D8" authorId="3" shapeId="0">
      <text>
        <t>Việt Hoàng:
23.990.000</t>
      </text>
    </comment>
    <comment ref="E8" authorId="0" shapeId="0">
      <text>
        <t>Giờ vàng</t>
      </text>
    </comment>
    <comment ref="F8" authorId="4" shapeId="0">
      <text>
        <t>Người dùng Không xác định:
22.890</t>
      </text>
    </comment>
    <comment ref="E9" authorId="0" shapeId="0">
      <text>
        <t>Giờ vàng</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3" shapeId="0">
      <text>
        <t>Việt Hoàng:
30.490.000</t>
      </text>
    </comment>
    <comment ref="E10" authorId="0" shapeId="0">
      <text>
        <t>Giờ vàng
KH mới 400</t>
      </text>
    </comment>
    <comment ref="F10" authorId="4" shapeId="0">
      <text>
        <t>Người dùng Không xác định:
30.290</t>
      </text>
    </comment>
    <comment ref="C11" authorId="5" shapeId="0">
      <text>
        <t>W3 17990</t>
      </text>
    </comment>
    <comment ref="D11" authorId="3" shapeId="0">
      <text>
        <t>Việt Hoàng:
16.990.000</t>
      </text>
    </comment>
    <comment ref="E11" authorId="0" shapeId="0">
      <text>
        <t>was 15190</t>
      </text>
    </comment>
    <comment ref="F11" authorId="4" shapeId="0">
      <text>
        <t>Người dùng Không xác định:
16.650</t>
      </text>
    </comment>
    <comment ref="G11" authorId="1" shapeId="0">
      <text>
        <t>Tran Dat:16890</t>
      </text>
    </comment>
    <comment ref="E12" authorId="0" shapeId="0">
      <text>
        <t>Giờ vàng
Gỉam 300K</t>
      </text>
    </comment>
    <comment ref="D13" authorId="3" shapeId="0">
      <text>
        <t>Việt Hoàng:
13.990.000</t>
      </text>
    </comment>
    <comment ref="E13" authorId="0" shapeId="0">
      <text>
        <t>was 13690
Giờ vàng</t>
      </text>
    </comment>
    <comment ref="F13" authorId="4" shapeId="0">
      <text>
        <t>Người dùng Không xác định:
13490</t>
      </text>
    </comment>
    <comment ref="B14" authorId="0" shapeId="0">
      <text>
        <t>was 13190
VNP100</t>
      </text>
    </comment>
    <comment ref="C14" authorId="2" shapeId="0">
      <text>
        <t>W3 12590</t>
      </text>
    </comment>
    <comment ref="D14" authorId="3" shapeId="0">
      <text>
        <t>Việt Hoàng:
12.590.000</t>
      </text>
    </comment>
    <comment ref="E14" authorId="0" shapeId="0">
      <text>
        <t>was 12290
Giờ vàng</t>
      </text>
    </comment>
    <comment ref="F14" authorId="4" shapeId="0">
      <text>
        <t>Người dùng Không xác định:
12090</t>
      </text>
    </comment>
    <comment ref="D15" authorId="3" shapeId="0">
      <text>
        <t>Việt Hoàng:
13.590.000</t>
      </text>
    </comment>
    <comment ref="E15" authorId="0" shapeId="0">
      <text>
        <t>HSSV 200</t>
      </text>
    </comment>
    <comment ref="B16" authorId="0" shapeId="0">
      <text>
        <t>was 7040
VNP40</t>
      </text>
    </comment>
    <comment ref="D16" authorId="3" shapeId="0">
      <text>
        <t>Việt Hoàng
8.490.000</t>
      </text>
    </comment>
    <comment ref="E16" authorId="0" shapeId="0">
      <text>
        <t>HSSV 200</t>
      </text>
    </comment>
    <comment ref="F16" authorId="4" shapeId="0">
      <text>
        <t>Người dùng Không xác định:
9.590</t>
      </text>
    </comment>
    <comment ref="B17" authorId="0" shapeId="0">
      <text>
        <t>was 14390</t>
      </text>
    </comment>
    <comment ref="D17" authorId="3" shapeId="0">
      <text>
        <t>Việt Hoàng:
16.190.000</t>
      </text>
    </comment>
    <comment ref="E17" authorId="0" shapeId="0">
      <text>
        <t>was 13790
HSSV 200</t>
      </text>
    </comment>
    <comment ref="F17" authorId="4" shapeId="0">
      <text>
        <t>Người dùng Không xác định:
13.190</t>
      </text>
    </comment>
    <comment ref="G17" authorId="1" shapeId="0">
      <text>
        <t>Tran Dat:
15.990</t>
      </text>
    </comment>
    <comment ref="C18" authorId="2" shapeId="0">
      <text>
        <t>W3 19490</t>
      </text>
    </comment>
    <comment ref="D18" authorId="3" shapeId="0">
      <text>
        <t>Việt Hoàng:
21.690.000</t>
      </text>
    </comment>
    <comment ref="G18" authorId="1" shapeId="0">
      <text>
        <t xml:space="preserve">Tran Dat:
21490
</t>
      </text>
    </comment>
    <comment ref="D19" authorId="3" shapeId="0">
      <text>
        <t>Việt Hoàng:
27.190.000</t>
      </text>
    </comment>
    <comment ref="F19" authorId="4" shapeId="0">
      <text>
        <t>Người dùng Không xác định:
27.290</t>
      </text>
    </comment>
    <comment ref="G19" authorId="1" shapeId="0">
      <text>
        <t>Tran Dat:
27390</t>
      </text>
    </comment>
    <comment ref="B20" authorId="0" shapeId="0">
      <text>
        <t>was 36640</t>
      </text>
    </comment>
    <comment ref="F20" authorId="4" shapeId="0">
      <text>
        <t>Người dùng Không xác định:
35.890</t>
      </text>
    </comment>
    <comment ref="F21" authorId="4" shapeId="0">
      <text>
        <t>Người dùng Không xác định:
5.290</t>
      </text>
    </comment>
    <comment ref="B32" authorId="0" shapeId="0">
      <text>
        <t>was 13320
VNP100</t>
      </text>
    </comment>
    <comment ref="B39" authorId="0" shapeId="0">
      <text>
        <t>was 5550
VNP40</t>
      </text>
    </comment>
    <comment ref="B40" authorId="0" shapeId="0">
      <text>
        <t xml:space="preserve">was 4490
</t>
      </text>
    </comment>
    <comment ref="C40" authorId="2" shapeId="0">
      <text>
        <t>W3 4490</t>
      </text>
    </comment>
    <comment ref="D40" authorId="3" shapeId="0">
      <text>
        <t>Việt Hoàng:
4790000</t>
      </text>
    </comment>
    <comment ref="F40" authorId="4" shapeId="0">
      <text>
        <t>Người dùng Không xác định:
4.790</t>
      </text>
    </comment>
    <comment ref="B41" authorId="0" shapeId="0">
      <text>
        <t>was 3190</t>
      </text>
    </comment>
    <comment ref="D41" authorId="3" shapeId="0">
      <text>
        <t>Việt Hoàng:
3.590.000</t>
      </text>
    </comment>
    <comment ref="F41" authorId="4" shapeId="0">
      <text>
        <t>Người dùng Không xác định:
3.590</t>
      </text>
    </comment>
    <comment ref="B43" authorId="0" shapeId="0">
      <text>
        <t>was 18090
VNP100</t>
      </text>
    </comment>
    <comment ref="C43" authorId="2" shapeId="0">
      <text>
        <t>W3 17190</t>
      </text>
    </comment>
    <comment ref="C44" authorId="5" shapeId="0">
      <text>
        <t>W3 19990</t>
      </text>
    </comment>
    <comment ref="D44" authorId="3" shapeId="0">
      <text>
        <t>Việt Hoàng
20.090.000</t>
      </text>
    </comment>
    <comment ref="F44" authorId="4" shapeId="0">
      <text>
        <t>Người dùng Không xác định:20.290</t>
      </text>
    </comment>
    <comment ref="B45" authorId="0" shapeId="0">
      <text>
        <t>was 26140
VNP150</t>
      </text>
    </comment>
    <comment ref="C46" authorId="2" shapeId="0">
      <text>
        <t>W3 25090</t>
      </text>
    </comment>
    <comment ref="D46" authorId="3" shapeId="0">
      <text>
        <t>Việt Hoàng:
25.090.000</t>
      </text>
    </comment>
    <comment ref="G46" authorId="1" shapeId="0">
      <text>
        <t>Tran Dat:
24990</t>
      </text>
    </comment>
    <comment ref="C47" authorId="2" shapeId="0">
      <text>
        <t>W3 29490</t>
      </text>
    </comment>
    <comment ref="D47" authorId="3" shapeId="0">
      <text>
        <t>Việt Hoàng:
29.690.000</t>
      </text>
    </comment>
    <comment ref="F47" authorId="4" shapeId="0">
      <text>
        <t>Người dùng Không xác định:
29.690</t>
      </text>
    </comment>
    <comment ref="C48" authorId="2" shapeId="0">
      <text>
        <t>W3 38290</t>
      </text>
    </comment>
    <comment ref="D48" authorId="3" shapeId="0">
      <text>
        <t>Việt Hoàng:
37.790.000</t>
      </text>
    </comment>
    <comment ref="F48" authorId="4" shapeId="0">
      <text>
        <t>Người dùng Không xác định:
38.090</t>
      </text>
    </comment>
  </commentList>
</comments>
</file>

<file path=xl/comments/comment80.xml><?xml version="1.0" encoding="utf-8"?>
<comments xmlns="http://schemas.openxmlformats.org/spreadsheetml/2006/main">
  <authors>
    <author>Microsoft Office User</author>
    <author>Người dùng Khách</author>
    <author>Duy</author>
    <author>Việt Hoàng</author>
    <author>Tran Dat</author>
    <author>Duy Ha Minh</author>
  </authors>
  <commentList>
    <comment ref="E2" authorId="0" shapeId="0">
      <text>
        <t>VNP500K</t>
      </text>
    </comment>
    <comment ref="D3" authorId="1" shapeId="0">
      <text>
        <t xml:space="preserve">Người dùng Không xác định:
31.990.000
</t>
      </text>
    </comment>
    <comment ref="F3" authorId="1" shapeId="0">
      <text>
        <t>Hải 
31190000</t>
      </text>
    </comment>
    <comment ref="E4" authorId="0" shapeId="0">
      <text>
        <t>VNP500
was 34490</t>
      </text>
    </comment>
    <comment ref="F4" authorId="1" shapeId="0">
      <text>
        <t>Người dùng Không xác định:
34990000</t>
      </text>
    </comment>
    <comment ref="C6" authorId="2" shapeId="0">
      <text>
        <t>W4 15790</t>
      </text>
    </comment>
    <comment ref="D6" authorId="3" shapeId="0">
      <text>
        <t>Việt Hoàng:
15.990.000</t>
      </text>
    </comment>
    <comment ref="E6" authorId="0" shapeId="0">
      <text>
        <t>was 15790</t>
      </text>
    </comment>
    <comment ref="C7" authorId="2" shapeId="0">
      <text>
        <t>W4 21590</t>
      </text>
    </comment>
    <comment ref="D7" authorId="3" shapeId="0">
      <text>
        <t>Việt Hoàng:
21590000</t>
      </text>
    </comment>
    <comment ref="E7" authorId="0" shapeId="0">
      <text>
        <t>was 20690</t>
      </text>
    </comment>
    <comment ref="F7" authorId="1" shapeId="0">
      <text>
        <t>Người dùng Không xác định:
21090000</t>
      </text>
    </comment>
    <comment ref="G7" authorId="4" shapeId="0">
      <text>
        <t>Tran Dat:
21290</t>
      </text>
    </comment>
    <comment ref="B8" authorId="0" shapeId="0">
      <text>
        <t>was 24640000
VNP150</t>
      </text>
    </comment>
    <comment ref="D8" authorId="3" shapeId="0">
      <text>
        <t>Việt Hoàng:
24790000</t>
      </text>
    </comment>
    <comment ref="E8" authorId="0" shapeId="0">
      <text>
        <t>was 23490</t>
      </text>
    </comment>
    <comment ref="F8" authorId="1" shapeId="0">
      <text>
        <t>Người dùng Không xác định:
24690000</t>
      </text>
    </comment>
    <comment ref="G8" authorId="4" shapeId="0">
      <text>
        <t>Tran Dat:
25090</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3" shapeId="0">
      <text>
        <t>Việt Hoàng:
30.290.000</t>
      </text>
    </comment>
    <comment ref="E10" authorId="0" shapeId="0">
      <text>
        <t>was 29290</t>
      </text>
    </comment>
    <comment ref="F10" authorId="1" shapeId="0">
      <text>
        <t>Người dùng Không xác định:
30.390k</t>
      </text>
    </comment>
    <comment ref="D11" authorId="3" shapeId="0">
      <text>
        <t>Việt Hoàng:
16.990.000</t>
      </text>
    </comment>
    <comment ref="E11" authorId="0" shapeId="0">
      <text>
        <t>was 16790</t>
      </text>
    </comment>
    <comment ref="F11" authorId="1" shapeId="0">
      <text>
        <t>Người dùng Không xác định:
17.350</t>
      </text>
    </comment>
    <comment ref="G11" authorId="4" shapeId="0">
      <text>
        <t>Tran Dat:16890</t>
      </text>
    </comment>
    <comment ref="F12" authorId="1" shapeId="0">
      <text>
        <t>Người dùng Không xác định:
18.990</t>
      </text>
    </comment>
    <comment ref="D13" authorId="3" shapeId="0">
      <text>
        <t xml:space="preserve">Việt Hoàng:
13.490.000
</t>
      </text>
    </comment>
    <comment ref="E13" authorId="0" shapeId="0">
      <text>
        <t>was 13490</t>
      </text>
    </comment>
    <comment ref="F13" authorId="1" shapeId="0">
      <text>
        <t>Người dùng Không xác định:
13690000</t>
      </text>
    </comment>
    <comment ref="B14" authorId="0" shapeId="0">
      <text>
        <t>was 13190
VNP100</t>
      </text>
    </comment>
    <comment ref="D14" authorId="3" shapeId="0">
      <text>
        <t>Việt Hoàng:
12.390.000</t>
      </text>
    </comment>
    <comment ref="E14" authorId="0" shapeId="0">
      <text>
        <t>was 12290
Giờ vàng</t>
      </text>
    </comment>
    <comment ref="F14" authorId="1" shapeId="0">
      <text>
        <t>Người dùng Không xác định:
12190000</t>
      </text>
    </comment>
    <comment ref="C15" authorId="2" shapeId="0">
      <text>
        <t>W4 11790</t>
      </text>
    </comment>
    <comment ref="D15" authorId="3" shapeId="0">
      <text>
        <t>Việt Hoàng:
11790000</t>
      </text>
    </comment>
    <comment ref="E15" authorId="0" shapeId="0">
      <text>
        <t>HSSV 200
was 11790</t>
      </text>
    </comment>
    <comment ref="B16" authorId="0" shapeId="0">
      <text>
        <t>was 7040
VNP40</t>
      </text>
    </comment>
    <comment ref="C16" authorId="2" shapeId="0">
      <text>
        <t>W4 8890</t>
      </text>
    </comment>
    <comment ref="D16" authorId="3" shapeId="0">
      <text>
        <t>Việt Hoàng
8690000</t>
      </text>
    </comment>
    <comment ref="E16" authorId="0" shapeId="0">
      <text>
        <t>was 8690
hssv 200</t>
      </text>
    </comment>
    <comment ref="F16" authorId="1" shapeId="0">
      <text>
        <t xml:space="preserve">Người dùng Không xác định:
9290000
</t>
      </text>
    </comment>
    <comment ref="G16" authorId="4" shapeId="0">
      <text>
        <t xml:space="preserve">Tran Dat:
8390000
</t>
      </text>
    </comment>
    <comment ref="B17" authorId="0" shapeId="0">
      <text>
        <t>was 14390</t>
      </text>
    </comment>
    <comment ref="C17" authorId="2" shapeId="0">
      <text>
        <t>W4 13690</t>
      </text>
    </comment>
    <comment ref="D17" authorId="3" shapeId="0">
      <text>
        <t>Việt Hoàng:
13190000</t>
      </text>
    </comment>
    <comment ref="E17" authorId="0" shapeId="0">
      <text>
        <t>was 13690
hssv 200</t>
      </text>
    </comment>
    <comment ref="F17" authorId="1" shapeId="0">
      <text>
        <t>Người dùng Không xác định:
15890000</t>
      </text>
    </comment>
    <comment ref="G17" authorId="4" shapeId="0">
      <text>
        <t>was 13490</t>
      </text>
    </comment>
    <comment ref="C18" authorId="2" shapeId="0">
      <text>
        <t>W4 18990</t>
      </text>
    </comment>
    <comment ref="D18" authorId="3" shapeId="0">
      <text>
        <t>Việt Hoàng:
18990000</t>
      </text>
    </comment>
    <comment ref="F18" authorId="1" shapeId="0">
      <text>
        <t>Người dùng Không xác định:
21690000</t>
      </text>
    </comment>
    <comment ref="G18" authorId="4" shapeId="0">
      <text>
        <t xml:space="preserve">Tran Dat:
21490
</t>
      </text>
    </comment>
    <comment ref="D19" authorId="3" shapeId="0">
      <text>
        <t>Việt Hoàng:
27.990.000</t>
      </text>
    </comment>
    <comment ref="F19" authorId="1" shapeId="0">
      <text>
        <t>Người dùng Không xác định:
28290000</t>
      </text>
    </comment>
    <comment ref="B20" authorId="0" shapeId="0">
      <text>
        <t>was 36640</t>
      </text>
    </comment>
    <comment ref="E20" authorId="0" shapeId="0">
      <text>
        <t xml:space="preserve">was 35490
</t>
      </text>
    </comment>
    <comment ref="F20" authorId="1" shapeId="0">
      <text>
        <t>Người dùng Không xác định:
35.890</t>
      </text>
    </comment>
    <comment ref="F21" authorId="1" shapeId="0">
      <text>
        <t>Người dùng Không xác định:
6790000</t>
      </text>
    </comment>
    <comment ref="F22" authorId="1" shapeId="0">
      <text>
        <t>Người dùng Không xác định:
8490000</t>
      </text>
    </comment>
    <comment ref="F23" authorId="1" shapeId="0">
      <text>
        <t>Người dùng Không xác định:
7840000</t>
      </text>
    </comment>
    <comment ref="F24" authorId="1" shapeId="0">
      <text>
        <t>Người dùng Không xác định:
9340000</t>
      </text>
    </comment>
    <comment ref="F27" authorId="1" shapeId="0">
      <text>
        <t>Người dùng Không xác định:
12.349</t>
      </text>
    </comment>
    <comment ref="E29" authorId="0" shapeId="0">
      <text>
        <t xml:space="preserve">was 20990
</t>
      </text>
    </comment>
    <comment ref="F29" authorId="1" shapeId="0">
      <text>
        <t>Người dùng Không xác định:
21290000</t>
      </text>
    </comment>
    <comment ref="F30" authorId="1" shapeId="0">
      <text>
        <t>Người dùng Không xác định:
23.690k</t>
      </text>
    </comment>
    <comment ref="B31" authorId="0" shapeId="0">
      <text>
        <t>was 5550
VNP40</t>
      </text>
    </comment>
    <comment ref="C31" authorId="2" shapeId="0">
      <text>
        <t>W4 5590</t>
      </text>
    </comment>
    <comment ref="D31" authorId="1" shapeId="0">
      <text>
        <t xml:space="preserve">Người dùng Không xác định:
5590000
</t>
      </text>
    </comment>
    <comment ref="F31" authorId="1" shapeId="0">
      <text>
        <t>Người dùng Không xác định:
5490000</t>
      </text>
    </comment>
    <comment ref="B32" authorId="0" shapeId="0">
      <text>
        <t xml:space="preserve">was 4490
</t>
      </text>
    </comment>
    <comment ref="D32" authorId="3" shapeId="0">
      <text>
        <t>Việt Hoàng:
4690000</t>
      </text>
    </comment>
    <comment ref="E32" authorId="0" shapeId="0">
      <text>
        <t xml:space="preserve">was 4390
</t>
      </text>
    </comment>
    <comment ref="F32" authorId="1" shapeId="0">
      <text>
        <t>Người dùng Không xác định:
4650000</t>
      </text>
    </comment>
    <comment ref="B33" authorId="0" shapeId="0">
      <text>
        <t>was 3190</t>
      </text>
    </comment>
    <comment ref="C33" authorId="2" shapeId="0">
      <text>
        <t>W4 3190</t>
      </text>
    </comment>
    <comment ref="D33" authorId="3" shapeId="0">
      <text>
        <t>Việt Hoàng:
3190000</t>
      </text>
    </comment>
    <comment ref="E33" authorId="0" shapeId="0">
      <text>
        <t xml:space="preserve">was 2990
</t>
      </text>
    </comment>
    <comment ref="F33" authorId="1" shapeId="0">
      <text>
        <t>Người dùng Không xác định:
3390000</t>
      </text>
    </comment>
    <comment ref="F34" authorId="1" shapeId="0">
      <text>
        <t>Người dùng Không xác định:
6.790k</t>
      </text>
    </comment>
    <comment ref="C35" authorId="5" shapeId="0">
      <text>
        <t>W4 19790</t>
      </text>
    </comment>
    <comment ref="D35" authorId="3" shapeId="0">
      <text>
        <t>Việt Hoàng
20.090.000</t>
      </text>
    </comment>
    <comment ref="F35" authorId="1" shapeId="0">
      <text>
        <t>Người dùng Không xác định: 19690000</t>
      </text>
    </comment>
    <comment ref="C36" authorId="2" shapeId="0">
      <text>
        <t>W4 25890</t>
      </text>
    </comment>
    <comment ref="D36" authorId="3" shapeId="0">
      <text>
        <t>Việt Hoàng:
25.090.000</t>
      </text>
    </comment>
    <comment ref="F36" authorId="1" shapeId="0">
      <text>
        <t>Người dùng Không xác định:
25090000</t>
      </text>
    </comment>
    <comment ref="G36" authorId="4" shapeId="0">
      <text>
        <t>Tran Dat:
24990</t>
      </text>
    </comment>
    <comment ref="C37" authorId="2" shapeId="0">
      <text>
        <t>W4 29890</t>
      </text>
    </comment>
    <comment ref="D37" authorId="3" shapeId="0">
      <text>
        <t>Việt Hoàng:
29.690.000</t>
      </text>
    </comment>
    <comment ref="F37" authorId="1" shapeId="0">
      <text>
        <t>Người dùng Không xác định:
29290000</t>
      </text>
    </comment>
    <comment ref="C38" authorId="2" shapeId="0">
      <text>
        <t>W4 37990</t>
      </text>
    </comment>
    <comment ref="D38" authorId="3" shapeId="0">
      <text>
        <t>Việt Hoàng:
37.790.000</t>
      </text>
    </comment>
  </commentList>
</comments>
</file>

<file path=xl/comments/comment81.xml><?xml version="1.0" encoding="utf-8"?>
<comments xmlns="http://schemas.openxmlformats.org/spreadsheetml/2006/main">
  <authors>
    <author>Microsoft Office User</author>
    <author>Người dùng Khách</author>
    <author>Việt Hoàng</author>
    <author>Duy</author>
    <author>Tran Dat</author>
  </authors>
  <commentList>
    <comment ref="E2" authorId="0" shapeId="0">
      <text>
        <t>VNP500K</t>
      </text>
    </comment>
    <comment ref="F3" authorId="1" shapeId="0">
      <text>
        <t>Người dùng Không xác định:
31.990</t>
      </text>
    </comment>
    <comment ref="E4" authorId="0" shapeId="0">
      <text>
        <t>VNP500
was 34490</t>
      </text>
    </comment>
    <comment ref="D6" authorId="2" shapeId="0">
      <text>
        <t>Việt Hoàng:
15.990.000</t>
      </text>
    </comment>
    <comment ref="E6" authorId="0" shapeId="0">
      <text>
        <t>COmbo gói cước giảm đến 4,5M cam kết 12 tháng</t>
      </text>
    </comment>
    <comment ref="C7" authorId="3" shapeId="0">
      <text>
        <t>W5 21490</t>
      </text>
    </comment>
    <comment ref="D7" authorId="2" shapeId="0">
      <text>
        <t>Việt Hoàng:
21.5900</t>
      </text>
    </comment>
    <comment ref="F7" authorId="1" shapeId="0">
      <text>
        <t>Người dùng Không xác định:
21.390</t>
      </text>
    </comment>
    <comment ref="B8" authorId="0" shapeId="0">
      <text>
        <t>was 24640000
VNP150</t>
      </text>
    </comment>
    <comment ref="D8" authorId="2" shapeId="0">
      <text>
        <t>Việt Hoàng:
24.790</t>
      </text>
    </comment>
    <comment ref="E8" authorId="1" shapeId="0">
      <text>
        <t>Người dùng Không xác định:
24.490k</t>
      </text>
    </comment>
    <comment ref="B10"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3" shapeId="0">
      <text>
        <t>W5 30590</t>
      </text>
    </comment>
    <comment ref="D10" authorId="2" shapeId="0">
      <text>
        <t>Việt Hoàng:
30.590.000</t>
      </text>
    </comment>
    <comment ref="C11" authorId="3" shapeId="0">
      <text>
        <t>W5 17590</t>
      </text>
    </comment>
    <comment ref="D11" authorId="2" shapeId="0">
      <text>
        <t>Việt Hoàng:
17.590</t>
      </text>
    </comment>
    <comment ref="E11" authorId="0" shapeId="0">
      <text>
        <t>was 17290
Giờ vàng</t>
      </text>
    </comment>
    <comment ref="F11" authorId="1" shapeId="0">
      <text>
        <t>Người dùng Không xác định:
17.350</t>
      </text>
    </comment>
    <comment ref="F12" authorId="1" shapeId="0">
      <text>
        <t>Người dùng Không xác định:
18.990</t>
      </text>
    </comment>
    <comment ref="C13" authorId="3" shapeId="0">
      <text>
        <t>W5 13990</t>
      </text>
    </comment>
    <comment ref="E13" authorId="1" shapeId="0">
      <text>
        <t>Người dùng Không xác định:
13.690</t>
      </text>
    </comment>
    <comment ref="F13" authorId="1" shapeId="0">
      <text>
        <t>Người dùng Không xác định:
13790</t>
      </text>
    </comment>
    <comment ref="B14" authorId="0" shapeId="0">
      <text>
        <t>was 13190
VNP100</t>
      </text>
    </comment>
    <comment ref="D14" authorId="2" shapeId="0">
      <text>
        <t>Việt Hoàng:
12.290.000</t>
      </text>
    </comment>
    <comment ref="E14" authorId="0" shapeId="0">
      <text>
        <t>was 12.290</t>
      </text>
    </comment>
    <comment ref="F14" authorId="1" shapeId="0">
      <text>
        <t>Người dùng Không xác định:
12290</t>
      </text>
    </comment>
    <comment ref="D15" authorId="2" shapeId="0">
      <text>
        <t>Việt Hoàng:
11.790</t>
      </text>
    </comment>
    <comment ref="B16" authorId="0" shapeId="0">
      <text>
        <t>was 7040
VNP40</t>
      </text>
    </comment>
    <comment ref="C16" authorId="3" shapeId="0">
      <text>
        <t>W5 9490</t>
      </text>
    </comment>
    <comment ref="D16" authorId="2" shapeId="0">
      <text>
        <t>9.590k</t>
      </text>
    </comment>
    <comment ref="F16" authorId="1" shapeId="0">
      <text>
        <t>Người dùng Không xác định:
8.790</t>
      </text>
    </comment>
    <comment ref="G16" authorId="4" shapeId="0">
      <text>
        <t xml:space="preserve">Tran Dat:
8390000
</t>
      </text>
    </comment>
    <comment ref="B17" authorId="0" shapeId="0">
      <text>
        <t>was 14390</t>
      </text>
    </comment>
    <comment ref="C17" authorId="3" shapeId="0">
      <text>
        <t>W5 16490</t>
      </text>
    </comment>
    <comment ref="D17" authorId="2" shapeId="0">
      <text>
        <t>16.390</t>
      </text>
    </comment>
    <comment ref="E17" authorId="0" shapeId="0">
      <text>
        <t>was 15790
hssv 200</t>
      </text>
    </comment>
    <comment ref="F17" authorId="1" shapeId="0">
      <text>
        <t>Người dùng Không xác định:
13690</t>
      </text>
    </comment>
    <comment ref="G17" authorId="4" shapeId="0">
      <text>
        <t>was 13490</t>
      </text>
    </comment>
    <comment ref="C18" authorId="3" shapeId="0">
      <text>
        <t>W5 21690</t>
      </text>
    </comment>
    <comment ref="G18" authorId="4" shapeId="0">
      <text>
        <t xml:space="preserve">Tran Dat:
21390
</t>
      </text>
    </comment>
    <comment ref="F19" authorId="1" shapeId="0">
      <text>
        <t>Người dùng Không xác định:
27.890</t>
      </text>
    </comment>
    <comment ref="B20" authorId="0" shapeId="0">
      <text>
        <t>was 36640</t>
      </text>
    </comment>
    <comment ref="F20" authorId="1" shapeId="0">
      <text>
        <t>Người dùng Không xác định:
35.890</t>
      </text>
    </comment>
    <comment ref="D21" authorId="1" shapeId="0">
      <text>
        <t>Người dùng Không xác định:
6.990</t>
      </text>
    </comment>
    <comment ref="F21" authorId="1" shapeId="0">
      <text>
        <t>Người dùng Không xác định:
6.990k</t>
      </text>
    </comment>
    <comment ref="G21" authorId="4" shapeId="0">
      <text>
        <t>Tran Dat:
6990</t>
      </text>
    </comment>
    <comment ref="G23" authorId="4" shapeId="0">
      <text>
        <t>Tran Dat:
7890</t>
      </text>
    </comment>
    <comment ref="G25" authorId="4" shapeId="0">
      <text>
        <t>Tran Dat:
11490</t>
      </text>
    </comment>
    <comment ref="F27" authorId="1" shapeId="0">
      <text>
        <t>Người dùng Không xác định:
12.349</t>
      </text>
    </comment>
    <comment ref="B31" authorId="0" shapeId="0">
      <text>
        <t>was 5550
VNP40</t>
      </text>
    </comment>
    <comment ref="C31" authorId="3" shapeId="0">
      <text>
        <t>W5 5390</t>
      </text>
    </comment>
    <comment ref="D31" authorId="1" shapeId="0">
      <text>
        <t>5.490k</t>
      </text>
    </comment>
    <comment ref="B32" authorId="0" shapeId="0">
      <text>
        <t xml:space="preserve">was 4490
</t>
      </text>
    </comment>
    <comment ref="C32" authorId="3" shapeId="0">
      <text>
        <t>W5 4690</t>
      </text>
    </comment>
    <comment ref="D32" authorId="2" shapeId="0">
      <text>
        <t>4.690</t>
      </text>
    </comment>
    <comment ref="F32" authorId="1" shapeId="0">
      <text>
        <t>Người dùng Không xác định:
4.790</t>
      </text>
    </comment>
    <comment ref="B33" authorId="0" shapeId="0">
      <text>
        <t>was 3190</t>
      </text>
    </comment>
    <comment ref="C33" authorId="3" shapeId="0">
      <text>
        <t>W5 3590</t>
      </text>
    </comment>
    <comment ref="F33" authorId="1" shapeId="0">
      <text>
        <t>Người dùng Không xác định:
3.090</t>
      </text>
    </comment>
    <comment ref="D35" authorId="2" shapeId="0">
      <text>
        <t>19.890k</t>
      </text>
    </comment>
    <comment ref="F35" authorId="1" shapeId="0">
      <text>
        <t>Người dùng Không xác định: 19.790</t>
      </text>
    </comment>
    <comment ref="C36" authorId="3" shapeId="0">
      <text>
        <t>W5 25690</t>
      </text>
    </comment>
    <comment ref="F36" authorId="1" shapeId="0">
      <text>
        <t>Người dùng Không xác định:
25.190</t>
      </text>
    </comment>
    <comment ref="D37" authorId="2" shapeId="0">
      <text>
        <t>Việt Hoàng:
29.690.000</t>
      </text>
    </comment>
  </commentList>
</comments>
</file>

<file path=xl/comments/comment82.xml><?xml version="1.0" encoding="utf-8"?>
<comments xmlns="http://schemas.openxmlformats.org/spreadsheetml/2006/main">
  <authors>
    <author>Duy</author>
    <author>Microsoft Office User</author>
    <author>Người dùng Khách</author>
    <author>Việt Hoàng</author>
    <author>chit trang</author>
    <author>Tran Dat</author>
  </authors>
  <commentList>
    <comment ref="C3" authorId="0" shapeId="0">
      <text>
        <t>W6 31490</t>
      </text>
    </comment>
    <comment ref="E3" authorId="1" shapeId="0">
      <text>
        <t>was 30990
VNP500</t>
      </text>
    </comment>
    <comment ref="F3" authorId="2" shapeId="0">
      <text>
        <t>Người dùng Không xác định:
31.990</t>
      </text>
    </comment>
    <comment ref="E5" authorId="1" shapeId="0">
      <text>
        <t xml:space="preserve">was 37990
VNP500K
</t>
      </text>
    </comment>
    <comment ref="E6" authorId="1" shapeId="0">
      <text>
        <t>COmbo gói cước giảm đến 4,5M cam kết 12 tháng</t>
      </text>
    </comment>
    <comment ref="C7" authorId="0" shapeId="0">
      <text>
        <t>W6 21390</t>
      </text>
    </comment>
    <comment ref="E7" authorId="1" shapeId="0">
      <text>
        <t>was 21290
Giờ vàng</t>
      </text>
    </comment>
    <comment ref="F7" authorId="2" shapeId="0">
      <text>
        <t>Người dùng Không xác định:
21.390</t>
      </text>
    </comment>
    <comment ref="B8" authorId="1" shapeId="0">
      <text>
        <t>was 24640000
VNP150</t>
      </text>
    </comment>
    <comment ref="D8" authorId="3" shapeId="0">
      <text>
        <t>Việt Hoàng:
24990</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0" shapeId="0">
      <text>
        <t>W6 30490</t>
      </text>
    </comment>
    <comment ref="D10" authorId="3" shapeId="0">
      <text>
        <t>Việt Hoàng:
30.390.000</t>
      </text>
    </comment>
    <comment ref="E11" authorId="1" shapeId="0">
      <text>
        <t xml:space="preserve">
Giờ vàng</t>
      </text>
    </comment>
    <comment ref="F11" authorId="2" shapeId="0">
      <text>
        <t>Người dùng Không xác định:
17.350</t>
      </text>
    </comment>
    <comment ref="F12" authorId="2" shapeId="0">
      <text>
        <t>Người dùng Không xác định:
18.990</t>
      </text>
    </comment>
    <comment ref="D13" authorId="4" shapeId="0">
      <text>
        <t>chit trang:
13.790</t>
      </text>
    </comment>
    <comment ref="E13" authorId="2" shapeId="0">
      <text>
        <t>was 13490</t>
      </text>
    </comment>
    <comment ref="F13" authorId="2" shapeId="0">
      <text>
        <t>Người dùng Không xác định:
13790</t>
      </text>
    </comment>
    <comment ref="B14" authorId="1" shapeId="0">
      <text>
        <t>was 13190
VNP100</t>
      </text>
    </comment>
    <comment ref="C14" authorId="0" shapeId="0">
      <text>
        <t>W6 12490</t>
      </text>
    </comment>
    <comment ref="D14" authorId="3" shapeId="0">
      <text>
        <t>Việt Hoàng:
12.190.000</t>
      </text>
    </comment>
    <comment ref="E14" authorId="1" shapeId="0">
      <text>
        <t>was 12190</t>
      </text>
    </comment>
    <comment ref="F14" authorId="2" shapeId="0">
      <text>
        <t>Người dùng Không xác định:
12290</t>
      </text>
    </comment>
    <comment ref="C15" authorId="0" shapeId="0">
      <text>
        <t>w6 13590</t>
      </text>
    </comment>
    <comment ref="D15" authorId="3" shapeId="0">
      <text>
        <t>Việt Hoàng:
13.590</t>
      </text>
    </comment>
    <comment ref="B16" authorId="1" shapeId="0">
      <text>
        <t>was 7040
VNP40</t>
      </text>
    </comment>
    <comment ref="C16" authorId="0" shapeId="0">
      <text>
        <t>W6 9190</t>
      </text>
    </comment>
    <comment ref="F16" authorId="2" shapeId="0">
      <text>
        <t>Người dùng Không xác định:
8.790</t>
      </text>
    </comment>
    <comment ref="G16" authorId="5" shapeId="0">
      <text>
        <t xml:space="preserve">Tran Dat:
8390000
</t>
      </text>
    </comment>
    <comment ref="B17" authorId="1" shapeId="0">
      <text>
        <t>was 14390</t>
      </text>
    </comment>
    <comment ref="C17" authorId="0" shapeId="0">
      <text>
        <t>W5 15990</t>
      </text>
    </comment>
    <comment ref="D17" authorId="3" shapeId="0">
      <text>
        <t>15.990</t>
      </text>
    </comment>
    <comment ref="E17" authorId="1" shapeId="0">
      <text>
        <t xml:space="preserve">
hssv 200</t>
      </text>
    </comment>
    <comment ref="F17" authorId="2" shapeId="0">
      <text>
        <t>Người dùng Không xác định:
13690</t>
      </text>
    </comment>
    <comment ref="G17" authorId="5" shapeId="0">
      <text>
        <t>was 13490</t>
      </text>
    </comment>
    <comment ref="C18" authorId="0" shapeId="0">
      <text>
        <t>W6 21590</t>
      </text>
    </comment>
    <comment ref="G18" authorId="5" shapeId="0">
      <text>
        <t xml:space="preserve">Tran Dat:
21390
</t>
      </text>
    </comment>
    <comment ref="F19" authorId="2" shapeId="0">
      <text>
        <t>Người dùng Không xác định:
27.890</t>
      </text>
    </comment>
    <comment ref="B20" authorId="1" shapeId="0">
      <text>
        <t>was 36640</t>
      </text>
    </comment>
    <comment ref="F20" authorId="2" shapeId="0">
      <text>
        <t>Người dùng Không xác định:
35.890</t>
      </text>
    </comment>
    <comment ref="C21" authorId="0" shapeId="0">
      <text>
        <t>W6 6990</t>
      </text>
    </comment>
    <comment ref="D21" authorId="2" shapeId="0">
      <text>
        <t>Người dùng Không xác định:
6.790</t>
      </text>
    </comment>
    <comment ref="F21" authorId="2" shapeId="0">
      <text>
        <t>Người dùng Không xác định:
6.990k</t>
      </text>
    </comment>
    <comment ref="G21" authorId="5" shapeId="0">
      <text>
        <t>Tran Dat:
6990</t>
      </text>
    </comment>
    <comment ref="C23" authorId="0" shapeId="0">
      <text>
        <t>W6 7850</t>
      </text>
    </comment>
    <comment ref="G23" authorId="5" shapeId="0">
      <text>
        <t>Tran Dat:
7890</t>
      </text>
    </comment>
    <comment ref="F27" authorId="2" shapeId="0">
      <text>
        <t>Người dùng Không xác định:
12.349</t>
      </text>
    </comment>
    <comment ref="D29" authorId="4" shapeId="0">
      <text>
        <t>chit trang:
23.990k</t>
      </text>
    </comment>
    <comment ref="B30" authorId="1" shapeId="0">
      <text>
        <t>was 5550
VNP40</t>
      </text>
    </comment>
    <comment ref="B31" authorId="1" shapeId="0">
      <text>
        <t xml:space="preserve">was 4490
</t>
      </text>
    </comment>
    <comment ref="C31" authorId="0" shapeId="0">
      <text>
        <t>W6 4590</t>
      </text>
    </comment>
    <comment ref="F31" authorId="2" shapeId="0">
      <text>
        <t>Người dùng Không xác định:
4.790</t>
      </text>
    </comment>
    <comment ref="B32" authorId="1" shapeId="0">
      <text>
        <t>was 3190</t>
      </text>
    </comment>
    <comment ref="C32" authorId="0" shapeId="0">
      <text>
        <t>W6 3390</t>
      </text>
    </comment>
    <comment ref="D32" authorId="4" shapeId="0">
      <text>
        <t>chit trang:
3.490</t>
      </text>
    </comment>
    <comment ref="E32" authorId="1" shapeId="0">
      <text>
        <t xml:space="preserve">was 3490
</t>
      </text>
    </comment>
    <comment ref="F32" authorId="2" shapeId="0">
      <text>
        <t>Người dùng Không xác định:
3.090</t>
      </text>
    </comment>
    <comment ref="E33" authorId="1" shapeId="0">
      <text>
        <t xml:space="preserve">was 6590
</t>
      </text>
    </comment>
    <comment ref="C34" authorId="0" shapeId="0">
      <text>
        <t>W6 19690</t>
      </text>
    </comment>
    <comment ref="D34" authorId="3" shapeId="0">
      <text>
        <t>19.690k</t>
      </text>
    </comment>
    <comment ref="F34" authorId="2" shapeId="0">
      <text>
        <t>Người dùng Không xác định: 19.790</t>
      </text>
    </comment>
    <comment ref="C35" authorId="0" shapeId="0">
      <text>
        <t>W6 25190</t>
      </text>
    </comment>
    <comment ref="D35" authorId="4" shapeId="0">
      <text>
        <t>chit trang:
25.290</t>
      </text>
    </comment>
    <comment ref="F35" authorId="2" shapeId="0">
      <text>
        <t>Người dùng Không xác định:
25.190</t>
      </text>
    </comment>
    <comment ref="C36" authorId="0" shapeId="0">
      <text>
        <t>W6 30390</t>
      </text>
    </comment>
  </commentList>
</comments>
</file>

<file path=xl/comments/comment83.xml><?xml version="1.0" encoding="utf-8"?>
<comments xmlns="http://schemas.openxmlformats.org/spreadsheetml/2006/main">
  <authors>
    <author>chit trang</author>
    <author>Microsoft Office User</author>
    <author>Người dùng Khách</author>
    <author>danielnguyen6111998@gmail.com</author>
    <author>Dat's MacBook Pro</author>
    <author>Duy</author>
    <author>Việt Hoàng</author>
    <author>Tran Dat</author>
  </authors>
  <commentList>
    <comment ref="D3" authorId="0" shapeId="0">
      <text>
        <t>chit trang:
31.490</t>
      </text>
    </comment>
    <comment ref="E3" authorId="1" shapeId="0">
      <text>
        <t>was 30490
VNP500</t>
      </text>
    </comment>
    <comment ref="F3" authorId="2" shapeId="0">
      <text>
        <t>Người dùng Không xác định:
31.990</t>
      </text>
    </comment>
    <comment ref="F4" authorId="3" shapeId="0">
      <text>
        <t>danielnguyen6111998@gmail.com:
34790000</t>
      </text>
    </comment>
    <comment ref="G4" authorId="4" shapeId="0">
      <text>
        <t>Dat's MacBook Pro:
34790</t>
      </text>
    </comment>
    <comment ref="G5" authorId="4" shapeId="0">
      <text>
        <t>Dat's MacBook Pro:
37990</t>
      </text>
    </comment>
    <comment ref="E6" authorId="1" shapeId="0">
      <text>
        <t>COmbo gói cước giảm đến 4,5M cam kết 12 tháng</t>
      </text>
    </comment>
    <comment ref="G6" authorId="4" shapeId="0">
      <text>
        <t>Dat's MacBook Pro:
15290</t>
      </text>
    </comment>
    <comment ref="E7" authorId="1" shapeId="0">
      <text>
        <t>was 21290
Giờ vàng</t>
      </text>
    </comment>
    <comment ref="F7" authorId="2" shapeId="0">
      <text>
        <t>Người dùng Không xác định:
20990000</t>
      </text>
    </comment>
    <comment ref="B8" authorId="1" shapeId="0">
      <text>
        <t>was 24640000
VNP150</t>
      </text>
    </comment>
    <comment ref="E8" authorId="1" shapeId="0">
      <text>
        <t xml:space="preserve">was 24490
Giờ vàng giảm 300
</t>
      </text>
    </comment>
    <comment ref="G8" authorId="4" shapeId="0">
      <text>
        <t>Dat's MacBook Pro:
24.590</t>
      </text>
    </comment>
    <comment ref="E9" authorId="1" shapeId="0">
      <text>
        <t xml:space="preserve">was 24290
</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5" shapeId="0">
      <text>
        <t>W7 30390</t>
      </text>
    </comment>
    <comment ref="D10" authorId="6" shapeId="0">
      <text>
        <t>Việt Hoàng:
30.5900</t>
      </text>
    </comment>
    <comment ref="E10" authorId="1" shapeId="0">
      <text>
        <t xml:space="preserve">was 2999000
</t>
      </text>
    </comment>
    <comment ref="F10" authorId="3" shapeId="0">
      <text>
        <t>danielnguyen6111998@gmail.com:
30390000</t>
      </text>
    </comment>
    <comment ref="G10" authorId="4" shapeId="0">
      <text>
        <t>Dat's MacBook Pro:
30390</t>
      </text>
    </comment>
    <comment ref="D11" authorId="0" shapeId="0">
      <text>
        <t>chit trang:
16.990k</t>
      </text>
    </comment>
    <comment ref="E11" authorId="1" shapeId="0">
      <text>
        <t>was 16990
Giờ vàng 200</t>
      </text>
    </comment>
    <comment ref="F11" authorId="2" shapeId="0">
      <text>
        <t>Người dùng Không xác định:
16990000</t>
      </text>
    </comment>
    <comment ref="F12" authorId="2" shapeId="0">
      <text>
        <t>Người dùng Không xác định:
18.990</t>
      </text>
    </comment>
    <comment ref="C13" authorId="5" shapeId="0">
      <text>
        <t>W7 13890</t>
      </text>
    </comment>
    <comment ref="E13" authorId="2" shapeId="0">
      <text>
        <t>was 13690
Giờ vàng 300</t>
      </text>
    </comment>
    <comment ref="F13" authorId="2" shapeId="0">
      <text>
        <t>Người dùng Không xác định:
13590000</t>
      </text>
    </comment>
    <comment ref="B14" authorId="1" shapeId="0">
      <text>
        <t>was 13190
VNP100</t>
      </text>
    </comment>
    <comment ref="E14" authorId="1" shapeId="0">
      <text>
        <t>was 12290</t>
      </text>
    </comment>
    <comment ref="F14" authorId="2" shapeId="0">
      <text>
        <t>Người dùng Không xác định:
12090000</t>
      </text>
    </comment>
    <comment ref="D15" authorId="6" shapeId="0">
      <text>
        <t>Việt Hoàng:
11.990</t>
      </text>
    </comment>
    <comment ref="E15" authorId="1" shapeId="0">
      <text>
        <t>was 13290
Giảm 200K HSSV</t>
      </text>
    </comment>
    <comment ref="B16" authorId="1" shapeId="0">
      <text>
        <t>was 7040
VNP40</t>
      </text>
    </comment>
    <comment ref="C16" authorId="5" shapeId="0">
      <text>
        <t>W7 8890</t>
      </text>
    </comment>
    <comment ref="D16" authorId="0" shapeId="0">
      <text>
        <t>chit trang:
8.990</t>
      </text>
    </comment>
    <comment ref="E16" authorId="1" shapeId="0">
      <text>
        <t>was 9190
Giả 200K HSSV</t>
      </text>
    </comment>
    <comment ref="F16" authorId="2" shapeId="0">
      <text>
        <t>Người dùng Không xác định:
8.790</t>
      </text>
    </comment>
    <comment ref="G16" authorId="7" shapeId="0">
      <text>
        <t>8990</t>
      </text>
    </comment>
    <comment ref="B17" authorId="1" shapeId="0">
      <text>
        <t>was 14390</t>
      </text>
    </comment>
    <comment ref="C17" authorId="5" shapeId="0">
      <text>
        <t>W7 13690</t>
      </text>
    </comment>
    <comment ref="E17" authorId="1" shapeId="0">
      <text>
        <t>was 15590
hssv 200</t>
      </text>
    </comment>
    <comment ref="F17" authorId="2" shapeId="0">
      <text>
        <t>Người dùng Không xác định:
13690</t>
      </text>
    </comment>
    <comment ref="G17" authorId="7" shapeId="0">
      <text>
        <t>15690</t>
      </text>
    </comment>
    <comment ref="C18" authorId="5" shapeId="0">
      <text>
        <t>W7 19490</t>
      </text>
    </comment>
    <comment ref="G18" authorId="7" shapeId="0">
      <text>
        <t xml:space="preserve">Tran Dat:
19990
</t>
      </text>
    </comment>
    <comment ref="F19" authorId="2" shapeId="0">
      <text>
        <t>Người dùng Không xác định:
28190000</t>
      </text>
    </comment>
    <comment ref="B20" authorId="1" shapeId="0">
      <text>
        <t>was 36640</t>
      </text>
    </comment>
    <comment ref="F20" authorId="2" shapeId="0">
      <text>
        <t>Người dùng Không xác định:
35.890</t>
      </text>
    </comment>
    <comment ref="C21" authorId="5" shapeId="0">
      <text>
        <t>W7 6890</t>
      </text>
    </comment>
    <comment ref="F21" authorId="2" shapeId="0">
      <text>
        <t>Người dùng Không xác định:
6390000</t>
      </text>
    </comment>
    <comment ref="G21" authorId="7" shapeId="0">
      <text>
        <t>Tran Dat:
6990</t>
      </text>
    </comment>
    <comment ref="C22" authorId="5" shapeId="0">
      <text>
        <t>W7 8490</t>
      </text>
    </comment>
    <comment ref="F22" authorId="3" shapeId="0">
      <text>
        <t>danielnguyen6111998@gmail.com:
8290000</t>
      </text>
    </comment>
    <comment ref="D23" authorId="0" shapeId="0">
      <text>
        <t>chit trang:
7.890</t>
      </text>
    </comment>
    <comment ref="F23" authorId="3" shapeId="0">
      <text>
        <t>danielnguyen6111998@gmail.com:
7390000</t>
      </text>
    </comment>
    <comment ref="G23" authorId="7" shapeId="0">
      <text>
        <t>Tran Dat:
7890</t>
      </text>
    </comment>
    <comment ref="C25" authorId="5" shapeId="0">
      <text>
        <t>W7 11490</t>
      </text>
    </comment>
    <comment ref="F25" authorId="3" shapeId="0">
      <text>
        <t>danielnguyen6111998@gmail.com:
10990000</t>
      </text>
    </comment>
    <comment ref="C27" authorId="5" shapeId="0">
      <text>
        <t>W7 12350</t>
      </text>
    </comment>
    <comment ref="F27" authorId="2" shapeId="0">
      <text>
        <t>11990000</t>
      </text>
    </comment>
    <comment ref="F28" authorId="3" shapeId="0">
      <text>
        <t>danielnguyen6111998@gmail.com:
15349000</t>
      </text>
    </comment>
    <comment ref="D29" authorId="0" shapeId="0">
      <text>
        <t>chit trang:
23.790k</t>
      </text>
    </comment>
    <comment ref="B30" authorId="1" shapeId="0">
      <text>
        <t>was 5550
VNP40</t>
      </text>
    </comment>
    <comment ref="C30" authorId="5" shapeId="0">
      <text>
        <t>W7 5290</t>
      </text>
    </comment>
    <comment ref="D30" authorId="0" shapeId="0">
      <text>
        <t>chit trang:
5.390</t>
      </text>
    </comment>
    <comment ref="F30" authorId="2" shapeId="0">
      <text>
        <t>Người dùng Không xác định:
5090000</t>
      </text>
    </comment>
    <comment ref="B31" authorId="1" shapeId="0">
      <text>
        <t xml:space="preserve">was 4490
</t>
      </text>
    </comment>
    <comment ref="C31" authorId="5" shapeId="0">
      <text>
        <t>W7 4890</t>
      </text>
    </comment>
    <comment ref="D31" authorId="0" shapeId="0">
      <text>
        <t>chit trang:
4.490</t>
      </text>
    </comment>
    <comment ref="E31" authorId="1" shapeId="0">
      <text>
        <t xml:space="preserve">was 4490
</t>
      </text>
    </comment>
    <comment ref="F31" authorId="2" shapeId="0">
      <text>
        <t>Người dùng Không xác định:
3.090</t>
      </text>
    </comment>
    <comment ref="G31" authorId="4" shapeId="0">
      <text>
        <t>Dat's MacBook Pro:
4550</t>
      </text>
    </comment>
    <comment ref="B32" authorId="1" shapeId="0">
      <text>
        <t>was 3190</t>
      </text>
    </comment>
    <comment ref="C32" authorId="5" shapeId="0">
      <text>
        <t>W7 3690</t>
      </text>
    </comment>
    <comment ref="D32" authorId="0" shapeId="0">
      <text>
        <t>chit trang:
3.390</t>
      </text>
    </comment>
    <comment ref="E32" authorId="1" shapeId="0">
      <text>
        <t xml:space="preserve">was 3390
</t>
      </text>
    </comment>
    <comment ref="G32" authorId="4" shapeId="0">
      <text>
        <t>Dat's MacBook Pro:
3390</t>
      </text>
    </comment>
    <comment ref="C33" authorId="5" shapeId="0">
      <text>
        <t>W7 6790</t>
      </text>
    </comment>
    <comment ref="C34" authorId="5" shapeId="0">
      <text>
        <t>W7 19890</t>
      </text>
    </comment>
    <comment ref="F34" authorId="2" shapeId="0">
      <text>
        <t>Người dùng Không xác định: 19.790</t>
      </text>
    </comment>
    <comment ref="C35" authorId="5" shapeId="0">
      <text>
        <t>W7 24990</t>
      </text>
    </comment>
    <comment ref="F35" authorId="2" shapeId="0">
      <text>
        <t>Người dùng Không xác định:
25.190</t>
      </text>
    </comment>
    <comment ref="C36" authorId="5" shapeId="0">
      <text>
        <t>W7 29690</t>
      </text>
    </comment>
    <comment ref="D36" authorId="0" shapeId="0">
      <text>
        <t>chit trang:
29.890</t>
      </text>
    </comment>
    <comment ref="G36" authorId="4" shapeId="0">
      <text>
        <t xml:space="preserve">Dat's MacBook Pro:
29690
</t>
      </text>
    </comment>
  </commentList>
</comments>
</file>

<file path=xl/comments/comment84.xml><?xml version="1.0" encoding="utf-8"?>
<comments xmlns="http://schemas.openxmlformats.org/spreadsheetml/2006/main">
  <authors>
    <author>chit trang</author>
    <author>Người dùng Khách</author>
    <author>danielnguyen6111998@gmail.com</author>
    <author>Dat's MacBook Pro</author>
    <author>Microsoft Office User</author>
    <author>Việt Hoàng</author>
    <author>Duy</author>
    <author>Tran Dat</author>
  </authors>
  <commentList>
    <comment ref="D3" authorId="0" shapeId="0">
      <text>
        <t>chit trang:
30.890</t>
      </text>
    </comment>
    <comment ref="F3" authorId="1" shapeId="0">
      <text>
        <t>Người dùng Không xác định:
31.990</t>
      </text>
    </comment>
    <comment ref="D4" authorId="1" shapeId="0">
      <text>
        <t>Người dùng Không xác định:
34.990</t>
      </text>
    </comment>
    <comment ref="F4" authorId="2" shapeId="0">
      <text>
        <t>danielnguyen6111998@gmail.com:
34790000</t>
      </text>
    </comment>
    <comment ref="G4" authorId="3" shapeId="0">
      <text>
        <t>Dat's MacBook Pro:
34790</t>
      </text>
    </comment>
    <comment ref="G5" authorId="3" shapeId="0">
      <text>
        <t>Dat's MacBook Pro:
37990</t>
      </text>
    </comment>
    <comment ref="G6" authorId="3" shapeId="0">
      <text>
        <t>Dat's MacBook Pro:
15290</t>
      </text>
    </comment>
    <comment ref="D7" authorId="1" shapeId="0">
      <text>
        <t>Người dùng Không xác định:
21.090</t>
      </text>
    </comment>
    <comment ref="F7" authorId="1" shapeId="0">
      <text>
        <t>Người dùng Không xác định:
20990000</t>
      </text>
    </comment>
    <comment ref="B8" authorId="4" shapeId="0">
      <text>
        <t>was 24640000
VNP150</t>
      </text>
    </comment>
    <comment ref="G8" authorId="3" shapeId="0">
      <text>
        <t>Dat's MacBook Pro:
23.990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5" shapeId="0">
      <text>
        <t>Việt Hoàng:
30.5900</t>
      </text>
    </comment>
    <comment ref="F10" authorId="2" shapeId="0">
      <text>
        <t>danielnguyen6111998@gmail.com:
30390000</t>
      </text>
    </comment>
    <comment ref="G10" authorId="3" shapeId="0">
      <text>
        <t>Dat's MacBook Pro:
30390</t>
      </text>
    </comment>
    <comment ref="D11" authorId="0" shapeId="0">
      <text>
        <t>chit trang:
17.090k</t>
      </text>
    </comment>
    <comment ref="F11" authorId="1" shapeId="0">
      <text>
        <t>Người dùng Không xác định:
16990000</t>
      </text>
    </comment>
    <comment ref="F12" authorId="1" shapeId="0">
      <text>
        <t>Người dùng Không xác định:
18.990</t>
      </text>
    </comment>
    <comment ref="D13" authorId="1" shapeId="0">
      <text>
        <t>Người dùng Không xác định:
13.690</t>
      </text>
    </comment>
    <comment ref="F13" authorId="1" shapeId="0">
      <text>
        <t>Người dùng Không xác định:
13590000</t>
      </text>
    </comment>
    <comment ref="B14" authorId="4" shapeId="0">
      <text>
        <t>was 13190
VNP100</t>
      </text>
    </comment>
    <comment ref="D14" authorId="1" shapeId="0">
      <text>
        <t>Người dùng Không xác định:
12.090</t>
      </text>
    </comment>
    <comment ref="F14" authorId="1" shapeId="0">
      <text>
        <t>Người dùng Không xác định:
12090000</t>
      </text>
    </comment>
    <comment ref="B16" authorId="4" shapeId="0">
      <text>
        <t>was 7040
VNP40</t>
      </text>
    </comment>
    <comment ref="C16" authorId="6" shapeId="0">
      <text>
        <t>W8 8790</t>
      </text>
    </comment>
    <comment ref="D16" authorId="0" shapeId="0">
      <text>
        <t>chit trang:
8.790</t>
      </text>
    </comment>
    <comment ref="E16" authorId="4" shapeId="0">
      <text>
        <t>was 8790
Giả 200K HSSV</t>
      </text>
    </comment>
    <comment ref="F16" authorId="1" shapeId="0">
      <text>
        <t>Người dùng Không xác định:
8.790</t>
      </text>
    </comment>
    <comment ref="G16" authorId="7" shapeId="0">
      <text>
        <t>8990</t>
      </text>
    </comment>
    <comment ref="B17" authorId="4" shapeId="0">
      <text>
        <t>was 14390</t>
      </text>
    </comment>
    <comment ref="C17" authorId="6" shapeId="0">
      <text>
        <t>W8 13490</t>
      </text>
    </comment>
    <comment ref="D17" authorId="1" shapeId="0">
      <text>
        <t>Người dùng Không xác định:
13.690</t>
      </text>
    </comment>
    <comment ref="E17" authorId="4" shapeId="0">
      <text>
        <t>was 13290
hssv 200</t>
      </text>
    </comment>
    <comment ref="F17" authorId="1" shapeId="0">
      <text>
        <t>Người dùng Không xác định:
13690</t>
      </text>
    </comment>
    <comment ref="G17" authorId="7" shapeId="0">
      <text>
        <t>15690</t>
      </text>
    </comment>
    <comment ref="C18" authorId="6" shapeId="0">
      <text>
        <t>W8 19090</t>
      </text>
    </comment>
    <comment ref="G18" authorId="7" shapeId="0">
      <text>
        <t xml:space="preserve">Tran Dat:
19990
</t>
      </text>
    </comment>
    <comment ref="F19" authorId="1" shapeId="0">
      <text>
        <t>Người dùng Không xác định:
27.890</t>
      </text>
    </comment>
    <comment ref="B20" authorId="4" shapeId="0">
      <text>
        <t>was 36640</t>
      </text>
    </comment>
    <comment ref="F20" authorId="1" shapeId="0">
      <text>
        <t>Người dùng Không xác định:
35.890</t>
      </text>
    </comment>
    <comment ref="C23" authorId="6" shapeId="0">
      <text>
        <t>W8 6690</t>
      </text>
    </comment>
    <comment ref="D23" authorId="1" shapeId="0">
      <text>
        <t>Người dùng Không xác định:
6.690</t>
      </text>
    </comment>
    <comment ref="E23" authorId="4" shapeId="0">
      <text>
        <t>was 6690</t>
      </text>
    </comment>
    <comment ref="F23" authorId="1" shapeId="0">
      <text>
        <t>Người dùng Không xác định:
6390000</t>
      </text>
    </comment>
    <comment ref="G23" authorId="7" shapeId="0">
      <text>
        <t>Tran Dat:
6990</t>
      </text>
    </comment>
    <comment ref="D24" authorId="1" shapeId="0">
      <text>
        <t>Người dùng Không xác định:
8.490k</t>
      </text>
    </comment>
    <comment ref="E24" authorId="4" shapeId="0">
      <text>
        <t xml:space="preserve">was 8190
</t>
      </text>
    </comment>
    <comment ref="F24" authorId="2" shapeId="0">
      <text>
        <t>danielnguyen6111998@gmail.com:
8290000</t>
      </text>
    </comment>
    <comment ref="C25" authorId="6" shapeId="0">
      <text>
        <t>W8 7650</t>
      </text>
    </comment>
    <comment ref="D25" authorId="0" shapeId="0">
      <text>
        <t>chit trang:
7.890</t>
      </text>
    </comment>
    <comment ref="E25" authorId="4" shapeId="0">
      <text>
        <t>was 7690</t>
      </text>
    </comment>
    <comment ref="F25" authorId="2" shapeId="0">
      <text>
        <t>danielnguyen6111998@gmail.com:
7390000</t>
      </text>
    </comment>
    <comment ref="G25" authorId="7" shapeId="0">
      <text>
        <t>Tran Dat:
7890</t>
      </text>
    </comment>
    <comment ref="E26" authorId="4" shapeId="0">
      <text>
        <t xml:space="preserve">was 8990
</t>
      </text>
    </comment>
    <comment ref="C27" authorId="6" shapeId="0">
      <text>
        <t>W8 11290</t>
      </text>
    </comment>
    <comment ref="D27" authorId="1" shapeId="0">
      <text>
        <t>Người dùng Không xác định:
11.490</t>
      </text>
    </comment>
    <comment ref="E27" authorId="4" shapeId="0">
      <text>
        <t xml:space="preserve">was 11290
</t>
      </text>
    </comment>
    <comment ref="F27" authorId="2" shapeId="0">
      <text>
        <t>danielnguyen6111998@gmail.com:
10990000</t>
      </text>
    </comment>
    <comment ref="D28" authorId="1" shapeId="0">
      <text>
        <t>Người dùng Không xác định:
14.490</t>
      </text>
    </comment>
    <comment ref="E28" authorId="4" shapeId="0">
      <text>
        <t xml:space="preserve">was 14190
</t>
      </text>
    </comment>
    <comment ref="D29" authorId="1" shapeId="0">
      <text>
        <t>Người dùng Không xác định:
12.390</t>
      </text>
    </comment>
    <comment ref="E29" authorId="4" shapeId="0">
      <text>
        <t xml:space="preserve">was 12190000
</t>
      </text>
    </comment>
    <comment ref="F29" authorId="1" shapeId="0">
      <text>
        <t>11990000</t>
      </text>
    </comment>
    <comment ref="E30" authorId="4" shapeId="0">
      <text>
        <t>was 14990</t>
      </text>
    </comment>
    <comment ref="F30" authorId="2" shapeId="0">
      <text>
        <t>danielnguyen6111998@gmail.com:
15349000</t>
      </text>
    </comment>
    <comment ref="D31" authorId="0" shapeId="0">
      <text>
        <t>chit trang:
23.790k</t>
      </text>
    </comment>
    <comment ref="B32" authorId="4" shapeId="0">
      <text>
        <t>was 5550
VNP40</t>
      </text>
    </comment>
    <comment ref="C32" authorId="6" shapeId="0">
      <text>
        <t>W8 5090</t>
      </text>
    </comment>
    <comment ref="D32" authorId="0" shapeId="0">
      <text>
        <t>chit trang:
5.390</t>
      </text>
    </comment>
    <comment ref="F32" authorId="1" shapeId="0">
      <text>
        <t>Người dùng Không xác định:
5090000</t>
      </text>
    </comment>
    <comment ref="B33" authorId="4" shapeId="0">
      <text>
        <t xml:space="preserve">was 4490
</t>
      </text>
    </comment>
    <comment ref="C33" authorId="6" shapeId="0">
      <text>
        <t>W8 4590</t>
      </text>
    </comment>
    <comment ref="E33" authorId="4" shapeId="0">
      <text>
        <t xml:space="preserve">was 4390
</t>
      </text>
    </comment>
    <comment ref="F33" authorId="1" shapeId="0">
      <text>
        <t>Người dùng Không xác định:
3.090</t>
      </text>
    </comment>
    <comment ref="B34" authorId="4" shapeId="0">
      <text>
        <t>was 3190</t>
      </text>
    </comment>
    <comment ref="C34" authorId="6" shapeId="0">
      <text>
        <t>W8 3190</t>
      </text>
    </comment>
    <comment ref="D34" authorId="0" shapeId="0">
      <text>
        <t>chit trang:
3.390</t>
      </text>
    </comment>
    <comment ref="E34" authorId="4" shapeId="0">
      <text>
        <t xml:space="preserve">was 2990
</t>
      </text>
    </comment>
    <comment ref="G34" authorId="3" shapeId="0">
      <text>
        <t>Dat's MacBook Pro:
3390</t>
      </text>
    </comment>
    <comment ref="D35" authorId="1" shapeId="0">
      <text>
        <t>Người dùng Không xác định:
6.790.000</t>
      </text>
    </comment>
    <comment ref="F36" authorId="1" shapeId="0">
      <text>
        <t>Người dùng Không xác định: 19.790</t>
      </text>
    </comment>
    <comment ref="D37" authorId="1" shapeId="0">
      <text>
        <t>Người dùng Không xác định:
25.190k</t>
      </text>
    </comment>
    <comment ref="F37" authorId="1" shapeId="0">
      <text>
        <t>Người dùng Không xác định:
25.190</t>
      </text>
    </comment>
    <comment ref="C38" authorId="6" shapeId="0">
      <text>
        <t>W8 29990</t>
      </text>
    </comment>
    <comment ref="D38" authorId="0" shapeId="0">
      <text>
        <t>chit trang:
29.390</t>
      </text>
    </comment>
    <comment ref="G38" authorId="3" shapeId="0">
      <text>
        <t xml:space="preserve">Dat's MacBook Pro:
29690
</t>
      </text>
    </comment>
  </commentList>
</comments>
</file>

<file path=xl/comments/comment85.xml><?xml version="1.0" encoding="utf-8"?>
<comments xmlns="http://schemas.openxmlformats.org/spreadsheetml/2006/main">
  <authors>
    <author>chit trang</author>
    <author>tc={5DC336CE-F375-574A-A51A-705FECD8A1EB}</author>
    <author>Dat's MacBook Pro</author>
    <author>Microsoft Office User</author>
    <author>danielnguyen6111998@gmail.com</author>
    <author>Người dùng Khách</author>
    <author>Duy</author>
    <author>Việt Hoàng</author>
    <author>tc={624B36AF-7166-134F-A835-B80EC4CFDBC3}</author>
    <author>Tran Dat</author>
    <author>tc={C5F8C2DD-C2AE-FF46-A4A6-3C1E128A763B}</author>
    <author>tc={66E7F404-2AF0-464C-A845-2331BDA375D8}</author>
    <author>tc={E555EDD6-8C2E-1244-B0FF-8F8522CF831F}</author>
  </authors>
  <commentList>
    <comment ref="D3" authorId="0" shapeId="0">
      <text>
        <t>chit trang:
30.390</t>
      </text>
    </comment>
    <comment ref="F3" authorId="1" shapeId="0">
      <text>
        <t>[Threaded comment]
Your version of Excel allows you to read this threaded comment; however, any edits to it will get removed if the file is opened in a newer version of Excel. Learn more: https://go.microsoft.com/fwlink/?linkid=870924
Comment:
    Người dùng Không xác định:
31.990
Reply:
    30890000</t>
      </text>
    </comment>
    <comment ref="G3" authorId="2" shapeId="0">
      <text>
        <t>Dat's MacBook Pro:
30290</t>
      </text>
    </comment>
    <comment ref="E4" authorId="3" shapeId="0">
      <text>
        <t>was 33990
VNP500</t>
      </text>
    </comment>
    <comment ref="F4" authorId="4" shapeId="0">
      <text>
        <t>danielnguyen6111998@gmail.com:
34790000</t>
      </text>
    </comment>
    <comment ref="G4" authorId="2" shapeId="0">
      <text>
        <t>Dat's MacBook Pro:
34790</t>
      </text>
    </comment>
    <comment ref="E5" authorId="3" shapeId="0">
      <text>
        <t>was 37490
VNP500</t>
      </text>
    </comment>
    <comment ref="D7" authorId="5" shapeId="0">
      <text>
        <t>Người dùng Không xác định:
20.690</t>
      </text>
    </comment>
    <comment ref="E7" authorId="3" shapeId="0">
      <text>
        <t>was 20990
Giờ vàng</t>
      </text>
    </comment>
    <comment ref="F7" authorId="5" shapeId="0">
      <text>
        <t xml:space="preserve">Người dùng Không xác định:
20590000
</t>
      </text>
    </comment>
    <comment ref="B8" authorId="3" shapeId="0">
      <text>
        <t>was 24640000
VNP150</t>
      </text>
    </comment>
    <comment ref="C8" authorId="6" shapeId="0">
      <text>
        <t>W9 24990</t>
      </text>
    </comment>
    <comment ref="E8" authorId="3" shapeId="0">
      <text>
        <t>was 24190
Giờ vàng</t>
      </text>
    </comment>
    <comment ref="G8" authorId="2" shapeId="0">
      <text>
        <t>Dat's MacBook Pro:
23.990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7" shapeId="0">
      <text>
        <t>Việt Hoàng:
29.900</t>
      </text>
    </comment>
    <comment ref="F10" authorId="4" shapeId="0">
      <text>
        <t>29890000</t>
      </text>
    </comment>
    <comment ref="D11" authorId="0" shapeId="0">
      <text>
        <t>chit trang:
17.090k</t>
      </text>
    </comment>
    <comment ref="E11" authorId="3" shapeId="0">
      <text>
        <t>was 16790
Giờ vàng</t>
      </text>
    </comment>
    <comment ref="F11" authorId="5" shapeId="0">
      <text>
        <t>Người dùng Không xác định:16890000
16990000</t>
      </text>
    </comment>
    <comment ref="F12" authorId="5" shapeId="0">
      <text>
        <t>Người dùng Không xác định:
18.990</t>
      </text>
    </comment>
    <comment ref="D13" authorId="5" shapeId="0">
      <text>
        <t>Người dùng Không xác định:
13.490</t>
      </text>
    </comment>
    <comment ref="F13" authorId="5" shapeId="0">
      <text>
        <t>Người dùng Không xác định:
13390000</t>
      </text>
    </comment>
    <comment ref="G13" authorId="2" shapeId="0">
      <text>
        <t xml:space="preserve">Dat's MacBook Pro:
13490
</t>
      </text>
    </comment>
    <comment ref="B14" authorId="3" shapeId="0">
      <text>
        <t>was 13190
VNP100</t>
      </text>
    </comment>
    <comment ref="C14" authorId="6" shapeId="0">
      <text>
        <t>W9 12390</t>
      </text>
    </comment>
    <comment ref="D14" authorId="5" shapeId="0">
      <text>
        <t>Người dùng Không xác định:
11.990</t>
      </text>
    </comment>
    <comment ref="F14" authorId="5" shapeId="0">
      <text>
        <t>11990000</t>
      </text>
    </comment>
    <comment ref="C15" authorId="6" shapeId="0">
      <text>
        <t>W9 11790</t>
      </text>
    </comment>
    <comment ref="D15" authorId="5" shapeId="0">
      <text>
        <t>Người dùng Không xác định:
11.790</t>
      </text>
    </comment>
    <comment ref="E15" authorId="3" shapeId="0">
      <text>
        <t>was 11590
HSSV 200</t>
      </text>
    </comment>
    <comment ref="F15" authorId="8" shapeId="0">
      <text>
        <t>[Threaded comment]
Your version of Excel allows you to read this threaded comment; however, any edits to it will get removed if the file is opened in a newer version of Excel. Learn more: https://go.microsoft.com/fwlink/?linkid=870924
Comment:
    11.790.000</t>
      </text>
    </comment>
    <comment ref="B16" authorId="3" shapeId="0">
      <text>
        <t>was 7040
VNP40</t>
      </text>
    </comment>
    <comment ref="C16" authorId="6" shapeId="0">
      <text>
        <t>W9 8490</t>
      </text>
    </comment>
    <comment ref="D16" authorId="0" shapeId="0">
      <text>
        <t>chit trang:
8.490</t>
      </text>
    </comment>
    <comment ref="E16" authorId="3" shapeId="0">
      <text>
        <t>was 8390
Giả 200K HSSV</t>
      </text>
    </comment>
    <comment ref="F16" authorId="5" shapeId="0">
      <text>
        <t>8690000</t>
      </text>
    </comment>
    <comment ref="G16" authorId="9" shapeId="0">
      <text>
        <t>8990</t>
      </text>
    </comment>
    <comment ref="B17" authorId="3" shapeId="0">
      <text>
        <t>was 14390</t>
      </text>
    </comment>
    <comment ref="C17" authorId="6" shapeId="0">
      <text>
        <t>W9 13190</t>
      </text>
    </comment>
    <comment ref="D17" authorId="5" shapeId="0">
      <text>
        <t>Người dùng Không xác định:
13.190</t>
      </text>
    </comment>
    <comment ref="E17" authorId="3" shapeId="0">
      <text>
        <t>was 12790
hssv 200</t>
      </text>
    </comment>
    <comment ref="F17" authorId="5" shapeId="0">
      <text>
        <t>Người dùng Không xác định:
13690000</t>
      </text>
    </comment>
    <comment ref="G17" authorId="9" shapeId="0">
      <text>
        <t>15690</t>
      </text>
    </comment>
    <comment ref="C18" authorId="6" shapeId="0">
      <text>
        <t>W9 18890</t>
      </text>
    </comment>
    <comment ref="D18" authorId="5" shapeId="0">
      <text>
        <t>Người dùng Không xác định:
18.890</t>
      </text>
    </comment>
    <comment ref="F18" authorId="10" shapeId="0">
      <text>
        <t>[Threaded comment]
Your version of Excel allows you to read this threaded comment; however, any edits to it will get removed if the file is opened in a newer version of Excel. Learn more: https://go.microsoft.com/fwlink/?linkid=870924
Comment:
    18890000</t>
      </text>
    </comment>
    <comment ref="G18" authorId="9" shapeId="0">
      <text>
        <t xml:space="preserve">Tran Dat:
19990
</t>
      </text>
    </comment>
    <comment ref="F19" authorId="5" shapeId="0">
      <text>
        <t>28190000</t>
      </text>
    </comment>
    <comment ref="B20" authorId="3" shapeId="0">
      <text>
        <t>was 36640</t>
      </text>
    </comment>
    <comment ref="E20" authorId="3" shapeId="0">
      <text>
        <t xml:space="preserve">was 34490
</t>
      </text>
    </comment>
    <comment ref="F20" authorId="5" shapeId="0">
      <text>
        <t>Người dùng Không xác định:
35.890</t>
      </text>
    </comment>
    <comment ref="E21" authorId="3" shapeId="0">
      <text>
        <t>was 29490</t>
      </text>
    </comment>
    <comment ref="E22" authorId="3" shapeId="0">
      <text>
        <t>was 39490</t>
      </text>
    </comment>
    <comment ref="C23" authorId="6" shapeId="0">
      <text>
        <t>W9 6390</t>
      </text>
    </comment>
    <comment ref="D23" authorId="5" shapeId="0">
      <text>
        <t>Người dùng Không xác định:
6.290</t>
      </text>
    </comment>
    <comment ref="F23" authorId="5" shapeId="0">
      <text>
        <t>Người dùng Không xác định:
6390000</t>
      </text>
    </comment>
    <comment ref="C24" authorId="6" shapeId="0">
      <text>
        <t>W9 8290</t>
      </text>
    </comment>
    <comment ref="D24" authorId="5" shapeId="0">
      <text>
        <t>Người dùng Không xác định:
8.290</t>
      </text>
    </comment>
    <comment ref="F24" authorId="4" shapeId="0">
      <text>
        <t>danielnguyen6111998@gmail.com:
8290000</t>
      </text>
    </comment>
    <comment ref="C25" authorId="6" shapeId="0">
      <text>
        <t>W9 7390</t>
      </text>
    </comment>
    <comment ref="D25" authorId="0" shapeId="0">
      <text>
        <t>chit trang:
7.390</t>
      </text>
    </comment>
    <comment ref="F25" authorId="4" shapeId="0">
      <text>
        <t>danielnguyen6111998@gmail.com:
7390000</t>
      </text>
    </comment>
    <comment ref="C26" authorId="6" shapeId="0">
      <text>
        <t>W9 9090</t>
      </text>
    </comment>
    <comment ref="D26" authorId="5" shapeId="0">
      <text>
        <t>Người dùng Không xác định:
9.390</t>
      </text>
    </comment>
    <comment ref="C27" authorId="6" shapeId="0">
      <text>
        <t>W9 10990</t>
      </text>
    </comment>
    <comment ref="D27" authorId="5" shapeId="0">
      <text>
        <t>Người dùng Không xác định:
11.890</t>
      </text>
    </comment>
    <comment ref="E27" authorId="3" shapeId="0">
      <text>
        <t xml:space="preserve">was 10990
</t>
      </text>
    </comment>
    <comment ref="F27" authorId="4" shapeId="0">
      <text>
        <t>10790000</t>
      </text>
    </comment>
    <comment ref="C28" authorId="6" shapeId="0">
      <text>
        <t>W9 14490</t>
      </text>
    </comment>
    <comment ref="D28" authorId="5" shapeId="0">
      <text>
        <t>Người dùng Không xác định:
14.290</t>
      </text>
    </comment>
    <comment ref="C29" authorId="6" shapeId="0">
      <text>
        <t>W9 12090</t>
      </text>
    </comment>
    <comment ref="E29" authorId="3" shapeId="0">
      <text>
        <t xml:space="preserve">was 11490
</t>
      </text>
    </comment>
    <comment ref="F29" authorId="5" shapeId="0">
      <text>
        <t>11990000</t>
      </text>
    </comment>
    <comment ref="C30" authorId="6" shapeId="0">
      <text>
        <t>W9 15350</t>
      </text>
    </comment>
    <comment ref="D30" authorId="5" shapeId="0">
      <text>
        <t>Người dùng Không xác định:
15.350</t>
      </text>
    </comment>
    <comment ref="F30" authorId="4" shapeId="0">
      <text>
        <t>15290000</t>
      </text>
    </comment>
    <comment ref="C31" authorId="6" shapeId="0">
      <text>
        <t>W9 23990</t>
      </text>
    </comment>
    <comment ref="D31" authorId="0" shapeId="0">
      <text>
        <t>chit trang:
23.990k</t>
      </text>
    </comment>
    <comment ref="F31" authorId="11" shapeId="0">
      <text>
        <t>[Threaded comment]
Your version of Excel allows you to read this threaded comment; however, any edits to it will get removed if the file is opened in a newer version of Excel. Learn more: https://go.microsoft.com/fwlink/?linkid=870924
Comment:
    23990000</t>
      </text>
    </comment>
    <comment ref="B32" authorId="3" shapeId="0">
      <text>
        <t>was 5550
VNP40</t>
      </text>
    </comment>
    <comment ref="C32" authorId="6" shapeId="0">
      <text>
        <t>W9 4790</t>
      </text>
    </comment>
    <comment ref="D32" authorId="0" shapeId="0">
      <text>
        <t>chit trang:
5.390</t>
      </text>
    </comment>
    <comment ref="E32" authorId="3" shapeId="0">
      <text>
        <t>was 5590</t>
      </text>
    </comment>
    <comment ref="F32" authorId="5" shapeId="0">
      <text>
        <t>Người dùng Không xác định:
4790000</t>
      </text>
    </comment>
    <comment ref="B33" authorId="3" shapeId="0">
      <text>
        <t xml:space="preserve">was 4490
</t>
      </text>
    </comment>
    <comment ref="C33" authorId="6" shapeId="0">
      <text>
        <t>W9 4290</t>
      </text>
    </comment>
    <comment ref="D33" authorId="5" shapeId="0">
      <text>
        <t>Người dùng Không xác định:
4.290k</t>
      </text>
    </comment>
    <comment ref="E33" authorId="3" shapeId="0">
      <text>
        <t xml:space="preserve">was 4190
</t>
      </text>
    </comment>
    <comment ref="F33" authorId="5" shapeId="0">
      <text>
        <t>Người dùng Không xác định:
4390000</t>
      </text>
    </comment>
    <comment ref="B34" authorId="3" shapeId="0">
      <text>
        <t>was 3190</t>
      </text>
    </comment>
    <comment ref="C34" authorId="6" shapeId="0">
      <text>
        <t>W9 3090</t>
      </text>
    </comment>
    <comment ref="D34" authorId="0" shapeId="0">
      <text>
        <t>chit trang:
2.990</t>
      </text>
    </comment>
    <comment ref="E34" authorId="3" shapeId="0">
      <text>
        <t xml:space="preserve">was 2890
</t>
      </text>
    </comment>
    <comment ref="F34" authorId="12" shapeId="0">
      <text>
        <t>[Threaded comment]
Your version of Excel allows you to read this threaded comment; however, any edits to it will get removed if the file is opened in a newer version of Excel. Learn more: https://go.microsoft.com/fwlink/?linkid=870924
Comment:
    3090000</t>
      </text>
    </comment>
    <comment ref="C35" authorId="6" shapeId="0">
      <text>
        <t>W9 6690</t>
      </text>
    </comment>
    <comment ref="D35" authorId="5" shapeId="0">
      <text>
        <t>Người dùng Không xác định:
6.690.000</t>
      </text>
    </comment>
    <comment ref="F36" authorId="5" shapeId="0">
      <text>
        <t>Người dùng Không xác định: 19.790</t>
      </text>
    </comment>
    <comment ref="F37" authorId="5" shapeId="0">
      <text>
        <t>Người dùng Không xác định:
25.190</t>
      </text>
    </comment>
    <comment ref="C38" authorId="6" shapeId="0">
      <text>
        <t>W9 29590</t>
      </text>
    </comment>
    <comment ref="D38" authorId="0" shapeId="0">
      <text>
        <t>chit trang:
28.990</t>
      </text>
    </comment>
    <comment ref="F38" authorId="2" shapeId="0">
      <text>
        <t xml:space="preserve">Dat's MacBook Pro:
29690
</t>
      </text>
    </comment>
    <comment ref="G38" authorId="2" shapeId="0">
      <text>
        <t xml:space="preserve">Dat's MacBook Pro:
29690
</t>
      </text>
    </comment>
  </commentList>
</comments>
</file>

<file path=xl/comments/comment86.xml><?xml version="1.0" encoding="utf-8"?>
<comments xmlns="http://schemas.openxmlformats.org/spreadsheetml/2006/main">
  <authors>
    <author>tc={1AD14A46-81F3-614A-B7B6-B36FF6FDB5F3}</author>
    <author>Dat's MacBook Pro</author>
    <author>Người dùng Khách</author>
    <author>danielnguyen6111998@gmail.com</author>
    <author>Microsoft Office User</author>
    <author>Duy</author>
    <author>Việt Hoàng</author>
    <author>chit trang</author>
  </authors>
  <commentList>
    <comment ref="F3" authorId="0" shapeId="0">
      <text>
        <t>[Threaded comment]
Your version of Excel allows you to read this threaded comment; however, any edits to it will get removed if the file is opened in a newer version of Excel. Learn more: https://go.microsoft.com/fwlink/?linkid=870924
Comment:
    Người dùng Không xác định:
31.990
Reply:
    30890000</t>
      </text>
    </comment>
    <comment ref="G3" authorId="1" shapeId="0">
      <text>
        <t>Dat's MacBook Pro:
30290</t>
      </text>
    </comment>
    <comment ref="D4" authorId="2" shapeId="0">
      <text>
        <t>Người dùng Không xác định:
34.7890</t>
      </text>
    </comment>
    <comment ref="F4" authorId="3" shapeId="0">
      <text>
        <t>danielnguyen6111998@gmail.com:
33990000</t>
      </text>
    </comment>
    <comment ref="G4" authorId="1" shapeId="0">
      <text>
        <t>Dat's MacBook Pro:
34790</t>
      </text>
    </comment>
    <comment ref="E5" authorId="4" shapeId="0">
      <text>
        <t>was 37190
Cam
VNP500</t>
      </text>
    </comment>
    <comment ref="F5" authorId="3" shapeId="0">
      <text>
        <t>danielnguyen6111998@gmail.com:
37990</t>
      </text>
    </comment>
    <comment ref="G7" authorId="1" shapeId="0">
      <text>
        <t>Dat's MacBook Pro:
20790</t>
      </text>
    </comment>
    <comment ref="B8" authorId="4" shapeId="0">
      <text>
        <t>was 24640000
VNP150</t>
      </text>
    </comment>
    <comment ref="G8" authorId="1" shapeId="0">
      <text>
        <t>Dat's MacBook Pro:
23.990</t>
      </text>
    </comment>
    <comment ref="F9" authorId="3" shapeId="0">
      <text>
        <t>danielnguyen6111998@gmail.com:
25690000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5" shapeId="0">
      <text>
        <t>W10 30590</t>
      </text>
    </comment>
    <comment ref="D10" authorId="6" shapeId="0">
      <text>
        <t>Việt Hoàng:30.490</t>
      </text>
    </comment>
    <comment ref="F10" authorId="3" shapeId="0">
      <text>
        <t>30590000</t>
      </text>
    </comment>
    <comment ref="G10" authorId="1" shapeId="0">
      <text>
        <t>Dat's MacBook Pro:
29690</t>
      </text>
    </comment>
    <comment ref="D11" authorId="7" shapeId="0">
      <text>
        <t>chit trang:
17.090k</t>
      </text>
    </comment>
    <comment ref="F11" authorId="2" shapeId="0">
      <text>
        <t>Người dùng Không xác định:16890000
16990000</t>
      </text>
    </comment>
    <comment ref="G13" authorId="1" shapeId="0">
      <text>
        <t xml:space="preserve">Dat's MacBook Pro:
13490
</t>
      </text>
    </comment>
    <comment ref="B14" authorId="4" shapeId="0">
      <text>
        <t>was 13190
VNP100</t>
      </text>
    </comment>
    <comment ref="D14" authorId="2" shapeId="0">
      <text>
        <t>Người dùng Không xác định:
11.990</t>
      </text>
    </comment>
    <comment ref="B16" authorId="4" shapeId="0">
      <text>
        <t>was 7040
VNP40</t>
      </text>
    </comment>
    <comment ref="D16" authorId="7" shapeId="0">
      <text>
        <t>chit trang:
9.490</t>
      </text>
    </comment>
    <comment ref="B17" authorId="4" shapeId="0">
      <text>
        <t>was 14390</t>
      </text>
    </comment>
    <comment ref="B20" authorId="4" shapeId="0">
      <text>
        <t>was 36640</t>
      </text>
    </comment>
    <comment ref="G21" authorId="1" shapeId="0">
      <text>
        <t>Dat's MacBook Pro:
29.590</t>
      </text>
    </comment>
    <comment ref="C23" authorId="5" shapeId="0">
      <text>
        <t>W10 6190</t>
      </text>
    </comment>
    <comment ref="D23" authorId="2" shapeId="0">
      <text>
        <t>Người dùng Không xác định:
6.090</t>
      </text>
    </comment>
    <comment ref="E23" authorId="4" shapeId="0">
      <text>
        <t>was 6590
new 500</t>
      </text>
    </comment>
    <comment ref="C24" authorId="5" shapeId="0">
      <text>
        <t>W10 8090</t>
      </text>
    </comment>
    <comment ref="D24" authorId="2" shapeId="0">
      <text>
        <t>Người dùng Không xác định:
8.290</t>
      </text>
    </comment>
    <comment ref="E24" authorId="4" shapeId="0">
      <text>
        <t>was 7990
new 500</t>
      </text>
    </comment>
    <comment ref="F24" authorId="3" shapeId="0">
      <text>
        <t>danielnguyen6111998@gmail.com:
8190000</t>
      </text>
    </comment>
    <comment ref="E25" authorId="4" shapeId="0">
      <text>
        <t>was 7290
new 500</t>
      </text>
    </comment>
    <comment ref="F25" authorId="3" shapeId="0">
      <text>
        <t>danielnguyen6111998@gmail.com:
7290000</t>
      </text>
    </comment>
    <comment ref="D26" authorId="2" shapeId="0">
      <text>
        <t>Người dùng Không xác định:
9.390</t>
      </text>
    </comment>
    <comment ref="E26" authorId="4" shapeId="0">
      <text>
        <t>was 8990
New 500</t>
      </text>
    </comment>
    <comment ref="F26" authorId="3" shapeId="0">
      <text>
        <t xml:space="preserve">danielnguyen6111998@gmail.com:
8990000
</t>
      </text>
    </comment>
    <comment ref="C27" authorId="5" shapeId="0">
      <text>
        <t>W10 10690</t>
      </text>
    </comment>
    <comment ref="D27" authorId="2" shapeId="0">
      <text>
        <t>Người dùng Không xác định:
10.690</t>
      </text>
    </comment>
    <comment ref="E27" authorId="4" shapeId="0">
      <text>
        <t>was 10790
New 500</t>
      </text>
    </comment>
    <comment ref="F27" authorId="3" shapeId="0">
      <text>
        <t>10890000</t>
      </text>
    </comment>
    <comment ref="C28" authorId="5" shapeId="0">
      <text>
        <t>W10 14090</t>
      </text>
    </comment>
    <comment ref="D28" authorId="2" shapeId="0">
      <text>
        <t>Người dùng Không xác định:
14.290</t>
      </text>
    </comment>
    <comment ref="E28" authorId="4" shapeId="0">
      <text>
        <t>was 13590
new 500</t>
      </text>
    </comment>
    <comment ref="F28" authorId="3" shapeId="0">
      <text>
        <t>danielnguyen6111998@gmail.com:
14290000</t>
      </text>
    </comment>
    <comment ref="E29" authorId="4" shapeId="0">
      <text>
        <t xml:space="preserve">was 12190
new 500
</t>
      </text>
    </comment>
    <comment ref="F29" authorId="2" shapeId="0">
      <text>
        <t>11990000</t>
      </text>
    </comment>
    <comment ref="C30" authorId="5" shapeId="0">
      <text>
        <t>W10 14990</t>
      </text>
    </comment>
    <comment ref="D30" authorId="2" shapeId="0">
      <text>
        <t>Người dùng Không xác định:
15.350</t>
      </text>
    </comment>
    <comment ref="E30" authorId="4" shapeId="0">
      <text>
        <t>was 14390
New: 500</t>
      </text>
    </comment>
    <comment ref="F30" authorId="3" shapeId="0">
      <text>
        <t>15090000</t>
      </text>
    </comment>
    <comment ref="C31" authorId="5" shapeId="0">
      <text>
        <t>W10 23590</t>
      </text>
    </comment>
    <comment ref="D31" authorId="7" shapeId="0">
      <text>
        <t>chit trang:
23.590k</t>
      </text>
    </comment>
    <comment ref="F31" authorId="3" shapeId="0">
      <text>
        <t xml:space="preserve">danielnguyen6111998@gmail.com:
23.590
</t>
      </text>
    </comment>
    <comment ref="B32" authorId="4" shapeId="0">
      <text>
        <t>was 5550
VNP40</t>
      </text>
    </comment>
    <comment ref="C32" authorId="5" shapeId="0">
      <text>
        <t>W10 5190</t>
      </text>
    </comment>
    <comment ref="D32" authorId="7" shapeId="0">
      <text>
        <t>chit trang:
5.390</t>
      </text>
    </comment>
    <comment ref="F32" authorId="2" shapeId="0">
      <text>
        <t>Người dùng Không xác định:
5190000</t>
      </text>
    </comment>
    <comment ref="B33" authorId="4" shapeId="0">
      <text>
        <t xml:space="preserve">was 4490
</t>
      </text>
    </comment>
    <comment ref="C33" authorId="5" shapeId="0">
      <text>
        <t>W10 4790</t>
      </text>
    </comment>
    <comment ref="D33" authorId="2" shapeId="0">
      <text>
        <t>Người dùng Không xác định:
4.690</t>
      </text>
    </comment>
    <comment ref="E33" authorId="4" shapeId="0">
      <text>
        <t xml:space="preserve">was 4490
</t>
      </text>
    </comment>
    <comment ref="F33" authorId="2" shapeId="0">
      <text>
        <t>Người dùng Không xác định:
4690000</t>
      </text>
    </comment>
    <comment ref="B34" authorId="4" shapeId="0">
      <text>
        <t>was 3190</t>
      </text>
    </comment>
    <comment ref="C34" authorId="5" shapeId="0">
      <text>
        <t>W10 3590</t>
      </text>
    </comment>
    <comment ref="D34" authorId="7" shapeId="0">
      <text>
        <t>chit trang:
3490</t>
      </text>
    </comment>
    <comment ref="E34" authorId="4" shapeId="0">
      <text>
        <t xml:space="preserve">was 3290
</t>
      </text>
    </comment>
    <comment ref="F34" authorId="3" shapeId="0">
      <text>
        <t>danielnguyen6111998@gmail.com:
3550000</t>
      </text>
    </comment>
    <comment ref="D36" authorId="2" shapeId="0">
      <text>
        <t>Người dùng Không xác định:
19.690</t>
      </text>
    </comment>
    <comment ref="F36" authorId="2" shapeId="0">
      <text>
        <t>Người dùng Không xác định: 19690000</t>
      </text>
    </comment>
    <comment ref="D37" authorId="2" shapeId="0">
      <text>
        <t>Người dùng Không xác định:
24990</t>
      </text>
    </comment>
    <comment ref="F37" authorId="2" shapeId="0">
      <text>
        <t>Người dùng Không xác định:
24990000</t>
      </text>
    </comment>
    <comment ref="C38" authorId="5" shapeId="0">
      <text>
        <t>W10 29290</t>
      </text>
    </comment>
    <comment ref="F38" authorId="1" shapeId="0">
      <text>
        <t xml:space="preserve">Dat's MacBook Pro:
29690
</t>
      </text>
    </comment>
  </commentList>
</comments>
</file>

<file path=xl/comments/comment87.xml><?xml version="1.0" encoding="utf-8"?>
<comments xmlns="http://schemas.openxmlformats.org/spreadsheetml/2006/main">
  <authors>
    <author>Người dùng Khách</author>
    <author>Dat's MacBook Pro</author>
    <author>Duy</author>
    <author>danielnguyen6111998@gmail.com</author>
    <author>Microsoft Office User</author>
    <author>Việt Hoàng</author>
    <author>chit trang</author>
  </authors>
  <commentList>
    <comment ref="D2" authorId="0" shapeId="0">
      <text>
        <t>Người dùng Không xác định:
24.990k</t>
      </text>
    </comment>
    <comment ref="F2" authorId="0" shapeId="0">
      <text>
        <t>Người dùng Không xác định:
24990000</t>
      </text>
    </comment>
    <comment ref="G2" authorId="1" shapeId="0">
      <text>
        <t>Dat's MacBook Pro:
24.990</t>
      </text>
    </comment>
    <comment ref="C3" authorId="2" shapeId="0">
      <text>
        <t>W11 30990</t>
      </text>
    </comment>
    <comment ref="D3" authorId="0" shapeId="0">
      <text>
        <t>Người dùng Không xác định:
30.790k</t>
      </text>
    </comment>
    <comment ref="F3" authorId="0" shapeId="0">
      <text>
        <t>Người dùng Không xác định:
30790000</t>
      </text>
    </comment>
    <comment ref="G3" authorId="1" shapeId="0">
      <text>
        <t>Dat's MacBook Pro:
30290</t>
      </text>
    </comment>
    <comment ref="C4" authorId="2" shapeId="0">
      <text>
        <t>w11 34990</t>
      </text>
    </comment>
    <comment ref="D4" authorId="0" shapeId="0">
      <text>
        <t>Người dùng Không xác định:
34.790</t>
      </text>
    </comment>
    <comment ref="F4" authorId="3" shapeId="0">
      <text>
        <t>danielnguyen6111998@gmail.com:
34590000</t>
      </text>
    </comment>
    <comment ref="G4" authorId="1" shapeId="0">
      <text>
        <t>Dat's MacBook Pro:
34790</t>
      </text>
    </comment>
    <comment ref="E5" authorId="4" shapeId="0">
      <text>
        <t>was 36490
Cam Xanh
VNP500</t>
      </text>
    </comment>
    <comment ref="F5" authorId="3" shapeId="0">
      <text>
        <t>danielnguyen6111998@gmail.com:
37990</t>
      </text>
    </comment>
    <comment ref="C6" authorId="2" shapeId="0">
      <text>
        <t>W11 14990</t>
      </text>
    </comment>
    <comment ref="D6" authorId="0" shapeId="0">
      <text>
        <t>Người dùng Không xác định:
14.990k</t>
      </text>
    </comment>
    <comment ref="C7" authorId="2" shapeId="0">
      <text>
        <t>W11 21290</t>
      </text>
    </comment>
    <comment ref="E7" authorId="4" shapeId="0">
      <text>
        <t>Giờ vàng</t>
      </text>
    </comment>
    <comment ref="G7" authorId="1" shapeId="0">
      <text>
        <t>Dat's MacBook Pro:
20790</t>
      </text>
    </comment>
    <comment ref="B8" authorId="4" shapeId="0">
      <text>
        <t>was 24640000
VNP150</t>
      </text>
    </comment>
    <comment ref="C8" authorId="2" shapeId="0">
      <text>
        <t>W11 25090</t>
      </text>
    </comment>
    <comment ref="D8" authorId="0" shapeId="0">
      <text>
        <t>Người dùng Không xác định:
24.790</t>
      </text>
    </comment>
    <comment ref="E8" authorId="4" shapeId="0">
      <text>
        <t>Giờ vàng</t>
      </text>
    </comment>
    <comment ref="G8" authorId="1" shapeId="0">
      <text>
        <t>Dat's MacBook Pro:
23.990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2" shapeId="0">
      <text>
        <t>W11 31590</t>
      </text>
    </comment>
    <comment ref="D10" authorId="5" shapeId="0">
      <text>
        <t>31.490</t>
      </text>
    </comment>
    <comment ref="E10" authorId="4" shapeId="0">
      <text>
        <t xml:space="preserve">was 30990
</t>
      </text>
    </comment>
    <comment ref="F10" authorId="3" shapeId="0">
      <text>
        <t>31390000</t>
      </text>
    </comment>
    <comment ref="G10" authorId="1" shapeId="0">
      <text>
        <t>Dat's MacBook Pro:
29690</t>
      </text>
    </comment>
    <comment ref="D11" authorId="6" shapeId="0">
      <text>
        <t>chit trang:
17.090k</t>
      </text>
    </comment>
    <comment ref="E11" authorId="4" shapeId="0">
      <text>
        <t>Giờ vàng</t>
      </text>
    </comment>
    <comment ref="F11" authorId="0" shapeId="0">
      <text>
        <t>Người dùng Không xác định:16890000
16990000</t>
      </text>
    </comment>
    <comment ref="G13" authorId="1" shapeId="0">
      <text>
        <t xml:space="preserve">Dat's MacBook Pro:
13490
</t>
      </text>
    </comment>
    <comment ref="B14" authorId="4" shapeId="0">
      <text>
        <t>was 13190
VNP100</t>
      </text>
    </comment>
    <comment ref="D14" authorId="0" shapeId="0">
      <text>
        <t>Người dùng Không xác định:
11.990</t>
      </text>
    </comment>
    <comment ref="E14" authorId="4" shapeId="0">
      <text>
        <t>Giờ vàng</t>
      </text>
    </comment>
    <comment ref="C15" authorId="2" shapeId="0">
      <text>
        <t>W11 13590</t>
      </text>
    </comment>
    <comment ref="D15" authorId="0" shapeId="0">
      <text>
        <t>Người dùng Không xác định:
13.590</t>
      </text>
    </comment>
    <comment ref="E15" authorId="4" shapeId="0">
      <text>
        <t>was 13290
HSSV 200</t>
      </text>
    </comment>
    <comment ref="F15" authorId="0" shapeId="0">
      <text>
        <t>Người dùng Không xác định:
13590000</t>
      </text>
    </comment>
    <comment ref="B16" authorId="4" shapeId="0">
      <text>
        <t>was 7040
VNP40</t>
      </text>
    </comment>
    <comment ref="C16" authorId="2" shapeId="0">
      <text>
        <t>W11 9390</t>
      </text>
    </comment>
    <comment ref="D16" authorId="6" shapeId="0">
      <text>
        <t>chit trang:
9.190</t>
      </text>
    </comment>
    <comment ref="E16" authorId="4" shapeId="0">
      <text>
        <t>was 9190
HSSV 200</t>
      </text>
    </comment>
    <comment ref="F16" authorId="0" shapeId="0">
      <text>
        <t>Người dùng Không xác định:
9390000</t>
      </text>
    </comment>
    <comment ref="G16" authorId="1" shapeId="0">
      <text>
        <t>Dat's MacBook Pro:
8890</t>
      </text>
    </comment>
    <comment ref="B17" authorId="4" shapeId="0">
      <text>
        <t>was 14390</t>
      </text>
    </comment>
    <comment ref="C17" authorId="2" shapeId="0">
      <text>
        <t>W11 16190</t>
      </text>
    </comment>
    <comment ref="D17" authorId="0" shapeId="0">
      <text>
        <t>Người dùng Không xác định:
16.190</t>
      </text>
    </comment>
    <comment ref="E17" authorId="4" shapeId="0">
      <text>
        <t>was 15590
HSSV 200</t>
      </text>
    </comment>
    <comment ref="F17" authorId="0" shapeId="0">
      <text>
        <t>Người dùng Không xác định:
16190000</t>
      </text>
    </comment>
    <comment ref="G17" authorId="1" shapeId="0">
      <text>
        <t>Dat's MacBook Pro:
15490</t>
      </text>
    </comment>
    <comment ref="C18" authorId="2" shapeId="0">
      <text>
        <t>W11 21490</t>
      </text>
    </comment>
    <comment ref="D18" authorId="0" shapeId="0">
      <text>
        <t>Người dùng Không xác định:
21.490</t>
      </text>
    </comment>
    <comment ref="F18" authorId="0" shapeId="0">
      <text>
        <t>Người dùng Không xác định:
21490000</t>
      </text>
    </comment>
    <comment ref="G18" authorId="1" shapeId="0">
      <text>
        <t>Dat's MacBook Pro:
21390</t>
      </text>
    </comment>
    <comment ref="F19" authorId="0" shapeId="0">
      <text>
        <t>Người dùng Không xác định:
27990000</t>
      </text>
    </comment>
    <comment ref="B20" authorId="4" shapeId="0">
      <text>
        <t>was 36640</t>
      </text>
    </comment>
    <comment ref="F20" authorId="0" shapeId="0">
      <text>
        <t>Người dùng Không xác định:
36490000</t>
      </text>
    </comment>
    <comment ref="G21" authorId="1" shapeId="0">
      <text>
        <t>Dat's MacBook Pro:
29.590</t>
      </text>
    </comment>
    <comment ref="C23" authorId="2" shapeId="0">
      <text>
        <t>W11 5990</t>
      </text>
    </comment>
    <comment ref="D23" authorId="0" shapeId="0">
      <text>
        <t>Người dùng Không xác định:5.890</t>
      </text>
    </comment>
    <comment ref="E23" authorId="4" shapeId="0">
      <text>
        <t>was 6190
new 500</t>
      </text>
    </comment>
    <comment ref="F23" authorId="0" shapeId="0">
      <text>
        <t xml:space="preserve">Người dùng Không xác định:
5990000
</t>
      </text>
    </comment>
    <comment ref="G23" authorId="1" shapeId="0">
      <text>
        <t>Dat's MacBook Pro:
6690</t>
      </text>
    </comment>
    <comment ref="C24" authorId="2" shapeId="0">
      <text>
        <t>W11 7990</t>
      </text>
    </comment>
    <comment ref="D24" authorId="0" shapeId="0">
      <text>
        <t>Người dùng Không xác định:
8.290</t>
      </text>
    </comment>
    <comment ref="E24" authorId="4" shapeId="0">
      <text>
        <t>was 7690
new 500</t>
      </text>
    </comment>
    <comment ref="F24" authorId="3" shapeId="0">
      <text>
        <t>danielnguyen6111998@gmail.com:
7990</t>
      </text>
    </comment>
    <comment ref="G24" authorId="1" shapeId="0">
      <text>
        <t>Dat's MacBook Pro:
7990</t>
      </text>
    </comment>
    <comment ref="C25" authorId="2" shapeId="0">
      <text>
        <t>W11 7190</t>
      </text>
    </comment>
    <comment ref="D25" authorId="0" shapeId="0">
      <text>
        <t>Người dùng Không xác định:
7.190</t>
      </text>
    </comment>
    <comment ref="E25" authorId="4" shapeId="0">
      <text>
        <t>was 7190
new 500</t>
      </text>
    </comment>
    <comment ref="F25" authorId="3" shapeId="0">
      <text>
        <t>danielnguyen6111998@gmail.com:
7290000</t>
      </text>
    </comment>
    <comment ref="C26" authorId="2" shapeId="0">
      <text>
        <t>W11 8790</t>
      </text>
    </comment>
    <comment ref="E26" authorId="4" shapeId="0">
      <text>
        <t>was 8490
New 500</t>
      </text>
    </comment>
    <comment ref="F26" authorId="3" shapeId="0">
      <text>
        <t xml:space="preserve">danielnguyen6111998@gmail.com:
8990000
</t>
      </text>
    </comment>
    <comment ref="C27" authorId="2" shapeId="0">
      <text>
        <t>W11 10590</t>
      </text>
    </comment>
    <comment ref="D27" authorId="0" shapeId="0">
      <text>
        <t>Người dùng Không xác định:
10.490</t>
      </text>
    </comment>
    <comment ref="E27" authorId="4" shapeId="0">
      <text>
        <t>was 10790
New 500</t>
      </text>
    </comment>
    <comment ref="F27" authorId="3" shapeId="0">
      <text>
        <t>10490000</t>
      </text>
    </comment>
    <comment ref="G27" authorId="1" shapeId="0">
      <text>
        <t>Dat's MacBook Pro:
9890</t>
      </text>
    </comment>
    <comment ref="C28" authorId="2" shapeId="0">
      <text>
        <t>W11 13990</t>
      </text>
    </comment>
    <comment ref="D28" authorId="0" shapeId="0">
      <text>
        <t>Người dùng Không xác định:
14.290</t>
      </text>
    </comment>
    <comment ref="E28" authorId="4" shapeId="0">
      <text>
        <t>was 13690
new 500</t>
      </text>
    </comment>
    <comment ref="F28" authorId="3" shapeId="0">
      <text>
        <t>danielnguyen6111998@gmail.com:
14290000</t>
      </text>
    </comment>
    <comment ref="C29" authorId="2" shapeId="0">
      <text>
        <t>W11 11890</t>
      </text>
    </comment>
    <comment ref="E29" authorId="4" shapeId="0">
      <text>
        <t xml:space="preserve">was 11690
new 500
</t>
      </text>
    </comment>
    <comment ref="F29" authorId="0" shapeId="0">
      <text>
        <t>11890000</t>
      </text>
    </comment>
    <comment ref="G29" authorId="1" shapeId="0">
      <text>
        <t>Dat's MacBook Pro:
11750</t>
      </text>
    </comment>
    <comment ref="D30" authorId="0" shapeId="0">
      <text>
        <t>Người dùng Không xác định:
14.890</t>
      </text>
    </comment>
    <comment ref="E30" authorId="4" shapeId="0">
      <text>
        <t>was 14490
New: 500</t>
      </text>
    </comment>
    <comment ref="F30" authorId="3" shapeId="0">
      <text>
        <t>14890000</t>
      </text>
    </comment>
    <comment ref="G30" authorId="1" shapeId="0">
      <text>
        <t>Dat's MacBook Pro:
15290</t>
      </text>
    </comment>
    <comment ref="C31" authorId="2" shapeId="0">
      <text>
        <t>W11 23390</t>
      </text>
    </comment>
    <comment ref="D31" authorId="6" shapeId="0">
      <text>
        <t>chit trang:
23.390k</t>
      </text>
    </comment>
    <comment ref="E31" authorId="4" shapeId="0">
      <text>
        <t xml:space="preserve">was 23490
new 500
</t>
      </text>
    </comment>
    <comment ref="F31" authorId="0" shapeId="0">
      <text>
        <t>Người dùng Không xác định:
23390000</t>
      </text>
    </comment>
    <comment ref="B32" authorId="4" shapeId="0">
      <text>
        <t>was 5550
VNP40</t>
      </text>
    </comment>
    <comment ref="D32" authorId="6" shapeId="0">
      <text>
        <t>chit trang:
5.390</t>
      </text>
    </comment>
    <comment ref="F32" authorId="0" shapeId="0">
      <text>
        <t>Người dùng Không xác định:
5090000</t>
      </text>
    </comment>
    <comment ref="B33" authorId="4" shapeId="0">
      <text>
        <t xml:space="preserve">was 4490
</t>
      </text>
    </comment>
    <comment ref="D33" authorId="0" shapeId="0">
      <text>
        <t>Người dùng Không xác định:
4.490</t>
      </text>
    </comment>
    <comment ref="E33" authorId="4" shapeId="0">
      <text>
        <t xml:space="preserve">was 4290
</t>
      </text>
    </comment>
    <comment ref="F33" authorId="0" shapeId="0">
      <text>
        <t>Người dùng Không xác định:
4690000</t>
      </text>
    </comment>
    <comment ref="B34" authorId="4" shapeId="0">
      <text>
        <t>was 3190</t>
      </text>
    </comment>
    <comment ref="D34" authorId="6" shapeId="0">
      <text>
        <t>chit trang:
3.090</t>
      </text>
    </comment>
    <comment ref="E34" authorId="4" shapeId="0">
      <text>
        <t xml:space="preserve">was 3190
</t>
      </text>
    </comment>
    <comment ref="F34" authorId="3" shapeId="0">
      <text>
        <t>danielnguyen6111998@gmail.com:
3090000</t>
      </text>
    </comment>
    <comment ref="D36" authorId="0" shapeId="0">
      <text>
        <t>Người dùng Không xác định:
19.390</t>
      </text>
    </comment>
    <comment ref="F36" authorId="0" shapeId="0">
      <text>
        <t>Người dùng Không xác định: 19490000</t>
      </text>
    </comment>
    <comment ref="D37" authorId="0" shapeId="0">
      <text>
        <t>Người dùng Không xác định:
24590</t>
      </text>
    </comment>
    <comment ref="F37" authorId="0" shapeId="0">
      <text>
        <t>Người dùng Không xác định:
25090000</t>
      </text>
    </comment>
    <comment ref="F38" authorId="1" shapeId="0">
      <text>
        <t xml:space="preserve">Dat's MacBook Pro:
29690
</t>
      </text>
    </comment>
  </commentList>
</comments>
</file>

<file path=xl/comments/comment88.xml><?xml version="1.0" encoding="utf-8"?>
<comments xmlns="http://schemas.openxmlformats.org/spreadsheetml/2006/main">
  <authors>
    <author>Người dùng Khách</author>
    <author>Microsoft Office User</author>
    <author>Duy</author>
    <author>danielnguyen6111998@gmail.com</author>
    <author>Dat's MacBook Pro</author>
    <author>chit trang</author>
  </authors>
  <commentList>
    <comment ref="D2" authorId="0" shapeId="0">
      <text>
        <t>Người dùng Không xác định:
24890</t>
      </text>
    </comment>
    <comment ref="E2" authorId="1" shapeId="0">
      <text>
        <t xml:space="preserve">was 24490
VNP500
</t>
      </text>
    </comment>
    <comment ref="C3" authorId="2" shapeId="0">
      <text>
        <t>W12 30890</t>
      </text>
    </comment>
    <comment ref="D3" authorId="0" shapeId="0">
      <text>
        <t>Người dùng Không xác định:30.590</t>
      </text>
    </comment>
    <comment ref="F3" authorId="0" shapeId="0">
      <text>
        <t>Người dùng Không xác định:
30590000</t>
      </text>
    </comment>
    <comment ref="F4" authorId="3" shapeId="0">
      <text>
        <t>danielnguyen6111998@gmail.com:
34590000</t>
      </text>
    </comment>
    <comment ref="D5" authorId="0" shapeId="0">
      <text>
        <t>Người dùng Không xác định:
37.990</t>
      </text>
    </comment>
    <comment ref="E5" authorId="1" shapeId="0">
      <text>
        <t>was 36690
Cam Xanh
VNP500</t>
      </text>
    </comment>
    <comment ref="E7" authorId="1" shapeId="0">
      <text>
        <t>Giờ vàng</t>
      </text>
    </comment>
    <comment ref="B8" authorId="1" shapeId="0">
      <text>
        <t>was 24640000
VNP150</t>
      </text>
    </comment>
    <comment ref="D8" authorId="0" shapeId="0">
      <text>
        <t>Người dùng Không xác định:
24.590</t>
      </text>
    </comment>
    <comment ref="E8" authorId="1" shapeId="0">
      <text>
        <t>Giờ vàng</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G10" authorId="4" shapeId="0">
      <text>
        <t>Dat's MacBook Pro:
29690</t>
      </text>
    </comment>
    <comment ref="E11" authorId="1" shapeId="0">
      <text>
        <t>Giờ vàng</t>
      </text>
    </comment>
    <comment ref="F11" authorId="0" shapeId="0">
      <text>
        <t>Người dùng Không xác định:16890000
16990000</t>
      </text>
    </comment>
    <comment ref="C13" authorId="2" shapeId="0">
      <text>
        <t>W12 13990</t>
      </text>
    </comment>
    <comment ref="B14" authorId="1" shapeId="0">
      <text>
        <t>was 13190
VNP100</t>
      </text>
    </comment>
    <comment ref="C14" authorId="2" shapeId="0">
      <text>
        <t>W12 12490</t>
      </text>
    </comment>
    <comment ref="D14" authorId="0" shapeId="0">
      <text>
        <t>Người dùng Không xác định:
12190</t>
      </text>
    </comment>
    <comment ref="E14" authorId="1" shapeId="0">
      <text>
        <t>Giờ vàng</t>
      </text>
    </comment>
    <comment ref="B16" authorId="1" shapeId="0">
      <text>
        <t>was 7040
VNP40</t>
      </text>
    </comment>
    <comment ref="D16" authorId="5" shapeId="0">
      <text>
        <t>chit trang:
8690</t>
      </text>
    </comment>
    <comment ref="E16" authorId="1" shapeId="0">
      <text>
        <t>was 8490
HSSV 200</t>
      </text>
    </comment>
    <comment ref="F16" authorId="0" shapeId="0">
      <text>
        <t>Người dùng Không xác định:
8690000</t>
      </text>
    </comment>
    <comment ref="B17" authorId="1" shapeId="0">
      <text>
        <t>was 14390</t>
      </text>
    </comment>
    <comment ref="C17" authorId="2" shapeId="0">
      <text>
        <t>W12 13290</t>
      </text>
    </comment>
    <comment ref="D17" authorId="0" shapeId="0">
      <text>
        <t>Người dùng Không xác định:
13.190</t>
      </text>
    </comment>
    <comment ref="E17" authorId="1" shapeId="0">
      <text>
        <t>was 12990
HSSV 200</t>
      </text>
    </comment>
    <comment ref="F17" authorId="0" shapeId="0">
      <text>
        <t>Người dùng Không xác định:
13290000</t>
      </text>
    </comment>
    <comment ref="G17" authorId="4" shapeId="0">
      <text>
        <t>Dat's MacBook Pro:
15490</t>
      </text>
    </comment>
    <comment ref="C18" authorId="2" shapeId="0">
      <text>
        <t>W12 19290</t>
      </text>
    </comment>
    <comment ref="D18" authorId="0" shapeId="0">
      <text>
        <t>19.290</t>
      </text>
    </comment>
    <comment ref="F18" authorId="0" shapeId="0">
      <text>
        <t>Người dùng Không xác định:
19290000</t>
      </text>
    </comment>
    <comment ref="B20" authorId="1" shapeId="0">
      <text>
        <t>was 36640</t>
      </text>
    </comment>
    <comment ref="C23" authorId="2" shapeId="0">
      <text>
        <t>W12 5890</t>
      </text>
    </comment>
    <comment ref="D23" authorId="0" shapeId="0">
      <text>
        <t>5.690</t>
      </text>
    </comment>
    <comment ref="D24" authorId="0" shapeId="0">
      <text>
        <t>7.990</t>
      </text>
    </comment>
    <comment ref="E24" authorId="1" shapeId="0">
      <text>
        <t>was 7490
new 500</t>
      </text>
    </comment>
    <comment ref="C26" authorId="2" shapeId="0">
      <text>
        <t>W12 8590</t>
      </text>
    </comment>
    <comment ref="D26" authorId="0" shapeId="0">
      <text>
        <t>Người dùng Không xác định:
8.790</t>
      </text>
    </comment>
    <comment ref="C27" authorId="2" shapeId="0">
      <text>
        <t>W12 9290</t>
      </text>
    </comment>
    <comment ref="D27" authorId="0" shapeId="0">
      <text>
        <t>9290</t>
      </text>
    </comment>
    <comment ref="D28" authorId="0" shapeId="0">
      <text>
        <t>Người dùng Không xác định:
13.290</t>
      </text>
    </comment>
    <comment ref="F28" authorId="3" shapeId="0">
      <text>
        <t>danielnguyen6111998@gmail.com:
13690000</t>
      </text>
    </comment>
    <comment ref="C29" authorId="2" shapeId="0">
      <text>
        <t>W12 10150</t>
      </text>
    </comment>
    <comment ref="C30" authorId="2" shapeId="0">
      <text>
        <t>W12 14890</t>
      </text>
    </comment>
    <comment ref="D31" authorId="5" shapeId="0">
      <text>
        <t>chit trang:
23.390k</t>
      </text>
    </comment>
    <comment ref="B32" authorId="1" shapeId="0">
      <text>
        <t>was 5550
VNP40</t>
      </text>
    </comment>
    <comment ref="D32" authorId="5" shapeId="0">
      <text>
        <t>chit tran4.290</t>
      </text>
    </comment>
    <comment ref="B33" authorId="1" shapeId="0">
      <text>
        <t xml:space="preserve">was 4490
</t>
      </text>
    </comment>
    <comment ref="B34" authorId="1" shapeId="0">
      <text>
        <t>was 3190</t>
      </text>
    </comment>
    <comment ref="D34" authorId="5" shapeId="0">
      <text>
        <t>2.990</t>
      </text>
    </comment>
    <comment ref="F36" authorId="0" shapeId="0">
      <text>
        <t>Người dùng Không xác định: 19490000</t>
      </text>
    </comment>
    <comment ref="D37" authorId="0" shapeId="0">
      <text>
        <t>Người dùng Không xác định:
25090</t>
      </text>
    </comment>
    <comment ref="F37" authorId="0" shapeId="0">
      <text>
        <t>Người dùng Không xác định:
25090000</t>
      </text>
    </comment>
    <comment ref="F38" authorId="4" shapeId="0">
      <text>
        <t xml:space="preserve">Dat's MacBook Pro:
29690
</t>
      </text>
    </comment>
  </commentList>
</comments>
</file>

<file path=xl/comments/comment89.xml><?xml version="1.0" encoding="utf-8"?>
<comments xmlns="http://schemas.openxmlformats.org/spreadsheetml/2006/main">
  <authors>
    <author>Người dùng Khách</author>
    <author>Microsoft Office User</author>
    <author>Duy Ha Minh</author>
    <author>Duy</author>
    <author>danielnguyen6111998@gmail.com</author>
    <author>Dat's MacBook Pro</author>
    <author>chit trang</author>
  </authors>
  <commentList>
    <comment ref="D2" authorId="0" shapeId="0">
      <text>
        <t>Người dùng Không xác định:
24690</t>
      </text>
    </comment>
    <comment ref="E2" authorId="1" shapeId="0">
      <text>
        <t xml:space="preserve">was 24190
</t>
      </text>
    </comment>
    <comment ref="F2" authorId="2" shapeId="0">
      <text>
        <t>W13 24690</t>
      </text>
    </comment>
    <comment ref="C3" authorId="3" shapeId="0">
      <text>
        <t>W12 30290000</t>
      </text>
    </comment>
    <comment ref="D3" authorId="0" shapeId="0">
      <text>
        <t>27.990</t>
      </text>
    </comment>
    <comment ref="E3" authorId="0" shapeId="0">
      <text>
        <t>Người dùng Không xác định:
29.990</t>
      </text>
    </comment>
    <comment ref="F3" authorId="0" shapeId="0">
      <text>
        <t>W13 29990</t>
      </text>
    </comment>
    <comment ref="D4" authorId="0" shapeId="0">
      <text>
        <t>Người dùng Không xác định:
34.390</t>
      </text>
    </comment>
    <comment ref="E4" authorId="0" shapeId="0">
      <text>
        <t>Người dùng Không xác định:
33.490</t>
      </text>
    </comment>
    <comment ref="F4" authorId="4" shapeId="0">
      <text>
        <t>W13 34590</t>
      </text>
    </comment>
    <comment ref="D5" authorId="0" shapeId="0">
      <text>
        <t>Người dùng Không xác định:
37.790</t>
      </text>
    </comment>
    <comment ref="E5" authorId="1" shapeId="0">
      <text>
        <t xml:space="preserve">was 36490
</t>
      </text>
    </comment>
    <comment ref="F5" authorId="2" shapeId="0">
      <text>
        <t>W13 37790</t>
      </text>
    </comment>
    <comment ref="C7" authorId="0" shapeId="0">
      <text>
        <t>Người dùng Không xác định:
21190000</t>
      </text>
    </comment>
    <comment ref="D7" authorId="0" shapeId="0">
      <text>
        <t>20.890</t>
      </text>
    </comment>
    <comment ref="E7" authorId="1" shapeId="0">
      <text>
        <t>20.490</t>
      </text>
    </comment>
    <comment ref="F7" authorId="2" shapeId="0">
      <text>
        <t>W13 20890</t>
      </text>
    </comment>
    <comment ref="B8" authorId="1" shapeId="0">
      <text>
        <t>was 24640000
VNP150</t>
      </text>
    </comment>
    <comment ref="C8" authorId="0" shapeId="0">
      <text>
        <t>Người dùng Không xác định:
24890000</t>
      </text>
    </comment>
    <comment ref="D8" authorId="0" shapeId="0">
      <text>
        <t>25.490</t>
      </text>
    </comment>
    <comment ref="F8" authorId="2" shapeId="0">
      <text>
        <t>W13 24490</t>
      </text>
    </comment>
    <comment ref="F9" authorId="2" shapeId="0">
      <text>
        <t>W13 25390</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0" shapeId="0">
      <text>
        <t>Người dùng Không xác định:
31290000</t>
      </text>
    </comment>
    <comment ref="D10" authorId="0" shapeId="0">
      <text>
        <t>Người dùng Không xác định:
30.990</t>
      </text>
    </comment>
    <comment ref="E10" authorId="0" shapeId="0">
      <text>
        <t>Người dùng Không xác định:
30490</t>
      </text>
    </comment>
    <comment ref="F10" authorId="2" shapeId="0">
      <text>
        <t>W13 30990</t>
      </text>
    </comment>
    <comment ref="G10" authorId="5" shapeId="0">
      <text>
        <t>Dat's MacBook Pro:
29690</t>
      </text>
    </comment>
    <comment ref="C11" authorId="0" shapeId="0">
      <text>
        <t>Người dùng Không xác định:
17290000</t>
      </text>
    </comment>
    <comment ref="D11" authorId="0" shapeId="0">
      <text>
        <t>Người dùng Không xác định:
16.990</t>
      </text>
    </comment>
    <comment ref="F11" authorId="0" shapeId="0">
      <text>
        <t>W13 16990</t>
      </text>
    </comment>
    <comment ref="D13" authorId="0" shapeId="0">
      <text>
        <t xml:space="preserve">15.390
</t>
      </text>
    </comment>
    <comment ref="B14" authorId="1" shapeId="0">
      <text>
        <t>was 13190
VNP100</t>
      </text>
    </comment>
    <comment ref="D14" authorId="0" shapeId="0">
      <text>
        <t>Người dùng Không xác định:
12.290</t>
      </text>
    </comment>
    <comment ref="E14" authorId="1" shapeId="0">
      <text>
        <t>Giờ vàng</t>
      </text>
    </comment>
    <comment ref="D15" authorId="0" shapeId="0">
      <text>
        <t>11.790</t>
      </text>
    </comment>
    <comment ref="B16" authorId="1" shapeId="0">
      <text>
        <t>was 7040
VNP40</t>
      </text>
    </comment>
    <comment ref="C16" authorId="0" shapeId="0">
      <text>
        <t>Người dùng Không xác định:
8.690</t>
      </text>
    </comment>
    <comment ref="E16" authorId="1" shapeId="0">
      <text>
        <t>was 8390
HSSV 200</t>
      </text>
    </comment>
    <comment ref="F16" authorId="0" shapeId="0">
      <text>
        <t>W13 8490</t>
      </text>
    </comment>
    <comment ref="B17" authorId="1" shapeId="0">
      <text>
        <t>was 14390</t>
      </text>
    </comment>
    <comment ref="C17" authorId="3" shapeId="0">
      <text>
        <t>W12 12890000</t>
      </text>
    </comment>
    <comment ref="D17" authorId="0" shapeId="0">
      <text>
        <t>12.890</t>
      </text>
    </comment>
    <comment ref="E17" authorId="1" shapeId="0">
      <text>
        <t>was 12490
HSSV 200</t>
      </text>
    </comment>
    <comment ref="F17" authorId="0" shapeId="0">
      <text>
        <t>W13 12890</t>
      </text>
    </comment>
    <comment ref="G17" authorId="5" shapeId="0">
      <text>
        <t>Dat's MacBook Pro:
15490</t>
      </text>
    </comment>
    <comment ref="C18" authorId="3" shapeId="0">
      <text>
        <t>W12 18690000</t>
      </text>
    </comment>
    <comment ref="D18" authorId="0" shapeId="0">
      <text>
        <t>18.690</t>
      </text>
    </comment>
    <comment ref="F18" authorId="0" shapeId="0">
      <text>
        <t>W13 18690</t>
      </text>
    </comment>
    <comment ref="B20" authorId="1" shapeId="0">
      <text>
        <t>was 36640</t>
      </text>
    </comment>
    <comment ref="D21" authorId="0" shapeId="0">
      <text>
        <t>29.990</t>
      </text>
    </comment>
    <comment ref="F21" authorId="2" shapeId="0">
      <text>
        <t xml:space="preserve">W13 29990
</t>
      </text>
    </comment>
    <comment ref="D23" authorId="0" shapeId="0">
      <text>
        <t>5.490</t>
      </text>
    </comment>
    <comment ref="E23" authorId="0" shapeId="0">
      <text>
        <t>Người dùng Không xác định:
5.890</t>
      </text>
    </comment>
    <comment ref="F23" authorId="2" shapeId="0">
      <text>
        <t>W13 5590</t>
      </text>
    </comment>
    <comment ref="D24" authorId="0" shapeId="0">
      <text>
        <t>7.990</t>
      </text>
    </comment>
    <comment ref="E24" authorId="1" shapeId="0">
      <text>
        <t>was 7490
new 500</t>
      </text>
    </comment>
    <comment ref="F24" authorId="2" shapeId="0">
      <text>
        <t>W13 7590</t>
      </text>
    </comment>
    <comment ref="E25" authorId="0" shapeId="0">
      <text>
        <t>Người dùng Không xác định:
6.490k</t>
      </text>
    </comment>
    <comment ref="F25" authorId="2" shapeId="0">
      <text>
        <t xml:space="preserve">W13 7190
</t>
      </text>
    </comment>
    <comment ref="D26" authorId="0" shapeId="0">
      <text>
        <t>Người dùng Không xác định:
8.790</t>
      </text>
    </comment>
    <comment ref="E26" authorId="1" shapeId="0">
      <text>
        <t xml:space="preserve">was 7990
</t>
      </text>
    </comment>
    <comment ref="F26" authorId="2" shapeId="0">
      <text>
        <t xml:space="preserve">W13 8790
</t>
      </text>
    </comment>
    <comment ref="E27" authorId="0" shapeId="0">
      <text>
        <t>Người dùng Không xác định:
8.490</t>
      </text>
    </comment>
    <comment ref="F27" authorId="2" shapeId="0">
      <text>
        <t xml:space="preserve">W13 9190
</t>
      </text>
    </comment>
    <comment ref="D28" authorId="0" shapeId="0">
      <text>
        <t>Người dùng Không xác định:
13.290</t>
      </text>
    </comment>
    <comment ref="E28" authorId="1" shapeId="0">
      <text>
        <t xml:space="preserve">was 11490
</t>
      </text>
    </comment>
    <comment ref="E29" authorId="0" shapeId="0">
      <text>
        <t>Người dùng Không xác định:
9.190</t>
      </text>
    </comment>
    <comment ref="F29" authorId="2" shapeId="0">
      <text>
        <t xml:space="preserve">W13 9990
</t>
      </text>
    </comment>
    <comment ref="C30" authorId="3" shapeId="0">
      <text>
        <t>W12 14890</t>
      </text>
    </comment>
    <comment ref="D30" authorId="0" shapeId="0">
      <text>
        <t>Người dùng Không xác định:
13.090</t>
      </text>
    </comment>
    <comment ref="E30" authorId="1" shapeId="0">
      <text>
        <t xml:space="preserve">was 12490
</t>
      </text>
    </comment>
    <comment ref="D31" authorId="6" shapeId="0">
      <text>
        <t>chit trang:
23.190k</t>
      </text>
    </comment>
    <comment ref="E31" authorId="0" shapeId="0">
      <text>
        <t>Người dùng Không xác định:
22.990</t>
      </text>
    </comment>
    <comment ref="B32" authorId="1" shapeId="0">
      <text>
        <t>was 5550
VNP40</t>
      </text>
    </comment>
    <comment ref="D32" authorId="6" shapeId="0">
      <text>
        <t>chit tran4.290</t>
      </text>
    </comment>
    <comment ref="E32" authorId="1" shapeId="0">
      <text>
        <t xml:space="preserve">was 4290
</t>
      </text>
    </comment>
    <comment ref="B33" authorId="1" shapeId="0">
      <text>
        <t xml:space="preserve">was 4490
</t>
      </text>
    </comment>
    <comment ref="B34" authorId="1" shapeId="0">
      <text>
        <t>was 3190</t>
      </text>
    </comment>
    <comment ref="D36" authorId="0" shapeId="0">
      <text>
        <t xml:space="preserve">19.690
</t>
      </text>
    </comment>
    <comment ref="C37" authorId="0" shapeId="0">
      <text>
        <t>Người dùng Không xác định:
25290000</t>
      </text>
    </comment>
    <comment ref="D37" authorId="0" shapeId="0">
      <text>
        <t>Người dùng Không xác định:
24.990</t>
      </text>
    </comment>
    <comment ref="F37" authorId="0" shapeId="0">
      <text>
        <t>W13 24990</t>
      </text>
    </comment>
    <comment ref="D38" authorId="0" shapeId="0">
      <text>
        <t>29.990</t>
      </text>
    </comment>
    <comment ref="F38" authorId="5" shapeId="0">
      <text>
        <t xml:space="preserve">W13 29990
</t>
      </text>
    </comment>
    <comment ref="D41" authorId="0" shapeId="0">
      <text>
        <t>Người dùng Không xác định:
64.490</t>
      </text>
    </comment>
  </commentList>
</comments>
</file>

<file path=xl/comments/comment90.xml><?xml version="1.0" encoding="utf-8"?>
<comments xmlns="http://schemas.openxmlformats.org/spreadsheetml/2006/main">
  <authors>
    <author>Người dùng Khách</author>
    <author>Mia</author>
    <author>Duy Ha Minh</author>
    <author>Duy</author>
    <author>Microsoft Office User</author>
    <author>Dat's MacBook Pro</author>
    <author>chit trang</author>
  </authors>
  <commentList>
    <comment ref="D2" authorId="0" shapeId="0">
      <text>
        <t>Người dùng Không xác định:
24490</t>
      </text>
    </comment>
    <comment ref="E2" authorId="1" shapeId="0">
      <text>
        <t xml:space="preserve">was 24690
KH cũ giảm 500
</t>
      </text>
    </comment>
    <comment ref="F2" authorId="2" shapeId="0">
      <text>
        <t>W1 24890</t>
      </text>
    </comment>
    <comment ref="C3" authorId="3" shapeId="0">
      <text>
        <t>W12 26990000</t>
      </text>
    </comment>
    <comment ref="E3" authorId="0" shapeId="0">
      <text>
        <t>was 25990
KH cũ 500</t>
      </text>
    </comment>
    <comment ref="D4" authorId="0" shapeId="0">
      <text>
        <t>Người dùng Không xác định:
32.990</t>
      </text>
    </comment>
    <comment ref="E4" authorId="0" shapeId="0">
      <text>
        <t>was 34090
KH cũ 500</t>
      </text>
    </comment>
    <comment ref="E5" authorId="1" shapeId="0">
      <text>
        <t>was 36990
KH mới 500</t>
      </text>
    </comment>
    <comment ref="D6" authorId="0" shapeId="0">
      <text>
        <t>Người dùng Không xác định:
15.990</t>
      </text>
    </comment>
    <comment ref="D7" authorId="0" shapeId="0">
      <text>
        <t>19.490</t>
      </text>
    </comment>
    <comment ref="E7" authorId="4" shapeId="0">
      <text>
        <t>was 19690
Giờ vàng</t>
      </text>
    </comment>
    <comment ref="B8" authorId="4" shapeId="0">
      <text>
        <t>was 24640000
VNP150</t>
      </text>
    </comment>
    <comment ref="E8" authorId="1" shapeId="0">
      <text>
        <t xml:space="preserve">was 23490
Giờ vàng
</t>
      </text>
    </comment>
    <comment ref="F9" authorId="2" shapeId="0">
      <text>
        <t>W1 25490</t>
      </text>
    </comment>
    <comment ref="B10"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0" authorId="0" shapeId="0">
      <text>
        <t>Người dùng Không xác định:
30.590</t>
      </text>
    </comment>
    <comment ref="F10" authorId="2" shapeId="0">
      <text>
        <t>W1 31390</t>
      </text>
    </comment>
    <comment ref="G10" authorId="5" shapeId="0">
      <text>
        <t>Dat's MacBook Pro:
31.990</t>
      </text>
    </comment>
    <comment ref="D11" authorId="0" shapeId="0">
      <text>
        <t>Người dùng Không xác định:
16.490</t>
      </text>
    </comment>
    <comment ref="E11" authorId="1" shapeId="0">
      <text>
        <t xml:space="preserve">was 16690
Giờ vàng
</t>
      </text>
    </comment>
    <comment ref="F11" authorId="0" shapeId="0">
      <text>
        <t>W1 16790</t>
      </text>
    </comment>
    <comment ref="G11" authorId="5" shapeId="0">
      <text>
        <t>Dat's MacBook Pro:
16590</t>
      </text>
    </comment>
    <comment ref="E13" authorId="1" shapeId="0">
      <text>
        <t xml:space="preserve">was 13390
</t>
      </text>
    </comment>
    <comment ref="B14" authorId="4" shapeId="0">
      <text>
        <t>was 13190
VNP100</t>
      </text>
    </comment>
    <comment ref="D14" authorId="0" shapeId="0">
      <text>
        <t>Người dùng Không xác định:
11.890</t>
      </text>
    </comment>
    <comment ref="E14" authorId="4" shapeId="0">
      <text>
        <t>was 11990</t>
      </text>
    </comment>
    <comment ref="F14" authorId="3" shapeId="0">
      <text>
        <t>W1 12090</t>
      </text>
    </comment>
    <comment ref="D15" authorId="0" shapeId="0">
      <text>
        <t>11.490</t>
      </text>
    </comment>
    <comment ref="B16" authorId="4" shapeId="0">
      <text>
        <t>was 7040
VNP40</t>
      </text>
    </comment>
    <comment ref="F16" authorId="0" shapeId="0">
      <text>
        <t>W1 8590</t>
      </text>
    </comment>
    <comment ref="B17" authorId="4" shapeId="0">
      <text>
        <t>was 14390</t>
      </text>
    </comment>
    <comment ref="C17" authorId="3" shapeId="0">
      <text>
        <t>W12 15790000</t>
      </text>
    </comment>
    <comment ref="D17" authorId="0" shapeId="0">
      <text>
        <t>12.890</t>
      </text>
    </comment>
    <comment ref="E17" authorId="4" shapeId="0">
      <text>
        <t>was 15390
HSSV 200</t>
      </text>
    </comment>
    <comment ref="F17" authorId="0" shapeId="0">
      <text>
        <t>W1 15790</t>
      </text>
    </comment>
    <comment ref="G17" authorId="5" shapeId="0">
      <text>
        <t>Dat's MacBook Pro:
15490</t>
      </text>
    </comment>
    <comment ref="C18" authorId="3" shapeId="0">
      <text>
        <t>W12 21790000</t>
      </text>
    </comment>
    <comment ref="D18" authorId="0" shapeId="0">
      <text>
        <t>21.190</t>
      </text>
    </comment>
    <comment ref="F18" authorId="0" shapeId="0">
      <text>
        <t>W1 21390</t>
      </text>
    </comment>
    <comment ref="F19" authorId="3" shapeId="0">
      <text>
        <t>W1 28190</t>
      </text>
    </comment>
    <comment ref="B20" authorId="4" shapeId="0">
      <text>
        <t>was 36640</t>
      </text>
    </comment>
    <comment ref="E21" authorId="3" shapeId="0">
      <text>
        <t>W1 28990</t>
      </text>
    </comment>
    <comment ref="F21" authorId="2" shapeId="0">
      <text>
        <t xml:space="preserve">W1 29990
</t>
      </text>
    </comment>
    <comment ref="D22" authorId="0" shapeId="0">
      <text>
        <t>Người dùng Không xác định:
39.990</t>
      </text>
    </comment>
    <comment ref="F22" authorId="3" shapeId="0">
      <text>
        <t>W1 39990</t>
      </text>
    </comment>
    <comment ref="C23" authorId="0" shapeId="0">
      <text>
        <t>Người dùng Không xác định:
5690000</t>
      </text>
    </comment>
    <comment ref="D23" authorId="0" shapeId="0">
      <text>
        <t>5.690</t>
      </text>
    </comment>
    <comment ref="F23" authorId="2" shapeId="0">
      <text>
        <t>W1 6090</t>
      </text>
    </comment>
    <comment ref="C24" authorId="0" shapeId="0">
      <text>
        <t>Người dùng Không xác định:
7690000</t>
      </text>
    </comment>
    <comment ref="D24" authorId="0" shapeId="0">
      <text>
        <t>7.290</t>
      </text>
    </comment>
    <comment ref="F24" authorId="2" shapeId="0">
      <text>
        <t>W1 7790</t>
      </text>
    </comment>
    <comment ref="C25" authorId="0" shapeId="0">
      <text>
        <t>Người dùng Không xác định:
6990000</t>
      </text>
    </comment>
    <comment ref="D25" authorId="0" shapeId="0">
      <text>
        <t>Người dùng Không xác định:
6.990</t>
      </text>
    </comment>
    <comment ref="F25" authorId="2" shapeId="0">
      <text>
        <t>W1 6990</t>
      </text>
    </comment>
    <comment ref="C26" authorId="0" shapeId="0">
      <text>
        <t>Người dùng Không xác định:
8390000</t>
      </text>
    </comment>
    <comment ref="D26" authorId="0" shapeId="0">
      <text>
        <t>Người dùng Không xác định:
8.290</t>
      </text>
    </comment>
    <comment ref="F26" authorId="2" shapeId="0">
      <text>
        <t>W1 8490</t>
      </text>
    </comment>
    <comment ref="C27" authorId="0" shapeId="0">
      <text>
        <t>Người dùng Không xác định:
9290000</t>
      </text>
    </comment>
    <comment ref="D27" authorId="0" shapeId="0">
      <text>
        <t>Người dùng Không xác định:
9.190</t>
      </text>
    </comment>
    <comment ref="F27" authorId="2" shapeId="0">
      <text>
        <t>W1 9290</t>
      </text>
    </comment>
    <comment ref="C28" authorId="0" shapeId="0">
      <text>
        <t>Người dùng Không xác định:
12190000</t>
      </text>
    </comment>
    <comment ref="D28" authorId="0" shapeId="0">
      <text>
        <t>Người dùng Không xác định:
13.290</t>
      </text>
    </comment>
    <comment ref="C29" authorId="0" shapeId="0">
      <text>
        <t>Người dùng Không xác định:
9990000</t>
      </text>
    </comment>
    <comment ref="D29" authorId="0" shapeId="0">
      <text>
        <t>Người dùng Không xác định:
9.090</t>
      </text>
    </comment>
    <comment ref="F29" authorId="2" shapeId="0">
      <text>
        <t>W1 10190</t>
      </text>
    </comment>
    <comment ref="D30" authorId="0" shapeId="0">
      <text>
        <t>Người dùng Không xác định:
13.090</t>
      </text>
    </comment>
    <comment ref="E30" authorId="4" shapeId="0">
      <text>
        <t xml:space="preserve">was 12990
</t>
      </text>
    </comment>
    <comment ref="D31" authorId="6" shapeId="0">
      <text>
        <t>chit trang:
23.290k</t>
      </text>
    </comment>
    <comment ref="B32" authorId="4" shapeId="0">
      <text>
        <t>was 5550
VNP40</t>
      </text>
    </comment>
    <comment ref="D32" authorId="6" shapeId="0">
      <text>
        <t>chit tran4.290</t>
      </text>
    </comment>
    <comment ref="E32" authorId="4" shapeId="0">
      <text>
        <t xml:space="preserve">was 6490
</t>
      </text>
    </comment>
    <comment ref="B33" authorId="4" shapeId="0">
      <text>
        <t xml:space="preserve">was 4490
</t>
      </text>
    </comment>
    <comment ref="B34" authorId="4" shapeId="0">
      <text>
        <t>was 3190</t>
      </text>
    </comment>
    <comment ref="D36" authorId="0" shapeId="0">
      <text>
        <t xml:space="preserve">19.190
</t>
      </text>
    </comment>
    <comment ref="D37" authorId="0" shapeId="0">
      <text>
        <t>Người dùng Không xác định:
24.490</t>
      </text>
    </comment>
  </commentList>
</comments>
</file>

<file path=xl/comments/comment91.xml><?xml version="1.0" encoding="utf-8"?>
<comments xmlns="http://schemas.openxmlformats.org/spreadsheetml/2006/main">
  <authors>
    <author>Người dùng Khách</author>
    <author>Duy Ha Minh</author>
    <author>Duy</author>
    <author>Microsoft Office User</author>
    <author>Mia</author>
    <author>Dat's MacBook Pro</author>
    <author>chit trang</author>
  </authors>
  <commentList>
    <comment ref="D2" authorId="0" shapeId="0">
      <text>
        <t>Người dùng Không xác định:
24990</t>
      </text>
    </comment>
    <comment ref="F2" authorId="1" shapeId="0">
      <text>
        <t>W1 24890</t>
      </text>
    </comment>
    <comment ref="C3" authorId="2" shapeId="0">
      <text>
        <t>W12 26790000</t>
      </text>
    </comment>
    <comment ref="D3" authorId="0" shapeId="0">
      <text>
        <t>Người dùng Không xác định:
26.490</t>
      </text>
    </comment>
    <comment ref="E7" authorId="3" shapeId="0">
      <text>
        <t>was 19490
Giờ vàng</t>
      </text>
    </comment>
    <comment ref="B8" authorId="3" shapeId="0">
      <text>
        <t>was 24640000
VNP150</t>
      </text>
    </comment>
    <comment ref="E8" authorId="4" shapeId="0">
      <text>
        <t xml:space="preserve">was 23190
Giờ vàng
</t>
      </text>
    </comment>
    <comment ref="F9" authorId="1" shapeId="0">
      <text>
        <t>W1 25490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0" shapeId="0">
      <text>
        <t>Người dùng Không xác định:
31590000</t>
      </text>
    </comment>
    <comment ref="D10" authorId="0" shapeId="0">
      <text>
        <t>Người dùng Không xác định:
30.590</t>
      </text>
    </comment>
    <comment ref="F10" authorId="1" shapeId="0">
      <text>
        <t>W1 31390</t>
      </text>
    </comment>
    <comment ref="G10" authorId="5" shapeId="0">
      <text>
        <t>Dat's MacBook Pro:
31.990</t>
      </text>
    </comment>
    <comment ref="F11" authorId="0" shapeId="0">
      <text>
        <t>W1 16790</t>
      </text>
    </comment>
    <comment ref="G11" authorId="5" shapeId="0">
      <text>
        <t>Dat's MacBook Pro:
16590</t>
      </text>
    </comment>
    <comment ref="C12" authorId="0" shapeId="0">
      <text>
        <t>Người dùng Không xác định:
19590000</t>
      </text>
    </comment>
    <comment ref="B14" authorId="3" shapeId="0">
      <text>
        <t>was 13190
VNP100</t>
      </text>
    </comment>
    <comment ref="E14" authorId="3" shapeId="0">
      <text>
        <t>was 12090
Giờ vàng</t>
      </text>
    </comment>
    <comment ref="F14" authorId="2" shapeId="0">
      <text>
        <t>W1 12090</t>
      </text>
    </comment>
    <comment ref="C15" authorId="0" shapeId="0">
      <text>
        <t>Người dùng Không xác định:
11790000</t>
      </text>
    </comment>
    <comment ref="D15" authorId="0" shapeId="0">
      <text>
        <t>11.790</t>
      </text>
    </comment>
    <comment ref="E15" authorId="4" shapeId="0">
      <text>
        <t>was 11290</t>
      </text>
    </comment>
    <comment ref="B16" authorId="3" shapeId="0">
      <text>
        <t>was 7040
VNP40</t>
      </text>
    </comment>
    <comment ref="C16" authorId="0" shapeId="0">
      <text>
        <t>Người dùng Không xác định:
8490000</t>
      </text>
    </comment>
    <comment ref="D16" authorId="0" shapeId="0">
      <text>
        <t>Người dùng Không xác định:
8.490</t>
      </text>
    </comment>
    <comment ref="E16" authorId="4" shapeId="0">
      <text>
        <t xml:space="preserve">was 8490
</t>
      </text>
    </comment>
    <comment ref="F16" authorId="0" shapeId="0">
      <text>
        <t>W1 8590</t>
      </text>
    </comment>
    <comment ref="B17" authorId="3" shapeId="0">
      <text>
        <t>was 14390</t>
      </text>
    </comment>
    <comment ref="D17" authorId="0" shapeId="0">
      <text>
        <t>15.790</t>
      </text>
    </comment>
    <comment ref="F17" authorId="0" shapeId="0">
      <text>
        <t>W1 15790</t>
      </text>
    </comment>
    <comment ref="G17" authorId="5" shapeId="0">
      <text>
        <t>Dat's MacBook Pro:
15490</t>
      </text>
    </comment>
    <comment ref="F18" authorId="0" shapeId="0">
      <text>
        <t>W1 21390</t>
      </text>
    </comment>
    <comment ref="F19" authorId="2" shapeId="0">
      <text>
        <t>W1 28190</t>
      </text>
    </comment>
    <comment ref="B20" authorId="3" shapeId="0">
      <text>
        <t>was 36640</t>
      </text>
    </comment>
    <comment ref="C21" authorId="0" shapeId="0">
      <text>
        <t>Người dùng Không xác định:
299
90000</t>
      </text>
    </comment>
    <comment ref="E21" authorId="2" shapeId="0">
      <text>
        <t>was 27990</t>
      </text>
    </comment>
    <comment ref="F21" authorId="1" shapeId="0">
      <text>
        <t xml:space="preserve">W1 29990
</t>
      </text>
    </comment>
    <comment ref="C22" authorId="0" shapeId="0">
      <text>
        <t>Người dùng Không xác định:
39990000</t>
      </text>
    </comment>
    <comment ref="F22" authorId="2" shapeId="0">
      <text>
        <t>W1 39990</t>
      </text>
    </comment>
    <comment ref="C23" authorId="0" shapeId="0">
      <text>
        <t>Người dùng Không xác định:
6590000</t>
      </text>
    </comment>
    <comment ref="D23" authorId="0" shapeId="0">
      <text>
        <t>6.390</t>
      </text>
    </comment>
    <comment ref="E23" authorId="4" shapeId="0">
      <text>
        <t xml:space="preserve">was 6190
</t>
      </text>
    </comment>
    <comment ref="F23" authorId="1" shapeId="0">
      <text>
        <t>W1 6090</t>
      </text>
    </comment>
    <comment ref="D24" authorId="0" shapeId="0">
      <text>
        <t>8.190</t>
      </text>
    </comment>
    <comment ref="E24" authorId="4" shapeId="0">
      <text>
        <t xml:space="preserve">was 7790
</t>
      </text>
    </comment>
    <comment ref="F24" authorId="1" shapeId="0">
      <text>
        <t>W1 7790</t>
      </text>
    </comment>
    <comment ref="D25" authorId="0" shapeId="0">
      <text>
        <t>Người dùng Không xác định:
7.290</t>
      </text>
    </comment>
    <comment ref="E25" authorId="4" shapeId="0">
      <text>
        <t xml:space="preserve">was 6990
</t>
      </text>
    </comment>
    <comment ref="F25" authorId="1" shapeId="0">
      <text>
        <t>W1 6990</t>
      </text>
    </comment>
    <comment ref="D26" authorId="0" shapeId="0">
      <text>
        <t>Người dùng Không xác định:
8.990</t>
      </text>
    </comment>
    <comment ref="E26" authorId="4" shapeId="0">
      <text>
        <t xml:space="preserve">was 8590
</t>
      </text>
    </comment>
    <comment ref="F26" authorId="1" shapeId="0">
      <text>
        <t>W1 8490</t>
      </text>
    </comment>
    <comment ref="C27" authorId="0" shapeId="0">
      <text>
        <t>Người dùng Không xác định:
9490000</t>
      </text>
    </comment>
    <comment ref="D27" authorId="0" shapeId="0">
      <text>
        <t>Người dùng Không xác định:
9.690</t>
      </text>
    </comment>
    <comment ref="E27" authorId="4" shapeId="0">
      <text>
        <t xml:space="preserve">was 8990
</t>
      </text>
    </comment>
    <comment ref="F27" authorId="1" shapeId="0">
      <text>
        <t>W1 9290</t>
      </text>
    </comment>
    <comment ref="C28" authorId="0" shapeId="0">
      <text>
        <t>Người dùng Không xác định:
12190000</t>
      </text>
    </comment>
    <comment ref="D28" authorId="0" shapeId="0">
      <text>
        <t>Người dùng Không xác định:
13.290</t>
      </text>
    </comment>
    <comment ref="E28" authorId="4" shapeId="0">
      <text>
        <t xml:space="preserve">was 11990
</t>
      </text>
    </comment>
    <comment ref="C29" authorId="0" shapeId="0">
      <text>
        <t>Người dùng Không xác định:
10290000</t>
      </text>
    </comment>
    <comment ref="D29" authorId="0" shapeId="0">
      <text>
        <t>Người dùng Không xác định:
10.690</t>
      </text>
    </comment>
    <comment ref="E29" authorId="4" shapeId="0">
      <text>
        <t xml:space="preserve">was 9690
</t>
      </text>
    </comment>
    <comment ref="F29" authorId="1" shapeId="0">
      <text>
        <t>W1 10190</t>
      </text>
    </comment>
    <comment ref="C30" authorId="0" shapeId="0">
      <text>
        <t>Người dùng Không xác định:
13290000</t>
      </text>
    </comment>
    <comment ref="D30" authorId="0" shapeId="0">
      <text>
        <t>Người dùng Không xác định:
12.990</t>
      </text>
    </comment>
    <comment ref="E30" authorId="3" shapeId="0">
      <text>
        <t xml:space="preserve">was 12490
</t>
      </text>
    </comment>
    <comment ref="C31" authorId="0" shapeId="0">
      <text>
        <t>Người dùng Không xác định:
23290000</t>
      </text>
    </comment>
    <comment ref="B32" authorId="3" shapeId="0">
      <text>
        <t>was 5550
VNP40</t>
      </text>
    </comment>
    <comment ref="C32" authorId="0" shapeId="0">
      <text>
        <t>Người dùng Không xác định:
4.990</t>
      </text>
    </comment>
    <comment ref="D32" authorId="6" shapeId="0">
      <text>
        <t>chit tran4.290</t>
      </text>
    </comment>
    <comment ref="B33" authorId="3" shapeId="0">
      <text>
        <t xml:space="preserve">was 4490
</t>
      </text>
    </comment>
    <comment ref="C33" authorId="0" shapeId="0">
      <text>
        <t>Người dùng Không xác định:
4490000</t>
      </text>
    </comment>
    <comment ref="D33" authorId="0" shapeId="0">
      <text>
        <t>Người dùng Không xác định:
4.290</t>
      </text>
    </comment>
    <comment ref="E33" authorId="4" shapeId="0">
      <text>
        <t xml:space="preserve">was 4390
</t>
      </text>
    </comment>
    <comment ref="B34" authorId="3" shapeId="0">
      <text>
        <t>was 3190</t>
      </text>
    </comment>
    <comment ref="C34" authorId="0" shapeId="0">
      <text>
        <t>Người dùng Không xác định:
3090000</t>
      </text>
    </comment>
    <comment ref="D34" authorId="0" shapeId="0">
      <text>
        <t>Người dùng Không xác định:
2.990</t>
      </text>
    </comment>
    <comment ref="E34" authorId="4" shapeId="0">
      <text>
        <t>was 2990</t>
      </text>
    </comment>
    <comment ref="D35" authorId="0" shapeId="0">
      <text>
        <t>Người dùng Không xác định:
6.790</t>
      </text>
    </comment>
    <comment ref="C40" authorId="0" shapeId="0">
      <text>
        <t>Người dùng Không xác định:
41990000</t>
      </text>
    </comment>
  </commentList>
</comments>
</file>

<file path=xl/comments/comment92.xml><?xml version="1.0" encoding="utf-8"?>
<comments xmlns="http://schemas.openxmlformats.org/spreadsheetml/2006/main">
  <authors>
    <author>Người dùng Khách</author>
    <author>Duy</author>
    <author>Mia</author>
    <author>Microsoft Office User</author>
    <author>Duy Ha Minh</author>
    <author>Dat's MacBook Pro</author>
  </authors>
  <commentList>
    <comment ref="D2" authorId="0" shapeId="0">
      <text>
        <t>Người dùng Không xác định:
24990</t>
      </text>
    </comment>
    <comment ref="D3" authorId="0" shapeId="0">
      <text>
        <t>Người dùng Không xác định:
25.990</t>
      </text>
    </comment>
    <comment ref="F3" authorId="1" shapeId="0">
      <text>
        <t>W3 25990</t>
      </text>
    </comment>
    <comment ref="E4" authorId="2" shapeId="0">
      <text>
        <t xml:space="preserve">was 34190
KH cũ 500
</t>
      </text>
    </comment>
    <comment ref="D7" authorId="0" shapeId="0">
      <text>
        <t>Người dùng Không xác định:
19.790</t>
      </text>
    </comment>
    <comment ref="B8" authorId="3" shapeId="0">
      <text>
        <t>was 24640000
VNP150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0" shapeId="0">
      <text>
        <t>Người dùng Không xác định:
31990000</t>
      </text>
    </comment>
    <comment ref="D10" authorId="0" shapeId="0">
      <text>
        <t>Người dùng Không xác định:31.590</t>
      </text>
    </comment>
    <comment ref="F10" authorId="4" shapeId="0">
      <text>
        <t>W3 31790</t>
      </text>
    </comment>
    <comment ref="G10" authorId="5" shapeId="0">
      <text>
        <t>Dat's MacBook Pro:
31.990</t>
      </text>
    </comment>
    <comment ref="D11" authorId="0" shapeId="0">
      <text>
        <t>Người dùng Không xác định:
16.890</t>
      </text>
    </comment>
    <comment ref="F11" authorId="0" shapeId="0">
      <text>
        <t>W3 16890</t>
      </text>
    </comment>
    <comment ref="G11" authorId="5" shapeId="0">
      <text>
        <t>Dat's MacBook Pro:
16590</t>
      </text>
    </comment>
    <comment ref="C12" authorId="0" shapeId="0">
      <text>
        <t>Người dùng Không xác định:
19590000</t>
      </text>
    </comment>
    <comment ref="B14" authorId="3" shapeId="0">
      <text>
        <t>was 13190
VNP100</t>
      </text>
    </comment>
    <comment ref="C15" authorId="0" shapeId="0">
      <text>
        <t>Người dùng Không xác định:
11790000</t>
      </text>
    </comment>
    <comment ref="D15" authorId="0" shapeId="0">
      <text>
        <t>13.590</t>
      </text>
    </comment>
    <comment ref="E15" authorId="2" shapeId="0">
      <text>
        <t>was 13490
HSSV 200</t>
      </text>
    </comment>
    <comment ref="F15" authorId="1" shapeId="0">
      <text>
        <t>W3 13590</t>
      </text>
    </comment>
    <comment ref="B16" authorId="3" shapeId="0">
      <text>
        <t>was 7040
VNP40</t>
      </text>
    </comment>
    <comment ref="C16" authorId="0" shapeId="0">
      <text>
        <t>Người dùng Không xác định:
8490000</t>
      </text>
    </comment>
    <comment ref="D16" authorId="0" shapeId="0">
      <text>
        <t>Người dùng Không xác định:
9.490</t>
      </text>
    </comment>
    <comment ref="E16" authorId="2" shapeId="0">
      <text>
        <t xml:space="preserve">was 9390
HSSV 200
</t>
      </text>
    </comment>
    <comment ref="F16" authorId="0" shapeId="0">
      <text>
        <t>W3 9490</t>
      </text>
    </comment>
    <comment ref="B17" authorId="3" shapeId="0">
      <text>
        <t>was 14390</t>
      </text>
    </comment>
    <comment ref="C17" authorId="0" shapeId="0">
      <text>
        <t>Người dùng Không xác định:
13690000</t>
      </text>
    </comment>
    <comment ref="D17" authorId="0" shapeId="0">
      <text>
        <t>13.590</t>
      </text>
    </comment>
    <comment ref="E17" authorId="2" shapeId="0">
      <text>
        <t xml:space="preserve">was 13290
HSSV 200:
</t>
      </text>
    </comment>
    <comment ref="F17" authorId="0" shapeId="0">
      <text>
        <t>W3 13590</t>
      </text>
    </comment>
    <comment ref="G17" authorId="5" shapeId="0">
      <text>
        <t>Dat's MacBook Pro:
15490</t>
      </text>
    </comment>
    <comment ref="C18" authorId="0" shapeId="0">
      <text>
        <t>Người dùng Không xác định:
19490000</t>
      </text>
    </comment>
    <comment ref="D18" authorId="0" shapeId="0">
      <text>
        <t>Người dùng Không xác định:
19.290</t>
      </text>
    </comment>
    <comment ref="E18" authorId="2" shapeId="0">
      <text>
        <t xml:space="preserve">was 18990
HSSV 200
</t>
      </text>
    </comment>
    <comment ref="F18" authorId="0" shapeId="0">
      <text>
        <t>W3 19290</t>
      </text>
    </comment>
    <comment ref="D19" authorId="0" shapeId="0">
      <text>
        <t>Người dùng Không xác định:
27.990</t>
      </text>
    </comment>
    <comment ref="F19" authorId="1" shapeId="0">
      <text>
        <t>W1 28190</t>
      </text>
    </comment>
    <comment ref="B20" authorId="3" shapeId="0">
      <text>
        <t>was 36640</t>
      </text>
    </comment>
    <comment ref="C21" authorId="0" shapeId="0">
      <text>
        <t>Người dùng Không xác định:
299
90000</t>
      </text>
    </comment>
    <comment ref="D21" authorId="0" shapeId="0">
      <text>
        <t>Người dùng Không xác định:
29.790</t>
      </text>
    </comment>
    <comment ref="F21" authorId="4" shapeId="0">
      <text>
        <t>W3 29790</t>
      </text>
    </comment>
    <comment ref="D22" authorId="0" shapeId="0">
      <text>
        <t>Người dùng Không xác định:
39.590</t>
      </text>
    </comment>
    <comment ref="F22" authorId="1" shapeId="0">
      <text>
        <t>W3 39590</t>
      </text>
    </comment>
    <comment ref="C28" authorId="0" shapeId="0">
      <text>
        <t>Người dùng Không xác định:
14090000</t>
      </text>
    </comment>
    <comment ref="D28" authorId="0" shapeId="0">
      <text>
        <t>Người dùng Không xác định:
13.290</t>
      </text>
    </comment>
    <comment ref="C29" authorId="0" shapeId="0">
      <text>
        <t>Người dùng Không xác định:
11990000</t>
      </text>
    </comment>
    <comment ref="D29" authorId="0" shapeId="0">
      <text>
        <t>Người dùng Không xác định:
11.990</t>
      </text>
    </comment>
    <comment ref="C30" authorId="0" shapeId="0">
      <text>
        <t>Người dùng Không xác định:
14090000</t>
      </text>
    </comment>
    <comment ref="D30" authorId="0" shapeId="0">
      <text>
        <t>Người dùng Không xác định:
12.990</t>
      </text>
    </comment>
    <comment ref="F30" authorId="1" shapeId="0">
      <text>
        <t>W3 14990</t>
      </text>
    </comment>
    <comment ref="B32" authorId="3" shapeId="0">
      <text>
        <t>was 5550
VNP40</t>
      </text>
    </comment>
    <comment ref="C32" authorId="0" shapeId="0">
      <text>
        <t>Người dùng Không xác định:
4890000</t>
      </text>
    </comment>
    <comment ref="B33" authorId="3" shapeId="0">
      <text>
        <t xml:space="preserve">was 4490
</t>
      </text>
    </comment>
    <comment ref="C33" authorId="0" shapeId="0">
      <text>
        <t>Người dùng Không xác định:
4690000</t>
      </text>
    </comment>
    <comment ref="F33" authorId="1" shapeId="0">
      <text>
        <t>W3 4690</t>
      </text>
    </comment>
    <comment ref="B34" authorId="3" shapeId="0">
      <text>
        <t>was 3190</t>
      </text>
    </comment>
    <comment ref="C34" authorId="0" shapeId="0">
      <text>
        <t>Người dùng Không xác định:
3590000</t>
      </text>
    </comment>
    <comment ref="F34" authorId="1" shapeId="0">
      <text>
        <t>W3 3550</t>
      </text>
    </comment>
    <comment ref="C35" authorId="0" shapeId="0">
      <text>
        <t>Người dùng Không xác định:
6790000</t>
      </text>
    </comment>
    <comment ref="E35" authorId="2" shapeId="0">
      <text>
        <t xml:space="preserve">was 6490
</t>
      </text>
    </comment>
    <comment ref="F35" authorId="1" shapeId="0">
      <text>
        <t>W3 6790</t>
      </text>
    </comment>
    <comment ref="C37" authorId="0" shapeId="0">
      <text>
        <t>Người dùng Không xác định:
23990000</t>
      </text>
    </comment>
    <comment ref="D37" authorId="0" shapeId="0">
      <text>
        <t>Người dùng Không xác định:
23.990</t>
      </text>
    </comment>
    <comment ref="F37" authorId="1" shapeId="0">
      <text>
        <t>W3 23990</t>
      </text>
    </comment>
    <comment ref="C38" authorId="0" shapeId="0">
      <text>
        <t>Người dùng Không xác định:
28990000</t>
      </text>
    </comment>
    <comment ref="D38" authorId="0" shapeId="0">
      <text>
        <t>Người dùng Không xác định:
28.990</t>
      </text>
    </comment>
    <comment ref="F38" authorId="1" shapeId="0">
      <text>
        <t>W3 28990</t>
      </text>
    </comment>
    <comment ref="C40" authorId="0" shapeId="0">
      <text>
        <t>Người dùng Không xác định:
41690000</t>
      </text>
    </comment>
  </commentList>
</comments>
</file>

<file path=xl/comments/comment93.xml><?xml version="1.0" encoding="utf-8"?>
<comments xmlns="http://schemas.openxmlformats.org/spreadsheetml/2006/main">
  <authors>
    <author>Duy</author>
    <author>Microsoft Office User</author>
    <author>Người dùng Khách</author>
    <author>Duy Ha Minh</author>
    <author>Dat's MacBook Pro</author>
    <author>Mia</author>
  </authors>
  <commentList>
    <comment ref="F2" authorId="0" shapeId="0">
      <text>
        <t>W4 24890</t>
      </text>
    </comment>
    <comment ref="F6" authorId="0" shapeId="0">
      <text>
        <t>W4 12490</t>
      </text>
    </comment>
    <comment ref="F7" authorId="0" shapeId="0">
      <text>
        <t>W4 19790</t>
      </text>
    </comment>
    <comment ref="B8" authorId="1" shapeId="0">
      <text>
        <t>was 24640000
VNP150</t>
      </text>
    </comment>
    <comment ref="F8" authorId="0" shapeId="0">
      <text>
        <t>W4 23790</t>
      </text>
    </comment>
    <comment ref="F9" authorId="0" shapeId="0">
      <text>
        <t>W4 25990</t>
      </text>
    </comment>
    <comment ref="B10"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2" shapeId="0">
      <text>
        <t>Người dùng Không xác định:
32590000</t>
      </text>
    </comment>
    <comment ref="D10" authorId="2" shapeId="0">
      <text>
        <t>Người dùng Không xác định:32.490</t>
      </text>
    </comment>
    <comment ref="F10" authorId="3" shapeId="0">
      <text>
        <t>W4 32490</t>
      </text>
    </comment>
    <comment ref="G10" authorId="4" shapeId="0">
      <text>
        <t>Dat's MacBook Pro:
31.990</t>
      </text>
    </comment>
    <comment ref="G11" authorId="4" shapeId="0">
      <text>
        <t>Dat's MacBook Pro:
16590</t>
      </text>
    </comment>
    <comment ref="C12" authorId="2" shapeId="0">
      <text>
        <t>Người dùng Không xác định:
19590000</t>
      </text>
    </comment>
    <comment ref="B14" authorId="1" shapeId="0">
      <text>
        <t>was 13190
VNP100</t>
      </text>
    </comment>
    <comment ref="C15" authorId="2" shapeId="0">
      <text>
        <t>Người dùng Không xác định:
13590000</t>
      </text>
    </comment>
    <comment ref="B16" authorId="1" shapeId="0">
      <text>
        <t>was 7040
VNP40</t>
      </text>
    </comment>
    <comment ref="C16" authorId="2" shapeId="0">
      <text>
        <t>Người dùng Không xác định:
8490000</t>
      </text>
    </comment>
    <comment ref="D16" authorId="2" shapeId="0">
      <text>
        <t>Người dùng Không xác định:
9.390</t>
      </text>
    </comment>
    <comment ref="B17" authorId="1" shapeId="0">
      <text>
        <t>was 14390</t>
      </text>
    </comment>
    <comment ref="C17" authorId="2" shapeId="0">
      <text>
        <t>Người dùng Không xác định:
16090000</t>
      </text>
    </comment>
    <comment ref="D17" authorId="2" shapeId="0">
      <text>
        <t>16.090</t>
      </text>
    </comment>
    <comment ref="E17" authorId="5" shapeId="0">
      <text>
        <t xml:space="preserve">was 15390
HSSV 200:
</t>
      </text>
    </comment>
    <comment ref="F17" authorId="2" shapeId="0">
      <text>
        <t>W4 16090</t>
      </text>
    </comment>
    <comment ref="G17" authorId="4" shapeId="0">
      <text>
        <t>Dat's MacBook Pro:
15490</t>
      </text>
    </comment>
    <comment ref="C18" authorId="2" shapeId="0">
      <text>
        <t>Người dùng Không xác định:
19490000</t>
      </text>
    </comment>
    <comment ref="D18" authorId="2" shapeId="0">
      <text>
        <t>Người dùng Không xác định:
21790</t>
      </text>
    </comment>
    <comment ref="E18" authorId="5" shapeId="0">
      <text>
        <t xml:space="preserve">was 20290
HSSV 200
</t>
      </text>
    </comment>
    <comment ref="F18" authorId="2" shapeId="0">
      <text>
        <t>W4 18990</t>
      </text>
    </comment>
    <comment ref="D19" authorId="2" shapeId="0">
      <text>
        <t>Người dùng Không xác định:
27.990</t>
      </text>
    </comment>
    <comment ref="F19" authorId="0" shapeId="0">
      <text>
        <t>W1 28190</t>
      </text>
    </comment>
    <comment ref="B20" authorId="1" shapeId="0">
      <text>
        <t>was 36640</t>
      </text>
    </comment>
    <comment ref="C21" authorId="2" shapeId="0">
      <text>
        <t>Người dùng Không xác định:
29690000</t>
      </text>
    </comment>
    <comment ref="D21" authorId="2" shapeId="0">
      <text>
        <t>Người dùng Không xác định:
29.490</t>
      </text>
    </comment>
    <comment ref="F21" authorId="3" shapeId="0">
      <text>
        <t>W4 29190</t>
      </text>
    </comment>
    <comment ref="C22" authorId="2" shapeId="0">
      <text>
        <t>Người dùng Không xác định:
39590000</t>
      </text>
    </comment>
    <comment ref="D22" authorId="2" shapeId="0">
      <text>
        <t>Người dùng Không xác định:
39.390</t>
      </text>
    </comment>
    <comment ref="F22" authorId="0" shapeId="0">
      <text>
        <t>W4 39390</t>
      </text>
    </comment>
    <comment ref="C28" authorId="2" shapeId="0">
      <text>
        <t>Người dùng Không xác định:
14090000</t>
      </text>
    </comment>
    <comment ref="D28" authorId="2" shapeId="0">
      <text>
        <t>Người dùng Không xác định:
13.290</t>
      </text>
    </comment>
    <comment ref="C29" authorId="2" shapeId="0">
      <text>
        <t>Người dùng Không xác định:
11990000</t>
      </text>
    </comment>
    <comment ref="D29" authorId="2" shapeId="0">
      <text>
        <t>Người dùng Không xác định:
11.590</t>
      </text>
    </comment>
    <comment ref="C30" authorId="2" shapeId="0">
      <text>
        <t>Người dùng Không xác định:
14990000</t>
      </text>
    </comment>
    <comment ref="D30" authorId="2" shapeId="0">
      <text>
        <t>Người dùng Không xác định:
14990</t>
      </text>
    </comment>
    <comment ref="B32" authorId="1" shapeId="0">
      <text>
        <t>was 5550
VNP40</t>
      </text>
    </comment>
    <comment ref="C32" authorId="2" shapeId="0">
      <text>
        <t>Người dùng Không xác định:
49
90000</t>
      </text>
    </comment>
    <comment ref="B33" authorId="1" shapeId="0">
      <text>
        <t xml:space="preserve">was 4490
</t>
      </text>
    </comment>
    <comment ref="C33" authorId="2" shapeId="0">
      <text>
        <t>Người dùng Không xác định:
4690000</t>
      </text>
    </comment>
    <comment ref="B34" authorId="1" shapeId="0">
      <text>
        <t>was 3190</t>
      </text>
    </comment>
    <comment ref="C34" authorId="2" shapeId="0">
      <text>
        <t>Người dùng Không xác định:
3490000</t>
      </text>
    </comment>
    <comment ref="F34" authorId="0" shapeId="0">
      <text>
        <t>W4 3450</t>
      </text>
    </comment>
    <comment ref="C35" authorId="2" shapeId="0">
      <text>
        <t>Người dùng Không xác định:
6790000</t>
      </text>
    </comment>
    <comment ref="C37" authorId="2" shapeId="0">
      <text>
        <t>Người dùng Không xác định:
25290000</t>
      </text>
    </comment>
    <comment ref="D37" authorId="2" shapeId="0">
      <text>
        <t>Người dùng Không xác định:
25290</t>
      </text>
    </comment>
    <comment ref="F37" authorId="0" shapeId="0">
      <text>
        <t>W4 25290</t>
      </text>
    </comment>
    <comment ref="C38" authorId="2" shapeId="0">
      <text>
        <t>Người dùng Không xác định:
29990000</t>
      </text>
    </comment>
    <comment ref="D38" authorId="2" shapeId="0">
      <text>
        <t>Người dùng Không xác định:
29.990</t>
      </text>
    </comment>
    <comment ref="F38" authorId="0" shapeId="0">
      <text>
        <t>W4 29990</t>
      </text>
    </comment>
    <comment ref="C40" authorId="2" shapeId="0">
      <text>
        <t>Người dùng Không xác định:
41690000</t>
      </text>
    </comment>
  </commentList>
</comments>
</file>

<file path=xl/comments/comment94.xml><?xml version="1.0" encoding="utf-8"?>
<comments xmlns="http://schemas.openxmlformats.org/spreadsheetml/2006/main">
  <authors>
    <author>Duy</author>
    <author>Người dùng Khách</author>
    <author>Mia</author>
    <author>Microsoft Office User</author>
    <author>Duy Ha Minh</author>
    <author>Dat's MacBook Pro</author>
  </authors>
  <commentList>
    <comment ref="F2" authorId="0" shapeId="0">
      <text>
        <t>W5 24690</t>
      </text>
    </comment>
    <comment ref="C3" authorId="1" shapeId="0">
      <text>
        <t>Người dùng Không xác định:
25990000</t>
      </text>
    </comment>
    <comment ref="D3" authorId="1" shapeId="0">
      <text>
        <t>Người dùng Không xác định:
25.790</t>
      </text>
    </comment>
    <comment ref="E3" authorId="2" shapeId="0">
      <text>
        <t>was 25490</t>
      </text>
    </comment>
    <comment ref="F3" authorId="0" shapeId="0">
      <text>
        <t>W5 25790</t>
      </text>
    </comment>
    <comment ref="E4" authorId="2" shapeId="0">
      <text>
        <t>was 33590</t>
      </text>
    </comment>
    <comment ref="F4" authorId="0" shapeId="0">
      <text>
        <t>W5 34390</t>
      </text>
    </comment>
    <comment ref="F5" authorId="0" shapeId="0">
      <text>
        <t>W5 37690</t>
      </text>
    </comment>
    <comment ref="F6" authorId="0" shapeId="0">
      <text>
        <t>W5 12870</t>
      </text>
    </comment>
    <comment ref="F7" authorId="0" shapeId="0">
      <text>
        <t>W5 19690</t>
      </text>
    </comment>
    <comment ref="B8" authorId="3" shapeId="0">
      <text>
        <t>was 24640000
VNP150</t>
      </text>
    </comment>
    <comment ref="F8" authorId="0" shapeId="0">
      <text>
        <t>W5 23690</t>
      </text>
    </comment>
    <comment ref="F9" authorId="0" shapeId="0">
      <text>
        <t>W5 26990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0" authorId="1" shapeId="0">
      <text>
        <t>Người dùng Không xác định:
32990000</t>
      </text>
    </comment>
    <comment ref="D10" authorId="1" shapeId="0">
      <text>
        <t>:32.990</t>
      </text>
    </comment>
    <comment ref="F10" authorId="4" shapeId="0">
      <text>
        <t>W5 32990</t>
      </text>
    </comment>
    <comment ref="G10" authorId="5" shapeId="0">
      <text>
        <t>Dat's MacBook Pro:
31.990</t>
      </text>
    </comment>
    <comment ref="G11" authorId="5" shapeId="0">
      <text>
        <t>Dat's MacBook Pro:
16590</t>
      </text>
    </comment>
    <comment ref="C12" authorId="1" shapeId="0">
      <text>
        <t>Người dùng Không xác định:
18990000</t>
      </text>
    </comment>
    <comment ref="D13" authorId="1" shapeId="0">
      <text>
        <t>Người dùng Không xác định:
13.490</t>
      </text>
    </comment>
    <comment ref="F13" authorId="0" shapeId="0">
      <text>
        <t>W5 13590</t>
      </text>
    </comment>
    <comment ref="B14" authorId="3" shapeId="0">
      <text>
        <t>was 13190
VNP100</t>
      </text>
    </comment>
    <comment ref="D14" authorId="1" shapeId="0">
      <text>
        <t>Người dùng Không xác định:
12.090</t>
      </text>
    </comment>
    <comment ref="F14" authorId="0" shapeId="0">
      <text>
        <t>W5 12090</t>
      </text>
    </comment>
    <comment ref="C15" authorId="1" shapeId="0">
      <text>
        <t>Người dùng Không xác định:
13390000</t>
      </text>
    </comment>
    <comment ref="D15" authorId="1" shapeId="0">
      <text>
        <t>Người dùng Không xác định:
13.390</t>
      </text>
    </comment>
    <comment ref="E15" authorId="2" shapeId="0">
      <text>
        <t>was 13290
HSSV 200</t>
      </text>
    </comment>
    <comment ref="F15" authorId="0" shapeId="0">
      <text>
        <t>W5 13390</t>
      </text>
    </comment>
    <comment ref="B16" authorId="3" shapeId="0">
      <text>
        <t>was 7040
VNP40</t>
      </text>
    </comment>
    <comment ref="C16" authorId="1" shapeId="0">
      <text>
        <t>Người dùng Không xác định:
9590000</t>
      </text>
    </comment>
    <comment ref="D16" authorId="1" shapeId="0">
      <text>
        <t>Người dùng Không xác định:
9.490</t>
      </text>
    </comment>
    <comment ref="E16" authorId="2" shapeId="0">
      <text>
        <t xml:space="preserve">was 9190
HSSV 200
</t>
      </text>
    </comment>
    <comment ref="F16" authorId="0" shapeId="0">
      <text>
        <t>W5 9590</t>
      </text>
    </comment>
    <comment ref="B17" authorId="3" shapeId="0">
      <text>
        <t>was 14390</t>
      </text>
    </comment>
    <comment ref="C17" authorId="1" shapeId="0">
      <text>
        <t>Người dùng Không xác định:
13690000</t>
      </text>
    </comment>
    <comment ref="D17" authorId="1" shapeId="0">
      <text>
        <t>13.490</t>
      </text>
    </comment>
    <comment ref="F17" authorId="1" shapeId="0">
      <text>
        <t>W5 13490</t>
      </text>
    </comment>
    <comment ref="G17" authorId="5" shapeId="0">
      <text>
        <t>Dat's MacBook Pro:
15490</t>
      </text>
    </comment>
    <comment ref="C18" authorId="1" shapeId="0">
      <text>
        <t>Người dùng Không xác định:
21790000</t>
      </text>
    </comment>
    <comment ref="D18" authorId="1" shapeId="0">
      <text>
        <t>19.290</t>
      </text>
    </comment>
    <comment ref="F18" authorId="1" shapeId="0">
      <text>
        <t>W5 19290</t>
      </text>
    </comment>
    <comment ref="D19" authorId="1" shapeId="0">
      <text>
        <t>Người dùng Không xác định:
27.990</t>
      </text>
    </comment>
    <comment ref="B20" authorId="3" shapeId="0">
      <text>
        <t>was 36640</t>
      </text>
    </comment>
    <comment ref="F21" authorId="4" shapeId="0">
      <text>
        <t>W5 24490</t>
      </text>
    </comment>
    <comment ref="C22" authorId="1" shapeId="0">
      <text>
        <t>Người dùng Không xác định:
39390000</t>
      </text>
    </comment>
    <comment ref="D22" authorId="1" shapeId="0">
      <text>
        <t>Người dùng Không xác định:
39.390</t>
      </text>
    </comment>
    <comment ref="C23" authorId="1" shapeId="0">
      <text>
        <t>Người dùng Không xác định:
6790000</t>
      </text>
    </comment>
    <comment ref="D23" authorId="1" shapeId="0">
      <text>
        <t>Người dùng Không xác định:
6.790</t>
      </text>
    </comment>
    <comment ref="E23" authorId="2" shapeId="0">
      <text>
        <t>was 6490</t>
      </text>
    </comment>
    <comment ref="F23" authorId="0" shapeId="0">
      <text>
        <t>W5 6790</t>
      </text>
    </comment>
    <comment ref="C24" authorId="1" shapeId="0">
      <text>
        <t>Người dùng Không xác định:
8390000</t>
      </text>
    </comment>
    <comment ref="D24" authorId="1" shapeId="0">
      <text>
        <t>Người dùng Không xác định:
8.390</t>
      </text>
    </comment>
    <comment ref="E24" authorId="2" shapeId="0">
      <text>
        <t>was 7990</t>
      </text>
    </comment>
    <comment ref="F24" authorId="0" shapeId="0">
      <text>
        <t>W5 8390</t>
      </text>
    </comment>
    <comment ref="C25" authorId="1" shapeId="0">
      <text>
        <t>Người dùng Không xác định:
7690000</t>
      </text>
    </comment>
    <comment ref="D25" authorId="1" shapeId="0">
      <text>
        <t>Người dùng Không xác định:
7.690</t>
      </text>
    </comment>
    <comment ref="E25" authorId="2" shapeId="0">
      <text>
        <t>was 7390</t>
      </text>
    </comment>
    <comment ref="F25" authorId="0" shapeId="0">
      <text>
        <t>W5 7690</t>
      </text>
    </comment>
    <comment ref="C26" authorId="1" shapeId="0">
      <text>
        <t>Người dùng Không xác định:
9190000</t>
      </text>
    </comment>
    <comment ref="D26" authorId="1" shapeId="0">
      <text>
        <t>Người dùng Không xác định:
9.190</t>
      </text>
    </comment>
    <comment ref="E26" authorId="2" shapeId="0">
      <text>
        <t xml:space="preserve">was 8990
</t>
      </text>
    </comment>
    <comment ref="F26" authorId="0" shapeId="0">
      <text>
        <t>W5 9190</t>
      </text>
    </comment>
    <comment ref="C27" authorId="1" shapeId="0">
      <text>
        <t>Người dùng Không xác định:
11190000</t>
      </text>
    </comment>
    <comment ref="E27" authorId="2" shapeId="0">
      <text>
        <t xml:space="preserve">was 10690
</t>
      </text>
    </comment>
    <comment ref="F27" authorId="0" shapeId="0">
      <text>
        <t>W5 11190</t>
      </text>
    </comment>
    <comment ref="C28" authorId="1" shapeId="0">
      <text>
        <t>Người dùng Không xác định:
14090000</t>
      </text>
    </comment>
    <comment ref="D28" authorId="1" shapeId="0">
      <text>
        <t>Người dùng Không xác định:
14090</t>
      </text>
    </comment>
    <comment ref="E28" authorId="2" shapeId="0">
      <text>
        <t>was 13990</t>
      </text>
    </comment>
    <comment ref="F28" authorId="0" shapeId="0">
      <text>
        <t>W5 14090</t>
      </text>
    </comment>
    <comment ref="C29" authorId="1" shapeId="0">
      <text>
        <t>Người dùng Không xác định:11990000</t>
      </text>
    </comment>
    <comment ref="D29" authorId="1" shapeId="0">
      <text>
        <t>Người dùng Không xác định:
11.990</t>
      </text>
    </comment>
    <comment ref="E29" authorId="2" shapeId="0">
      <text>
        <t>was 11490</t>
      </text>
    </comment>
    <comment ref="F29" authorId="0" shapeId="0">
      <text>
        <t>W5 11990</t>
      </text>
    </comment>
    <comment ref="C30" authorId="1" shapeId="0">
      <text>
        <t>Người dùng Không xác định:
14990000</t>
      </text>
    </comment>
    <comment ref="D30" authorId="1" shapeId="0">
      <text>
        <t>Người dùng Không xác định:
14990</t>
      </text>
    </comment>
    <comment ref="E30" authorId="2" shapeId="0">
      <text>
        <t>was 14490</t>
      </text>
    </comment>
    <comment ref="F30" authorId="0" shapeId="0">
      <text>
        <t>W5 14090</t>
      </text>
    </comment>
    <comment ref="B32" authorId="3" shapeId="0">
      <text>
        <t>was 5550
VNP40</t>
      </text>
    </comment>
    <comment ref="B33" authorId="3" shapeId="0">
      <text>
        <t xml:space="preserve">was 4490
</t>
      </text>
    </comment>
    <comment ref="C33" authorId="1" shapeId="0">
      <text>
        <t>Người dùng Không xác định:
4590000</t>
      </text>
    </comment>
    <comment ref="D33" authorId="1" shapeId="0">
      <text>
        <t>Người dùng Không xác định:
4.550</t>
      </text>
    </comment>
    <comment ref="E33" authorId="2" shapeId="0">
      <text>
        <t xml:space="preserve">was 4490
</t>
      </text>
    </comment>
    <comment ref="F33" authorId="0" shapeId="0">
      <text>
        <t>W5 4950</t>
      </text>
    </comment>
    <comment ref="B34" authorId="3" shapeId="0">
      <text>
        <t>was 3190</t>
      </text>
    </comment>
    <comment ref="C34" authorId="1" shapeId="0">
      <text>
        <t>Người dùng Không xác định:
3390000</t>
      </text>
    </comment>
    <comment ref="D34" authorId="1" shapeId="0">
      <text>
        <t>Người dùng Không xác định:
3.590</t>
      </text>
    </comment>
    <comment ref="E34" authorId="2" shapeId="0">
      <text>
        <t>was 3390</t>
      </text>
    </comment>
    <comment ref="F34" authorId="0" shapeId="0">
      <text>
        <t>W5 3490</t>
      </text>
    </comment>
    <comment ref="C35" authorId="1" shapeId="0">
      <text>
        <t xml:space="preserve">Người dùng Không xác định:
6590000
</t>
      </text>
    </comment>
    <comment ref="D35" authorId="1" shapeId="0">
      <text>
        <t>Người dùng Không xác định:
6.590</t>
      </text>
    </comment>
    <comment ref="E35" authorId="2" shapeId="0">
      <text>
        <t xml:space="preserve">was 6390
</t>
      </text>
    </comment>
    <comment ref="F35" authorId="0" shapeId="0">
      <text>
        <t>W5 6590</t>
      </text>
    </comment>
    <comment ref="D40" authorId="1" shapeId="0">
      <text>
        <t>Người dùng Không xác định:
41.690</t>
      </text>
    </comment>
  </commentList>
</comments>
</file>

<file path=xl/comments/comment95.xml><?xml version="1.0" encoding="utf-8"?>
<comments xmlns="http://schemas.openxmlformats.org/spreadsheetml/2006/main">
  <authors>
    <author>Duy</author>
    <author>Người dùng Khách</author>
    <author>danielnguyen6111998@gmail.com</author>
    <author>Microsoft Office User</author>
    <author>Duy Ha Minh</author>
    <author>Dat's MacBook Pro</author>
    <author>Mia</author>
  </authors>
  <commentList>
    <comment ref="F2" authorId="0" shapeId="0">
      <text>
        <t>W6 24190</t>
      </text>
    </comment>
    <comment ref="C3" authorId="1" shapeId="0">
      <text>
        <t>Người dùng Không xác định:
25990000</t>
      </text>
    </comment>
    <comment ref="F3" authorId="0" shapeId="0">
      <text>
        <t>W6 24890</t>
      </text>
    </comment>
    <comment ref="C4" authorId="2" shapeId="0">
      <text>
        <t>danielnguyen6111998@gmail.com:
34690000</t>
      </text>
    </comment>
    <comment ref="D4" authorId="1" shapeId="0">
      <text>
        <t>Người dùng Không xác định:
34.390</t>
      </text>
    </comment>
    <comment ref="C5" authorId="2" shapeId="0">
      <text>
        <t>danielnguyen6111998@gmail.com:
37990000</t>
      </text>
    </comment>
    <comment ref="D7" authorId="1" shapeId="0">
      <text>
        <t>Người dùng Không xác định:
19.690</t>
      </text>
    </comment>
    <comment ref="B8" authorId="3" shapeId="0">
      <text>
        <t>was 24640000
VNP150</t>
      </text>
    </comment>
    <comment ref="B10"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10" authorId="4" shapeId="0">
      <text>
        <t>W6 31490</t>
      </text>
    </comment>
    <comment ref="G10" authorId="5" shapeId="0">
      <text>
        <t>Dat's MacBook Pro:
31.990</t>
      </text>
    </comment>
    <comment ref="G11" authorId="5" shapeId="0">
      <text>
        <t>Dat's MacBook Pro:
16590</t>
      </text>
    </comment>
    <comment ref="D13" authorId="1" shapeId="0">
      <text>
        <t>Người dùng Không xác định:
13.890</t>
      </text>
    </comment>
    <comment ref="B14" authorId="3" shapeId="0">
      <text>
        <t>was 13190
VNP100</t>
      </text>
    </comment>
    <comment ref="B16" authorId="3" shapeId="0">
      <text>
        <t>was 7040
VNP40</t>
      </text>
    </comment>
    <comment ref="B17" authorId="3" shapeId="0">
      <text>
        <t>was 14390</t>
      </text>
    </comment>
    <comment ref="C17" authorId="1" shapeId="0">
      <text>
        <t>Người dùng Không xác định:
13690000</t>
      </text>
    </comment>
    <comment ref="D17" authorId="1" shapeId="0">
      <text>
        <t>13.490</t>
      </text>
    </comment>
    <comment ref="G17" authorId="5" shapeId="0">
      <text>
        <t>Dat's MacBook Pro:
15490</t>
      </text>
    </comment>
    <comment ref="D19" authorId="1" shapeId="0">
      <text>
        <t>Người dùng Không xác định:
27.990</t>
      </text>
    </comment>
    <comment ref="B20" authorId="3" shapeId="0">
      <text>
        <t>was 36640</t>
      </text>
    </comment>
    <comment ref="D22" authorId="1" shapeId="0">
      <text>
        <t>Người dùng Không xác định:
39.390</t>
      </text>
    </comment>
    <comment ref="F24" authorId="0" shapeId="0">
      <text>
        <t>W6 7690</t>
      </text>
    </comment>
    <comment ref="C26" authorId="1" shapeId="0">
      <text>
        <t>Người dùng Không xác định:
9190000</t>
      </text>
    </comment>
    <comment ref="D26" authorId="1" shapeId="0">
      <text>
        <t>Người dùng Không xác định:
9.190</t>
      </text>
    </comment>
    <comment ref="D27" authorId="1" shapeId="0">
      <text>
        <t>Người dùng Không xác định:
11.190</t>
      </text>
    </comment>
    <comment ref="C28" authorId="1" shapeId="0">
      <text>
        <t>Người dùng Không xác định:
14090000</t>
      </text>
    </comment>
    <comment ref="C29" authorId="1" shapeId="0">
      <text>
        <t>Người dùng Không xác định:11990000</t>
      </text>
    </comment>
    <comment ref="C30" authorId="1" shapeId="0">
      <text>
        <t>Người dùng Không xác định:
13090000</t>
      </text>
    </comment>
    <comment ref="E30" authorId="6" shapeId="0">
      <text>
        <t>was 12490</t>
      </text>
    </comment>
    <comment ref="B32" authorId="3" shapeId="0">
      <text>
        <t>was 5550
VNP40</t>
      </text>
    </comment>
    <comment ref="B33" authorId="3" shapeId="0">
      <text>
        <t xml:space="preserve">was 4490
</t>
      </text>
    </comment>
    <comment ref="C33" authorId="1" shapeId="0">
      <text>
        <t>Người dùng Không xác định:
42
90000</t>
      </text>
    </comment>
    <comment ref="D33" authorId="1" shapeId="0">
      <text>
        <t>Người dùng Không xác định:
4.250</t>
      </text>
    </comment>
    <comment ref="F33" authorId="0" shapeId="0">
      <text>
        <t>W6 4290</t>
      </text>
    </comment>
    <comment ref="B34" authorId="3" shapeId="0">
      <text>
        <t>was 3190</t>
      </text>
    </comment>
    <comment ref="C34" authorId="1" shapeId="0">
      <text>
        <t>Người dùng Không xác định:
2990000</t>
      </text>
    </comment>
    <comment ref="D34" authorId="1" shapeId="0">
      <text>
        <t>Người dùng Không xác định:
2990</t>
      </text>
    </comment>
    <comment ref="F34" authorId="0" shapeId="0">
      <text>
        <t>W6 2990</t>
      </text>
    </comment>
    <comment ref="C35" authorId="1" shapeId="0">
      <text>
        <t xml:space="preserve">Người dùng Không xác định:
6490000
</t>
      </text>
    </comment>
    <comment ref="C37" authorId="2" shapeId="0">
      <text>
        <t>danielnguyen6111998@gmail.com:
23990000</t>
      </text>
    </comment>
    <comment ref="D37" authorId="1" shapeId="0">
      <text>
        <t>Người dùng Không xác định:
23.990</t>
      </text>
    </comment>
    <comment ref="F37" authorId="0" shapeId="0">
      <text>
        <t>W6 23990</t>
      </text>
    </comment>
    <comment ref="D38" authorId="1" shapeId="0">
      <text>
        <t>Người dùng Không xác định:
28.990</t>
      </text>
    </comment>
  </commentList>
</comments>
</file>

<file path=xl/comments/comment96.xml><?xml version="1.0" encoding="utf-8"?>
<comments xmlns="http://schemas.openxmlformats.org/spreadsheetml/2006/main">
  <authors>
    <author>Người dùng Khách</author>
    <author>Duy</author>
    <author>Dat's MacBook Pro</author>
    <author>danielnguyen6111998@gmail.com</author>
    <author>Mia</author>
    <author>Microsoft Office User</author>
    <author>Duy Ha Minh</author>
  </authors>
  <commentList>
    <comment ref="D3" authorId="0" shapeId="0">
      <text>
        <t>Người dùng Không xác định:
24.990</t>
      </text>
    </comment>
    <comment ref="F3" authorId="1" shapeId="0">
      <text>
        <t>W7 24390</t>
      </text>
    </comment>
    <comment ref="G3" authorId="2" shapeId="0">
      <text>
        <t>Dat's MacBook Pro:
+300k</t>
      </text>
    </comment>
    <comment ref="C4" authorId="0" shapeId="0">
      <text>
        <t>Người dùng Không xác định:
25990000</t>
      </text>
    </comment>
    <comment ref="C5" authorId="3" shapeId="0">
      <text>
        <t>danielnguyen6111998@gmail.com:
33590000</t>
      </text>
    </comment>
    <comment ref="D5" authorId="0" shapeId="0">
      <text>
        <t>Người dùng Không xác định:
34.590</t>
      </text>
    </comment>
    <comment ref="F5" authorId="1" shapeId="0">
      <text>
        <t>W7 33290</t>
      </text>
    </comment>
    <comment ref="C6" authorId="3" shapeId="0">
      <text>
        <t>danielnguyen6111998@gmail.com:
37290000</t>
      </text>
    </comment>
    <comment ref="D6" authorId="0" shapeId="0">
      <text>
        <t>Người dùng Không xác định:
37.290</t>
      </text>
    </comment>
    <comment ref="F6" authorId="1" shapeId="0">
      <text>
        <t>W7 36990</t>
      </text>
    </comment>
    <comment ref="C8" authorId="0" shapeId="0">
      <text>
        <t>Người dùng Không xác định:
19990000</t>
      </text>
    </comment>
    <comment ref="D8" authorId="0" shapeId="0">
      <text>
        <t>Người dùng Không xác định:
19.590</t>
      </text>
    </comment>
    <comment ref="E8" authorId="4" shapeId="0">
      <text>
        <t xml:space="preserve">was 19390
</t>
      </text>
    </comment>
    <comment ref="F8" authorId="1" shapeId="0">
      <text>
        <t>W7 19590</t>
      </text>
    </comment>
    <comment ref="G8" authorId="2" shapeId="0">
      <text>
        <t>Dat's MacBook Pro:
+1300</t>
      </text>
    </comment>
    <comment ref="B9" authorId="5" shapeId="0">
      <text>
        <t>was 24640000
VNP150</t>
      </text>
    </comment>
    <comment ref="C9" authorId="0" shapeId="0">
      <text>
        <t>Người dùng Không xác định:
23990000</t>
      </text>
    </comment>
    <comment ref="D9" authorId="0" shapeId="0">
      <text>
        <t>Người dùng Không xác định:
23.590</t>
      </text>
    </comment>
    <comment ref="E9" authorId="4" shapeId="0">
      <text>
        <t>was 22990</t>
      </text>
    </comment>
    <comment ref="F9" authorId="1" shapeId="0">
      <text>
        <t>W7 23590</t>
      </text>
    </comment>
    <comment ref="G9" authorId="2" shapeId="0">
      <text>
        <t>Dat's MacBook Pro:
+1400</t>
      </text>
    </comment>
    <comment ref="B11" authorId="5"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11" authorId="6" shapeId="0">
      <text>
        <t>W7 31590</t>
      </text>
    </comment>
    <comment ref="G11" authorId="2" shapeId="0">
      <text>
        <t>Dat's MacBook Pro:
31.990</t>
      </text>
    </comment>
    <comment ref="C12" authorId="0" shapeId="0">
      <text>
        <t>Người dùng Không xác định:
16990000</t>
      </text>
    </comment>
    <comment ref="D12" authorId="0" shapeId="0">
      <text>
        <t>Người dùng Không xác định:
16.790</t>
      </text>
    </comment>
    <comment ref="E12" authorId="4" shapeId="0">
      <text>
        <t xml:space="preserve">was 16490
</t>
      </text>
    </comment>
    <comment ref="F12" authorId="1" shapeId="0">
      <text>
        <t>W7 16790</t>
      </text>
    </comment>
    <comment ref="G12" authorId="2" shapeId="0">
      <text>
        <t>Dat's MacBook Pro:
+1300</t>
      </text>
    </comment>
    <comment ref="D14" authorId="0" shapeId="0">
      <text>
        <t>Người dùng Không xác định:
13.290</t>
      </text>
    </comment>
    <comment ref="F14" authorId="1" shapeId="0">
      <text>
        <t>W7 13890</t>
      </text>
    </comment>
    <comment ref="B15" authorId="5" shapeId="0">
      <text>
        <t>was 13190
VNP100</t>
      </text>
    </comment>
    <comment ref="F15" authorId="1" shapeId="0">
      <text>
        <t>W7 12290</t>
      </text>
    </comment>
    <comment ref="C16" authorId="0" shapeId="0">
      <text>
        <t>Người dùng Không xác định:
11790000</t>
      </text>
    </comment>
    <comment ref="D16" authorId="0" shapeId="0">
      <text>
        <t>Người dùng Không xác định:
11.790</t>
      </text>
    </comment>
    <comment ref="E16" authorId="4" shapeId="0">
      <text>
        <t>was 11290
HSSV 200</t>
      </text>
    </comment>
    <comment ref="F16" authorId="1" shapeId="0">
      <text>
        <t>W7 11790</t>
      </text>
    </comment>
    <comment ref="B17" authorId="5" shapeId="0">
      <text>
        <t>was 7040
VNP40</t>
      </text>
    </comment>
    <comment ref="C17" authorId="0" shapeId="0">
      <text>
        <t>Người dùng Không xác định:
8490000</t>
      </text>
    </comment>
    <comment ref="D17" authorId="0" shapeId="0">
      <text>
        <t>Người dùng Không xác định:
8.490</t>
      </text>
    </comment>
    <comment ref="E17" authorId="4" shapeId="0">
      <text>
        <t>was 8490</t>
      </text>
    </comment>
    <comment ref="F17" authorId="1" shapeId="0">
      <text>
        <t>W7 8490</t>
      </text>
    </comment>
    <comment ref="B18" authorId="5" shapeId="0">
      <text>
        <t>was 14390</t>
      </text>
    </comment>
    <comment ref="C18" authorId="0" shapeId="0">
      <text>
        <t>Người dùng Không xác định:
13290000</t>
      </text>
    </comment>
    <comment ref="D18" authorId="0" shapeId="0">
      <text>
        <t>13.290</t>
      </text>
    </comment>
    <comment ref="E18" authorId="4" shapeId="0">
      <text>
        <t xml:space="preserve">was 13290
hssv 200
</t>
      </text>
    </comment>
    <comment ref="F18" authorId="1" shapeId="0">
      <text>
        <t>W7 13290</t>
      </text>
    </comment>
    <comment ref="G18" authorId="2" shapeId="0">
      <text>
        <t>Dat's MacBook Pro:
15490</t>
      </text>
    </comment>
    <comment ref="C19" authorId="0" shapeId="0">
      <text>
        <t>Người dùng Không xác định:
19090000</t>
      </text>
    </comment>
    <comment ref="D19" authorId="0" shapeId="0">
      <text>
        <t>Người dùng Không xác định:
18.990</t>
      </text>
    </comment>
    <comment ref="E19" authorId="4" shapeId="0">
      <text>
        <t xml:space="preserve">was 18990
hssv 200
</t>
      </text>
    </comment>
    <comment ref="F19" authorId="1" shapeId="0">
      <text>
        <t>W7 18990</t>
      </text>
    </comment>
    <comment ref="D20" authorId="0" shapeId="0">
      <text>
        <t>Người dùng Không xác định:
28490</t>
      </text>
    </comment>
    <comment ref="B21" authorId="5" shapeId="0">
      <text>
        <t>was 36640</t>
      </text>
    </comment>
    <comment ref="C22" authorId="0" shapeId="0">
      <text>
        <t>Người dùng Không xác định:
29490000</t>
      </text>
    </comment>
    <comment ref="D22" authorId="0" shapeId="0">
      <text>
        <t>Người dùng Không xác định:
29.190</t>
      </text>
    </comment>
    <comment ref="F22" authorId="1" shapeId="0">
      <text>
        <t>W7 29190</t>
      </text>
    </comment>
    <comment ref="D23" authorId="0" shapeId="0">
      <text>
        <t>Người dùng Không xác định:
39.590</t>
      </text>
    </comment>
    <comment ref="C24" authorId="0" shapeId="0">
      <text>
        <t>Người dùng Không xác định:
6290000</t>
      </text>
    </comment>
    <comment ref="D24" authorId="0" shapeId="0">
      <text>
        <t>Người dùng Không xác định:
6.290</t>
      </text>
    </comment>
    <comment ref="E24" authorId="4" shapeId="0">
      <text>
        <t xml:space="preserve">was 6190
</t>
      </text>
    </comment>
    <comment ref="F24" authorId="1" shapeId="0">
      <text>
        <t>W7 6290</t>
      </text>
    </comment>
    <comment ref="C25" authorId="0" shapeId="0">
      <text>
        <t>Người dùng Không xác định:
7890000</t>
      </text>
    </comment>
    <comment ref="D25" authorId="0" shapeId="0">
      <text>
        <t>Người dùng Không xác định:
7.890</t>
      </text>
    </comment>
    <comment ref="E25" authorId="4" shapeId="0">
      <text>
        <t xml:space="preserve">was 7790
</t>
      </text>
    </comment>
    <comment ref="F25" authorId="1" shapeId="0">
      <text>
        <t>W7 7890</t>
      </text>
    </comment>
    <comment ref="C26" authorId="0" shapeId="0">
      <text>
        <t>Người dùng Không xác định:
7290000</t>
      </text>
    </comment>
    <comment ref="D26" authorId="0" shapeId="0">
      <text>
        <t>Người dùng Không xác định:
7.290</t>
      </text>
    </comment>
    <comment ref="E26" authorId="4" shapeId="0">
      <text>
        <t xml:space="preserve">was 6990
</t>
      </text>
    </comment>
    <comment ref="F26" authorId="1" shapeId="0">
      <text>
        <t>W7 7290</t>
      </text>
    </comment>
    <comment ref="C27" authorId="0" shapeId="0">
      <text>
        <t>Người dùng Không xác định:
9190000</t>
      </text>
    </comment>
    <comment ref="D27" authorId="0" shapeId="0">
      <text>
        <t>8.790</t>
      </text>
    </comment>
    <comment ref="E27" authorId="4" shapeId="0">
      <text>
        <t xml:space="preserve">was 8590
</t>
      </text>
    </comment>
    <comment ref="F27" authorId="1" shapeId="0">
      <text>
        <t>W7 8990</t>
      </text>
    </comment>
    <comment ref="C28" authorId="0" shapeId="0">
      <text>
        <t>Người dùng Không xác định:
9190000</t>
      </text>
    </comment>
    <comment ref="D28" authorId="0" shapeId="0">
      <text>
        <t>9.190</t>
      </text>
    </comment>
    <comment ref="E28" authorId="4" shapeId="0">
      <text>
        <t xml:space="preserve">was 8990
</t>
      </text>
    </comment>
    <comment ref="F28" authorId="1" shapeId="0">
      <text>
        <t>W7 9190</t>
      </text>
    </comment>
    <comment ref="C29" authorId="0" shapeId="0">
      <text>
        <t>Người dùng Không xác định:
14090000</t>
      </text>
    </comment>
    <comment ref="D29" authorId="0" shapeId="0">
      <text>
        <t>Người dùng Không xác định:
12.190</t>
      </text>
    </comment>
    <comment ref="E29" authorId="4" shapeId="0">
      <text>
        <t xml:space="preserve">was 11990
</t>
      </text>
    </comment>
    <comment ref="F29" authorId="1" shapeId="0">
      <text>
        <t>W7 12190</t>
      </text>
    </comment>
    <comment ref="C30" authorId="0" shapeId="0">
      <text>
        <t>Người dùng Không xác định:9990000</t>
      </text>
    </comment>
    <comment ref="E30" authorId="4" shapeId="0">
      <text>
        <t xml:space="preserve">was 9690
</t>
      </text>
    </comment>
    <comment ref="F30" authorId="1" shapeId="0">
      <text>
        <t>W7 9990</t>
      </text>
    </comment>
    <comment ref="C31" authorId="0" shapeId="0">
      <text>
        <t>Người dùng Không xác định:
13090000</t>
      </text>
    </comment>
    <comment ref="D31" authorId="0" shapeId="0">
      <text>
        <t>Người dùng Không xác định:
12.990</t>
      </text>
    </comment>
    <comment ref="E31" authorId="4" shapeId="0">
      <text>
        <t>was 12690</t>
      </text>
    </comment>
    <comment ref="F31" authorId="1" shapeId="0">
      <text>
        <t>W7 12990</t>
      </text>
    </comment>
    <comment ref="B33" authorId="5" shapeId="0">
      <text>
        <t>was 5550
VNP40</t>
      </text>
    </comment>
    <comment ref="B34" authorId="5" shapeId="0">
      <text>
        <t xml:space="preserve">was 4490
</t>
      </text>
    </comment>
    <comment ref="C34" authorId="0" shapeId="0">
      <text>
        <t>Người dùng Không xác định:
4090000</t>
      </text>
    </comment>
    <comment ref="E34" authorId="4" shapeId="0">
      <text>
        <t xml:space="preserve">was 4390
</t>
      </text>
    </comment>
    <comment ref="F34" authorId="1" shapeId="0">
      <text>
        <t>W7 4190</t>
      </text>
    </comment>
    <comment ref="B35" authorId="5" shapeId="0">
      <text>
        <t>was 3190</t>
      </text>
    </comment>
    <comment ref="C35" authorId="0" shapeId="0">
      <text>
        <t>Người dùng Không xác định:
2790000</t>
      </text>
    </comment>
    <comment ref="D35" authorId="0" shapeId="0">
      <text>
        <t>Người dùng Không xác định:
2890</t>
      </text>
    </comment>
    <comment ref="E35" authorId="4" shapeId="0">
      <text>
        <t xml:space="preserve">was 2990
</t>
      </text>
    </comment>
    <comment ref="F35" authorId="1" shapeId="0">
      <text>
        <t>W7 2890</t>
      </text>
    </comment>
    <comment ref="C36" authorId="0" shapeId="0">
      <text>
        <t xml:space="preserve">Người dùng Không xác định:
6290000
</t>
      </text>
    </comment>
    <comment ref="F36" authorId="1" shapeId="0">
      <text>
        <t>W7 6490</t>
      </text>
    </comment>
    <comment ref="C40" authorId="3" shapeId="0">
      <text>
        <t>danielnguyen6111998@gmail.com:
23790000</t>
      </text>
    </comment>
    <comment ref="D40" authorId="0" shapeId="0">
      <text>
        <t>Người dùng Không xác định:
23.690</t>
      </text>
    </comment>
    <comment ref="F40" authorId="1" shapeId="0">
      <text>
        <t>W7 23690</t>
      </text>
    </comment>
    <comment ref="C41" authorId="0" shapeId="0">
      <text>
        <t>Người dùng Không xác định:
28990000</t>
      </text>
    </comment>
    <comment ref="D41" authorId="0" shapeId="0">
      <text>
        <t>Người dùng Không xác định:
28.790</t>
      </text>
    </comment>
  </commentList>
</comments>
</file>

<file path=xl/comments/comment97.xml><?xml version="1.0" encoding="utf-8"?>
<comments xmlns="http://schemas.openxmlformats.org/spreadsheetml/2006/main">
  <authors>
    <author>Người dùng Khách</author>
    <author>Duy</author>
    <author>Mia</author>
    <author>danielnguyen6111998@gmail.com</author>
    <author>Dat's MacBook Pro</author>
    <author>Microsoft Office User</author>
    <author>Duy Ha Minh</author>
  </authors>
  <commentList>
    <comment ref="C3" authorId="0" shapeId="0">
      <text>
        <t>Người dùng Không xác định:
24990000</t>
      </text>
    </comment>
    <comment ref="F3" authorId="1" shapeId="0">
      <text>
        <t>W7 24390</t>
      </text>
    </comment>
    <comment ref="C4" authorId="0" shapeId="0">
      <text>
        <t>Người dùng Không xác định:
25990000</t>
      </text>
    </comment>
    <comment ref="D4" authorId="0" shapeId="0">
      <text>
        <t>Người dùng Không xác định:
25.290</t>
      </text>
    </comment>
    <comment ref="E4" authorId="2" shapeId="0">
      <text>
        <t xml:space="preserve">was 24390
</t>
      </text>
    </comment>
    <comment ref="C5" authorId="3" shapeId="0">
      <text>
        <t>danielnguyen6111998@gmail.com:
34190000</t>
      </text>
    </comment>
    <comment ref="D5" authorId="0" shapeId="0">
      <text>
        <t>Người dùng Không xác định:
33.890</t>
      </text>
    </comment>
    <comment ref="E5" authorId="2" shapeId="0">
      <text>
        <t xml:space="preserve">was 32790
</t>
      </text>
    </comment>
    <comment ref="F5" authorId="1" shapeId="0">
      <text>
        <t>W7 33290</t>
      </text>
    </comment>
    <comment ref="C6" authorId="3" shapeId="0">
      <text>
        <t>danielnguyen6111998@gmail.com:
37890000</t>
      </text>
    </comment>
    <comment ref="D6" authorId="0" shapeId="0">
      <text>
        <t>Người dùng Không xác định:
37.590</t>
      </text>
    </comment>
    <comment ref="F6" authorId="1" shapeId="0">
      <text>
        <t>W7 36990</t>
      </text>
    </comment>
    <comment ref="C8" authorId="0" shapeId="0">
      <text>
        <t>Người dùng Không xác định:
20990000</t>
      </text>
    </comment>
    <comment ref="F8" authorId="1" shapeId="0">
      <text>
        <t>W7 19590</t>
      </text>
    </comment>
    <comment ref="G8" authorId="4" shapeId="0">
      <text>
        <t>Dat's MacBook Pro:
+1300</t>
      </text>
    </comment>
    <comment ref="B9" authorId="5" shapeId="0">
      <text>
        <t>was 24640000
VNP150</t>
      </text>
    </comment>
    <comment ref="C9" authorId="0" shapeId="0">
      <text>
        <t>Người dùng Không xác định:
24990000</t>
      </text>
    </comment>
    <comment ref="D9" authorId="0" shapeId="0">
      <text>
        <t>Người dùng Không xác định:
24.590</t>
      </text>
    </comment>
    <comment ref="F9" authorId="1" shapeId="0">
      <text>
        <t>W7 23590</t>
      </text>
    </comment>
    <comment ref="G9" authorId="4" shapeId="0">
      <text>
        <t>Dat's MacBook Pro:
+1400</t>
      </text>
    </comment>
    <comment ref="B11" authorId="5"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F11" authorId="6" shapeId="0">
      <text>
        <t>W7 31590</t>
      </text>
    </comment>
    <comment ref="G11" authorId="4" shapeId="0">
      <text>
        <t>Dat's MacBook Pro:
31.990</t>
      </text>
    </comment>
    <comment ref="C12" authorId="0" shapeId="0">
      <text>
        <t>Người dùng Không xác định:
17990000</t>
      </text>
    </comment>
    <comment ref="E12" authorId="2" shapeId="0">
      <text>
        <t>was 17490</t>
      </text>
    </comment>
    <comment ref="F12" authorId="1" shapeId="0">
      <text>
        <t>W7 16790</t>
      </text>
    </comment>
    <comment ref="G12" authorId="4" shapeId="0">
      <text>
        <t>Dat's MacBook Pro:
+1300</t>
      </text>
    </comment>
    <comment ref="F14" authorId="1" shapeId="0">
      <text>
        <t>W7 13890</t>
      </text>
    </comment>
    <comment ref="B15" authorId="5" shapeId="0">
      <text>
        <t>was 13190
VNP100</t>
      </text>
    </comment>
    <comment ref="F15" authorId="1" shapeId="0">
      <text>
        <t>W7 12290</t>
      </text>
    </comment>
    <comment ref="C16" authorId="0" shapeId="0">
      <text>
        <t>Người dùng Không xác định:
13490000</t>
      </text>
    </comment>
    <comment ref="D16" authorId="0" shapeId="0">
      <text>
        <t>Người dùng Không xác định:
13.490</t>
      </text>
    </comment>
    <comment ref="E16" authorId="2" shapeId="0">
      <text>
        <t>was 13290
HSSV 200</t>
      </text>
    </comment>
    <comment ref="F16" authorId="1" shapeId="0">
      <text>
        <t>W7 11790</t>
      </text>
    </comment>
    <comment ref="G16" authorId="4" shapeId="0">
      <text>
        <t>Dat's MacBook Pro:
13390</t>
      </text>
    </comment>
    <comment ref="B17" authorId="5" shapeId="0">
      <text>
        <t>was 7040
VNP40</t>
      </text>
    </comment>
    <comment ref="D17" authorId="0" shapeId="0">
      <text>
        <t>Người dùng Không xác định:9.590</t>
      </text>
    </comment>
    <comment ref="F17" authorId="1" shapeId="0">
      <text>
        <t>W7 8490</t>
      </text>
    </comment>
    <comment ref="B18" authorId="5" shapeId="0">
      <text>
        <t>was 14390</t>
      </text>
    </comment>
    <comment ref="C18" authorId="0" shapeId="0">
      <text>
        <t>Người dùng Không xác định:
16290000</t>
      </text>
    </comment>
    <comment ref="D18" authorId="0" shapeId="0">
      <text>
        <t>15.990</t>
      </text>
    </comment>
    <comment ref="F18" authorId="1" shapeId="0">
      <text>
        <t>W7 13290</t>
      </text>
    </comment>
    <comment ref="G18" authorId="4" shapeId="0">
      <text>
        <t>Dat's MacBook Pro:
12990</t>
      </text>
    </comment>
    <comment ref="D19" authorId="0" shapeId="0">
      <text>
        <t>Người dùng Không xác định:
21.090</t>
      </text>
    </comment>
    <comment ref="F19" authorId="1" shapeId="0">
      <text>
        <t>W7 18990</t>
      </text>
    </comment>
    <comment ref="B21" authorId="5" shapeId="0">
      <text>
        <t>was 36640</t>
      </text>
    </comment>
    <comment ref="C22" authorId="0" shapeId="0">
      <text>
        <t>Người dùng Không xác định:
29190000</t>
      </text>
    </comment>
    <comment ref="F22" authorId="1" shapeId="0">
      <text>
        <t>W7 29190</t>
      </text>
    </comment>
    <comment ref="C24" authorId="0" shapeId="0">
      <text>
        <t>Người dùng Không xác định:
6790000</t>
      </text>
    </comment>
    <comment ref="D24" authorId="0" shapeId="0">
      <text>
        <t>Người dùng Không xác định:
6.690</t>
      </text>
    </comment>
    <comment ref="E24" authorId="2" shapeId="0">
      <text>
        <t xml:space="preserve">was 6490
</t>
      </text>
    </comment>
    <comment ref="F24" authorId="1" shapeId="0">
      <text>
        <t>W7 6290</t>
      </text>
    </comment>
    <comment ref="C25" authorId="0" shapeId="0">
      <text>
        <t>Người dùng Không xác định:
8390000</t>
      </text>
    </comment>
    <comment ref="D25" authorId="0" shapeId="0">
      <text>
        <t>Người dùng Không xác định:
8.390</t>
      </text>
    </comment>
    <comment ref="E25" authorId="2" shapeId="0">
      <text>
        <t xml:space="preserve">was 7990
</t>
      </text>
    </comment>
    <comment ref="F25" authorId="1" shapeId="0">
      <text>
        <t>W7 7890</t>
      </text>
    </comment>
    <comment ref="C26" authorId="0" shapeId="0">
      <text>
        <t>Người dùng Không xác định:
7690000</t>
      </text>
    </comment>
    <comment ref="D26" authorId="0" shapeId="0">
      <text>
        <t>Người dùng Không xác định:
7.590</t>
      </text>
    </comment>
    <comment ref="E26" authorId="2" shapeId="0">
      <text>
        <t xml:space="preserve">was 7390
</t>
      </text>
    </comment>
    <comment ref="F26" authorId="1" shapeId="0">
      <text>
        <t>W7 7290</t>
      </text>
    </comment>
    <comment ref="C27" authorId="0" shapeId="0">
      <text>
        <t>Người dùng Không xác định:
9190000</t>
      </text>
    </comment>
    <comment ref="E27" authorId="2" shapeId="0">
      <text>
        <t xml:space="preserve">was 8990
</t>
      </text>
    </comment>
    <comment ref="F27" authorId="1" shapeId="0">
      <text>
        <t>W7 8990</t>
      </text>
    </comment>
    <comment ref="C28" authorId="0" shapeId="0">
      <text>
        <t>Người dùng Không xác định:
11190000</t>
      </text>
    </comment>
    <comment ref="D28" authorId="0" shapeId="0">
      <text>
        <t>11.890</t>
      </text>
    </comment>
    <comment ref="E28" authorId="2" shapeId="0">
      <text>
        <t xml:space="preserve">was 10690
</t>
      </text>
    </comment>
    <comment ref="F28" authorId="1" shapeId="0">
      <text>
        <t>W7 9190</t>
      </text>
    </comment>
    <comment ref="C29" authorId="0" shapeId="0">
      <text>
        <t>Người dùng Không xác định:
14090000</t>
      </text>
    </comment>
    <comment ref="D29" authorId="0" shapeId="0">
      <text>
        <t>Người dùng Không xác định:
14.090</t>
      </text>
    </comment>
    <comment ref="E29" authorId="2" shapeId="0">
      <text>
        <t xml:space="preserve">was 13990
</t>
      </text>
    </comment>
    <comment ref="F29" authorId="1" shapeId="0">
      <text>
        <t>W7 12190</t>
      </text>
    </comment>
    <comment ref="C30" authorId="0" shapeId="0">
      <text>
        <t>Người dùng Không xác định: 11990000</t>
      </text>
    </comment>
    <comment ref="E30" authorId="2" shapeId="0">
      <text>
        <t xml:space="preserve">was 11490
</t>
      </text>
    </comment>
    <comment ref="F30" authorId="1" shapeId="0">
      <text>
        <t>W7 9990</t>
      </text>
    </comment>
    <comment ref="C31" authorId="0" shapeId="0">
      <text>
        <t>Người dùng Không xác định:
13090000</t>
      </text>
    </comment>
    <comment ref="D31" authorId="0" shapeId="0">
      <text>
        <t>Người dùng Không xác định:
14.990</t>
      </text>
    </comment>
    <comment ref="E31" authorId="2" shapeId="0">
      <text>
        <t>was 14490</t>
      </text>
    </comment>
    <comment ref="F31" authorId="1" shapeId="0">
      <text>
        <t>W7 12990</t>
      </text>
    </comment>
    <comment ref="B33" authorId="5" shapeId="0">
      <text>
        <t>was 5550
VNP40</t>
      </text>
    </comment>
    <comment ref="B34" authorId="5" shapeId="0">
      <text>
        <t xml:space="preserve">was 4490
</t>
      </text>
    </comment>
    <comment ref="C34" authorId="0" shapeId="0">
      <text>
        <t>Người dùng Không xác định:
4590000</t>
      </text>
    </comment>
    <comment ref="E34" authorId="2" shapeId="0">
      <text>
        <t xml:space="preserve">was 4490
</t>
      </text>
    </comment>
    <comment ref="F34" authorId="1" shapeId="0">
      <text>
        <t>W7 4190</t>
      </text>
    </comment>
    <comment ref="B35" authorId="5" shapeId="0">
      <text>
        <t>was 3190</t>
      </text>
    </comment>
    <comment ref="C35" authorId="0" shapeId="0">
      <text>
        <t>Người dùng Không xác định:
3490000</t>
      </text>
    </comment>
    <comment ref="D35" authorId="0" shapeId="0">
      <text>
        <t>Người dùng Không xác định:3490</t>
      </text>
    </comment>
    <comment ref="E35" authorId="2" shapeId="0">
      <text>
        <t xml:space="preserve">was 3390
</t>
      </text>
    </comment>
    <comment ref="F35" authorId="1" shapeId="0">
      <text>
        <t>W7 2890</t>
      </text>
    </comment>
    <comment ref="C36" authorId="0" shapeId="0">
      <text>
        <t xml:space="preserve">Người dùng Không xác định:
6590000
</t>
      </text>
    </comment>
    <comment ref="F36" authorId="1" shapeId="0">
      <text>
        <t>W7 6490</t>
      </text>
    </comment>
    <comment ref="C40" authorId="3" shapeId="0">
      <text>
        <t>danielnguyen6111998@gmail.com:
25290000</t>
      </text>
    </comment>
    <comment ref="D40" authorId="0" shapeId="0">
      <text>
        <t>Người dùng Không xác định:
25290</t>
      </text>
    </comment>
    <comment ref="F40" authorId="1" shapeId="0">
      <text>
        <t>W7 23690</t>
      </text>
    </comment>
    <comment ref="C41" authorId="0" shapeId="0">
      <text>
        <t>Người dùng Không xác định:
28990000</t>
      </text>
    </comment>
    <comment ref="C43" authorId="0" shapeId="0">
      <text>
        <t>Người dùng Không xác định:
41890000</t>
      </text>
    </comment>
  </commentList>
</comments>
</file>

<file path=xl/comments/comment98.xml><?xml version="1.0" encoding="utf-8"?>
<comments xmlns="http://schemas.openxmlformats.org/spreadsheetml/2006/main">
  <authors>
    <author>chit trang</author>
    <author>Người dùng Khách</author>
    <author>danielnguyen6111998@gmail.com</author>
    <author>Dat's MacBook Pro</author>
    <author>Microsoft Office User</author>
    <author>Mia</author>
  </authors>
  <commentList>
    <comment ref="D2" authorId="0" shapeId="0">
      <text>
        <t>chit trang:
17.990</t>
      </text>
    </comment>
    <comment ref="C3" authorId="1" shapeId="0">
      <text>
        <t>Người dùng Không xác định:
24890000</t>
      </text>
    </comment>
    <comment ref="D3" authorId="0" shapeId="0">
      <text>
        <t>chit trang:
24.790</t>
      </text>
    </comment>
    <comment ref="C4" authorId="1" shapeId="0">
      <text>
        <t>Người dùng Không xác định:
25990000</t>
      </text>
    </comment>
    <comment ref="D4" authorId="1" shapeId="0">
      <text>
        <t>Người dùng Không xác định:
25090</t>
      </text>
    </comment>
    <comment ref="C5" authorId="2" shapeId="0">
      <text>
        <t>danielnguyen6111998@gmail.com:
34190000</t>
      </text>
    </comment>
    <comment ref="D6" authorId="1" shapeId="0">
      <text>
        <t>Người dùng Không xác định:
37.790</t>
      </text>
    </comment>
    <comment ref="D8" authorId="0" shapeId="0">
      <text>
        <t>chit trang:
20.690</t>
      </text>
    </comment>
    <comment ref="G8" authorId="3" shapeId="0">
      <text>
        <t>Dat's MacBook Pro:
+1300</t>
      </text>
    </comment>
    <comment ref="B9" authorId="4" shapeId="0">
      <text>
        <t>was 24640000
VNP150</t>
      </text>
    </comment>
    <comment ref="D9" authorId="1" shapeId="0">
      <text>
        <t>Người dùng Không xác định:
24.790</t>
      </text>
    </comment>
    <comment ref="G9" authorId="3" shapeId="0">
      <text>
        <t>Dat's MacBook Pro:
+1400</t>
      </text>
    </comment>
    <comment ref="B11"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G11" authorId="3" shapeId="0">
      <text>
        <t>Dat's MacBook Pro:
31.990</t>
      </text>
    </comment>
    <comment ref="C12" authorId="1" shapeId="0">
      <text>
        <t>Người dùng Không xác định:
17890000</t>
      </text>
    </comment>
    <comment ref="D12" authorId="0" shapeId="0">
      <text>
        <t>chit trang:
17.790</t>
      </text>
    </comment>
    <comment ref="E12" authorId="5" shapeId="0">
      <text>
        <t>was 17690</t>
      </text>
    </comment>
    <comment ref="G12" authorId="3" shapeId="0">
      <text>
        <t>Dat's MacBook Pro:
+1300</t>
      </text>
    </comment>
    <comment ref="C13" authorId="1" shapeId="0">
      <text>
        <t>Người dùng Không xác định:
19990000</t>
      </text>
    </comment>
    <comment ref="D14" authorId="0" shapeId="0">
      <text>
        <t>chit trang:
13.790</t>
      </text>
    </comment>
    <comment ref="B15" authorId="4" shapeId="0">
      <text>
        <t>was 13190
VNP100</t>
      </text>
    </comment>
    <comment ref="C15" authorId="1" shapeId="0">
      <text>
        <t>Người dùng Không xác định:
12490000</t>
      </text>
    </comment>
    <comment ref="D15" authorId="0" shapeId="0">
      <text>
        <t xml:space="preserve">12.290
</t>
      </text>
    </comment>
    <comment ref="C16" authorId="1" shapeId="0">
      <text>
        <t>Người dùng Không xác định:
13490000</t>
      </text>
    </comment>
    <comment ref="G16" authorId="3" shapeId="0">
      <text>
        <t>Dat's MacBook Pro:
13390</t>
      </text>
    </comment>
    <comment ref="B17" authorId="4" shapeId="0">
      <text>
        <t>was 7040
VNP40</t>
      </text>
    </comment>
    <comment ref="C17" authorId="1" shapeId="0">
      <text>
        <t>Người dùng Không xác định:
9590000</t>
      </text>
    </comment>
    <comment ref="D17" authorId="1" shapeId="0">
      <text>
        <t>Người dùng Không xác định:9.290</t>
      </text>
    </comment>
    <comment ref="E17" authorId="4" shapeId="0">
      <text>
        <t>was 9190
hssv 200</t>
      </text>
    </comment>
    <comment ref="B18" authorId="4" shapeId="0">
      <text>
        <t>was 14390</t>
      </text>
    </comment>
    <comment ref="C18" authorId="1" shapeId="0">
      <text>
        <t>Người dùng Không xác định:
15890000</t>
      </text>
    </comment>
    <comment ref="E18" authorId="4" shapeId="0">
      <text>
        <t xml:space="preserve">was 15390
hssv 200
</t>
      </text>
    </comment>
    <comment ref="G18" authorId="3" shapeId="0">
      <text>
        <t>Dat's MacBook Pro:
12990</t>
      </text>
    </comment>
    <comment ref="C19" authorId="1" shapeId="0">
      <text>
        <t>Người dùng Không xác định:
21690000</t>
      </text>
    </comment>
    <comment ref="E19" authorId="4" shapeId="0">
      <text>
        <t xml:space="preserve">was 20490
</t>
      </text>
    </comment>
    <comment ref="B21" authorId="4" shapeId="0">
      <text>
        <t>was 36640</t>
      </text>
    </comment>
    <comment ref="C23" authorId="1" shapeId="0">
      <text>
        <t>Người dùng Không xác định:
38990000</t>
      </text>
    </comment>
    <comment ref="E25" authorId="5" shapeId="0">
      <text>
        <t xml:space="preserve">was 7690
</t>
      </text>
    </comment>
    <comment ref="B33" authorId="4" shapeId="0">
      <text>
        <t>was 5550
VNP40</t>
      </text>
    </comment>
    <comment ref="B34" authorId="4" shapeId="0">
      <text>
        <t xml:space="preserve">was 4490
</t>
      </text>
    </comment>
    <comment ref="E34" authorId="5" shapeId="0">
      <text>
        <t xml:space="preserve">was 4290
</t>
      </text>
    </comment>
    <comment ref="B35" authorId="4" shapeId="0">
      <text>
        <t>was 3190</t>
      </text>
    </comment>
    <comment ref="D35" authorId="1" shapeId="0">
      <text>
        <t>Người dùng Không xác định: 2.890</t>
      </text>
    </comment>
    <comment ref="E35" authorId="5" shapeId="0">
      <text>
        <t xml:space="preserve">was 2890
</t>
      </text>
    </comment>
    <comment ref="D36" authorId="0" shapeId="0">
      <text>
        <t>chit trang:
6.390</t>
      </text>
    </comment>
    <comment ref="C37" authorId="1" shapeId="0">
      <text>
        <t>Người dùng Không xác định:
19690000</t>
      </text>
    </comment>
    <comment ref="D37" authorId="0" shapeId="0">
      <text>
        <t>chit trang:
19.690</t>
      </text>
    </comment>
    <comment ref="C40" authorId="2" shapeId="0">
      <text>
        <t>danielnguyen6111998@gmail.com:
25190000</t>
      </text>
    </comment>
    <comment ref="C41" authorId="1" shapeId="0">
      <text>
        <t>Người dùng Không xác định:
28990000</t>
      </text>
    </comment>
    <comment ref="C43" authorId="1" shapeId="0">
      <text>
        <t>Người dùng Không xác định:
41490000</t>
      </text>
    </comment>
    <comment ref="D43" authorId="0" shapeId="0">
      <text>
        <t>chit trang:
40.690</t>
      </text>
    </comment>
  </commentList>
</comments>
</file>

<file path=xl/comments/comment99.xml><?xml version="1.0" encoding="utf-8"?>
<comments xmlns="http://schemas.openxmlformats.org/spreadsheetml/2006/main">
  <authors>
    <author>Người dùng Khách</author>
    <author>danielnguyen6111998@gmail.com</author>
    <author>chit trang</author>
    <author>Dat's MacBook Pro</author>
    <author>Microsoft Office User</author>
    <author>Mia</author>
  </authors>
  <commentList>
    <comment ref="C3" authorId="0" shapeId="0">
      <text>
        <t>Người dùng Không xác định:
24990000</t>
      </text>
    </comment>
    <comment ref="C4" authorId="0" shapeId="0">
      <text>
        <t>Người dùng Không xác định:
25990000</t>
      </text>
    </comment>
    <comment ref="C5" authorId="1" shapeId="0">
      <text>
        <t>danielnguyen6111998@gmail.com:
34190000</t>
      </text>
    </comment>
    <comment ref="D6" authorId="0" shapeId="0">
      <text>
        <t>Người dùng Không xác định:
37.990</t>
      </text>
    </comment>
    <comment ref="D8" authorId="2" shapeId="0">
      <text>
        <t>chit trang:
20.990</t>
      </text>
    </comment>
    <comment ref="G8" authorId="3" shapeId="0">
      <text>
        <t>Dat's MacBook Pro:
+1300</t>
      </text>
    </comment>
    <comment ref="B9" authorId="4" shapeId="0">
      <text>
        <t>was 24640000
VNP150</t>
      </text>
    </comment>
    <comment ref="D9" authorId="0" shapeId="0">
      <text>
        <t>Người dùng Không xác định:
24.990</t>
      </text>
    </comment>
    <comment ref="G9" authorId="3" shapeId="0">
      <text>
        <t>Dat's MacBook Pro:
+1400</t>
      </text>
    </comment>
    <comment ref="B11"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G11" authorId="3" shapeId="0">
      <text>
        <t>Dat's MacBook Pro:
31.990</t>
      </text>
    </comment>
    <comment ref="G12" authorId="3" shapeId="0">
      <text>
        <t>Dat's MacBook Pro:
+1300</t>
      </text>
    </comment>
    <comment ref="B15" authorId="4" shapeId="0">
      <text>
        <t>was 13190
VNP100</t>
      </text>
    </comment>
    <comment ref="D15" authorId="2" shapeId="0">
      <text>
        <t xml:space="preserve">12.290
</t>
      </text>
    </comment>
    <comment ref="C16" authorId="0" shapeId="0">
      <text>
        <t>Người dùng Không xác định:
11790000</t>
      </text>
    </comment>
    <comment ref="D16" authorId="0" shapeId="0">
      <text>
        <t>Người dùng Không xác định:
11.490</t>
      </text>
    </comment>
    <comment ref="E16" authorId="4" shapeId="0">
      <text>
        <t>was 11290
HSSV200</t>
      </text>
    </comment>
    <comment ref="G16" authorId="3" shapeId="0">
      <text>
        <t>Dat's MacBook Pro:
13390</t>
      </text>
    </comment>
    <comment ref="B17" authorId="4" shapeId="0">
      <text>
        <t>was 7040
VNP40</t>
      </text>
    </comment>
    <comment ref="C17" authorId="0" shapeId="0">
      <text>
        <t>Người dùng Không xác định:
9590000</t>
      </text>
    </comment>
    <comment ref="E17" authorId="4" shapeId="0">
      <text>
        <t>was 8890
hssv 200</t>
      </text>
    </comment>
    <comment ref="B18" authorId="4" shapeId="0">
      <text>
        <t>was 14390</t>
      </text>
    </comment>
    <comment ref="C18" authorId="0" shapeId="0">
      <text>
        <t>Người dùng Không xác định:
15990000</t>
      </text>
    </comment>
    <comment ref="G18" authorId="3" shapeId="0">
      <text>
        <t>Dat's MacBook Pro:
12990</t>
      </text>
    </comment>
    <comment ref="D19" authorId="0" shapeId="0">
      <text>
        <t>Người dùng Không xác định:
20.990k</t>
      </text>
    </comment>
    <comment ref="B21" authorId="4" shapeId="0">
      <text>
        <t>was 36640</t>
      </text>
    </comment>
    <comment ref="C24" authorId="0" shapeId="0">
      <text>
        <t>Người dùng Không xác định:
6390000</t>
      </text>
    </comment>
    <comment ref="D24" authorId="0" shapeId="0">
      <text>
        <t>Người dùng Không xác định:
6.290</t>
      </text>
    </comment>
    <comment ref="E24" authorId="4" shapeId="0">
      <text>
        <t xml:space="preserve">was 6190
</t>
      </text>
    </comment>
    <comment ref="C25" authorId="0" shapeId="0">
      <text>
        <t>Người dùng Không xác định:
7990000</t>
      </text>
    </comment>
    <comment ref="D25" authorId="0" shapeId="0">
      <text>
        <t xml:space="preserve">Người dùng 7.690 xác định:
</t>
      </text>
    </comment>
    <comment ref="E25" authorId="5" shapeId="0">
      <text>
        <t xml:space="preserve">was 7790
</t>
      </text>
    </comment>
    <comment ref="C26" authorId="0" shapeId="0">
      <text>
        <t>Người dùng Không xác định:
7290000</t>
      </text>
    </comment>
    <comment ref="E26" authorId="4" shapeId="0">
      <text>
        <t xml:space="preserve">was 6990
</t>
      </text>
    </comment>
    <comment ref="C27" authorId="0" shapeId="0">
      <text>
        <t xml:space="preserve">Người dùng Không xác định:
</t>
      </text>
    </comment>
    <comment ref="D27" authorId="0" shapeId="0">
      <text>
        <t>Người dùng Không xác định:
8.490</t>
      </text>
    </comment>
    <comment ref="E27" authorId="4" shapeId="0">
      <text>
        <t xml:space="preserve">was 8590
</t>
      </text>
    </comment>
    <comment ref="C28" authorId="0" shapeId="0">
      <text>
        <t>Người dùng Không xác định:
9190000</t>
      </text>
    </comment>
    <comment ref="D28" authorId="0" shapeId="0">
      <text>
        <t>Người dùng Không xác định:
9.190</t>
      </text>
    </comment>
    <comment ref="E28" authorId="4" shapeId="0">
      <text>
        <t xml:space="preserve">was 8990
</t>
      </text>
    </comment>
    <comment ref="C29" authorId="0" shapeId="0">
      <text>
        <t>Người dùng Không xác định:
12090000</t>
      </text>
    </comment>
    <comment ref="D29" authorId="0" shapeId="0">
      <text>
        <t>Người dùng Không xác định:
11.990</t>
      </text>
    </comment>
    <comment ref="E29" authorId="4" shapeId="0">
      <text>
        <t xml:space="preserve">was 11990
</t>
      </text>
    </comment>
    <comment ref="C30" authorId="0" shapeId="0">
      <text>
        <t>Người dùng Không xác định:
9990000</t>
      </text>
    </comment>
    <comment ref="D30" authorId="0" shapeId="0">
      <text>
        <t>Người dùng Không xác định:
9.990</t>
      </text>
    </comment>
    <comment ref="E30" authorId="4" shapeId="0">
      <text>
        <t xml:space="preserve">was 9690
</t>
      </text>
    </comment>
    <comment ref="D31" authorId="0" shapeId="0">
      <text>
        <t>Người dùng Không xác định:
12.990</t>
      </text>
    </comment>
    <comment ref="E31" authorId="4" shapeId="0">
      <text>
        <t xml:space="preserve">was 12490
</t>
      </text>
    </comment>
    <comment ref="B33" authorId="4" shapeId="0">
      <text>
        <t>was 5550
VNP40</t>
      </text>
    </comment>
    <comment ref="C33" authorId="0" shapeId="0">
      <text>
        <t xml:space="preserve">Người dùng Không xác định:
</t>
      </text>
    </comment>
    <comment ref="B34" authorId="4" shapeId="0">
      <text>
        <t xml:space="preserve">was 4490
</t>
      </text>
    </comment>
    <comment ref="C34" authorId="0" shapeId="0">
      <text>
        <t>Người dùng Không xác định:
4390000</t>
      </text>
    </comment>
    <comment ref="D34" authorId="0" shapeId="0">
      <text>
        <t>Người dùng Không xác định:
4.290</t>
      </text>
    </comment>
    <comment ref="E34" authorId="5" shapeId="0">
      <text>
        <t xml:space="preserve">was 4390
</t>
      </text>
    </comment>
    <comment ref="B35" authorId="4" shapeId="0">
      <text>
        <t>was 3190</t>
      </text>
    </comment>
    <comment ref="C35" authorId="0" shapeId="0">
      <text>
        <t>Người dùng Không xác định:
2990000</t>
      </text>
    </comment>
    <comment ref="D35" authorId="0" shapeId="0">
      <text>
        <t>Người dùng Không xác định: 2.790</t>
      </text>
    </comment>
    <comment ref="E35" authorId="5" shapeId="0">
      <text>
        <t xml:space="preserve">was 2990
</t>
      </text>
    </comment>
    <comment ref="C36" authorId="0" shapeId="0">
      <text>
        <t>Người dùng Không xác định:
6390000</t>
      </text>
    </comment>
    <comment ref="D36" authorId="2" shapeId="0">
      <text>
        <t>chit trang:
6.290</t>
      </text>
    </comment>
    <comment ref="C40" authorId="1" shapeId="0">
      <text>
        <t>danielnguyen6111998@gmail.com:
24590000</t>
      </text>
    </comment>
    <comment ref="D40" authorId="0" shapeId="0">
      <text>
        <t>Người dùng Không xác định:
25.190</t>
      </text>
    </comment>
    <comment ref="D43" authorId="2" shapeId="0">
      <text>
        <t>chit trang:
40.990</t>
      </text>
    </comment>
    <comment ref="D44" authorId="0" shapeId="0">
      <text>
        <t>Người dùng Không xác định:
63.990</t>
      </text>
    </comment>
  </commentList>
</comments>
</file>

<file path=xl/comments/comment100.xml><?xml version="1.0" encoding="utf-8"?>
<comments xmlns="http://schemas.openxmlformats.org/spreadsheetml/2006/main">
  <authors>
    <author>Người dùng Khách</author>
    <author>chit trang</author>
    <author>Dat's MacBook Pro</author>
    <author>Microsoft Office User</author>
    <author>Mia</author>
    <author>danielnguyen6111998@gmail.com</author>
  </authors>
  <commentList>
    <comment ref="C3" authorId="0" shapeId="0">
      <text>
        <t>Người dùng Không xác định:
24890000</t>
      </text>
    </comment>
    <comment ref="C7" authorId="0" shapeId="0">
      <text>
        <t>Người dùng Không xác định:
15990000</t>
      </text>
    </comment>
    <comment ref="C8" authorId="0" shapeId="0">
      <text>
        <t>Người dùng Không xác định:
21090000</t>
      </text>
    </comment>
    <comment ref="D8" authorId="1" shapeId="0">
      <text>
        <t>chit trang:
20.790</t>
      </text>
    </comment>
    <comment ref="G8" authorId="2" shapeId="0">
      <text>
        <t>Dat's MacBook Pro:
+1300</t>
      </text>
    </comment>
    <comment ref="B9" authorId="3" shapeId="0">
      <text>
        <t>was 24640000
VNP150</t>
      </text>
    </comment>
    <comment ref="C9" authorId="0" shapeId="0">
      <text>
        <t>Người dùng Không xác định:
25090000</t>
      </text>
    </comment>
    <comment ref="D9" authorId="0" shapeId="0">
      <text>
        <t>Người dùng Không xác định:
24.990</t>
      </text>
    </comment>
    <comment ref="G9" authorId="2" shapeId="0">
      <text>
        <t>Dat's MacBook Pro:
+1400</t>
      </text>
    </comment>
    <comment ref="B11"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1" authorId="0" shapeId="0">
      <text>
        <t>Người dùng Không xác định:
31590000</t>
      </text>
    </comment>
    <comment ref="G12" authorId="2" shapeId="0">
      <text>
        <t>Dat's MacBook Pro:
+1300</t>
      </text>
    </comment>
    <comment ref="B15" authorId="3" shapeId="0">
      <text>
        <t>was 13190
VNP100</t>
      </text>
    </comment>
    <comment ref="G16" authorId="2" shapeId="0">
      <text>
        <t>Dat's MacBook Pro:
13390</t>
      </text>
    </comment>
    <comment ref="B17" authorId="3" shapeId="0">
      <text>
        <t>was 7040
VNP40</t>
      </text>
    </comment>
    <comment ref="B18" authorId="3" shapeId="0">
      <text>
        <t>was 14390</t>
      </text>
    </comment>
    <comment ref="D18" authorId="0" shapeId="0">
      <text>
        <t>Người dùng Không xác định:
15.790</t>
      </text>
    </comment>
    <comment ref="G18" authorId="2" shapeId="0">
      <text>
        <t>Dat's MacBook Pro:
12990</t>
      </text>
    </comment>
    <comment ref="E22" authorId="3" shapeId="0">
      <text>
        <t>was 6490
Giảm 500K cho KH mới</t>
      </text>
    </comment>
    <comment ref="E23" authorId="4" shapeId="0">
      <text>
        <t>was 7990
Giảm 500K cho KH mới</t>
      </text>
    </comment>
    <comment ref="D24" authorId="0" shapeId="0">
      <text>
        <t>Người dùng Không xác định:
6.690</t>
      </text>
    </comment>
    <comment ref="E24" authorId="3" shapeId="0">
      <text>
        <t xml:space="preserve">was 7390
Giảm 500K cho KH mới
</t>
      </text>
    </comment>
    <comment ref="E25" authorId="3" shapeId="0">
      <text>
        <t xml:space="preserve">was 8990
Giảm 500K cho KH mới
</t>
      </text>
    </comment>
    <comment ref="E26" authorId="3" shapeId="0">
      <text>
        <t xml:space="preserve">was 10690
giảm 500k KH mới
</t>
      </text>
    </comment>
    <comment ref="E27" authorId="3" shapeId="0">
      <text>
        <t xml:space="preserve">was 13990
Giảm 500k KH mới
</t>
      </text>
    </comment>
    <comment ref="E28" authorId="3" shapeId="0">
      <text>
        <t xml:space="preserve">was 11490
giảm 500k cho KH mới
</t>
      </text>
    </comment>
    <comment ref="E29" authorId="3" shapeId="0">
      <text>
        <t xml:space="preserve">was 14490
KH mới giảm 500
</t>
      </text>
    </comment>
    <comment ref="E30" authorId="3" shapeId="0">
      <text>
        <t xml:space="preserve">was 22490
Giảm 500k KH mới
</t>
      </text>
    </comment>
    <comment ref="B31" authorId="3" shapeId="0">
      <text>
        <t>was 5550
VNP40</t>
      </text>
    </comment>
    <comment ref="B32" authorId="3" shapeId="0">
      <text>
        <t xml:space="preserve">was 4490
</t>
      </text>
    </comment>
    <comment ref="B33" authorId="3" shapeId="0">
      <text>
        <t>was 3190</t>
      </text>
    </comment>
    <comment ref="C38" authorId="5" shapeId="0">
      <text>
        <t>danielnguyen6111998@gmail.com:
24590000</t>
      </text>
    </comment>
    <comment ref="D38" authorId="0" shapeId="0">
      <text>
        <t>Người dùng Không xác định:
25.590</t>
      </text>
    </comment>
  </commentList>
</comments>
</file>

<file path=xl/comments/comment101.xml><?xml version="1.0" encoding="utf-8"?>
<comments xmlns="http://schemas.openxmlformats.org/spreadsheetml/2006/main">
  <authors>
    <author>Người dùng Khách</author>
    <author>Microsoft Office User</author>
    <author>Dat's MacBook Pro</author>
    <author>danielnguyen6111998@gmail.com</author>
    <author>Mia</author>
  </authors>
  <commentList>
    <comment ref="C3" authorId="0" shapeId="0">
      <text>
        <t>Người dùng Không xác định:
24990000</t>
      </text>
    </comment>
    <comment ref="D3" authorId="0" shapeId="0">
      <text>
        <t>Người dùng Không xác định:
24.490</t>
      </text>
    </comment>
    <comment ref="E4" authorId="1" shapeId="0">
      <text>
        <t xml:space="preserve">was 24490
</t>
      </text>
    </comment>
    <comment ref="E6" authorId="1" shapeId="0">
      <text>
        <t xml:space="preserve">was 36490
</t>
      </text>
    </comment>
    <comment ref="C7" authorId="0" shapeId="0">
      <text>
        <t>Người dùng Không xác định:
13990000</t>
      </text>
    </comment>
    <comment ref="E8" authorId="1" shapeId="0">
      <text>
        <t xml:space="preserve">was 20090
</t>
      </text>
    </comment>
    <comment ref="G8" authorId="2" shapeId="0">
      <text>
        <t>Dat's MacBook Pro:
+1300</t>
      </text>
    </comment>
    <comment ref="B9" authorId="1" shapeId="0">
      <text>
        <t>was 24640000
VNP150</t>
      </text>
    </comment>
    <comment ref="D9" authorId="0" shapeId="0">
      <text>
        <t>Người dùng Không xác định:
24.790</t>
      </text>
    </comment>
    <comment ref="E9" authorId="1" shapeId="0">
      <text>
        <t xml:space="preserve">was 23790
bỏ Giờ vàng
</t>
      </text>
    </comment>
    <comment ref="G9" authorId="2" shapeId="0">
      <text>
        <t>Dat's MacBook Pro:
+1400</t>
      </text>
    </comment>
    <comment ref="B11" authorId="1"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1" authorId="0" shapeId="0">
      <text>
        <t>Người dùng Không xác định:
31990000</t>
      </text>
    </comment>
    <comment ref="E12" authorId="1" shapeId="0">
      <text>
        <t xml:space="preserve">was 17690
</t>
      </text>
    </comment>
    <comment ref="G12" authorId="2" shapeId="0">
      <text>
        <t>Dat's MacBook Pro:
+1300</t>
      </text>
    </comment>
    <comment ref="E14" authorId="1" shapeId="0">
      <text>
        <t xml:space="preserve">was 13590
</t>
      </text>
    </comment>
    <comment ref="B15" authorId="1" shapeId="0">
      <text>
        <t>was 13190
VNP100</t>
      </text>
    </comment>
    <comment ref="E15" authorId="1" shapeId="0">
      <text>
        <t xml:space="preserve">was 11990
</t>
      </text>
    </comment>
    <comment ref="C16" authorId="3" shapeId="0">
      <text>
        <t>danielnguyen6111998@gmail.com:
13590000</t>
      </text>
    </comment>
    <comment ref="G16" authorId="2" shapeId="0">
      <text>
        <t>Dat's MacBook Pro:
13390</t>
      </text>
    </comment>
    <comment ref="B17" authorId="1" shapeId="0">
      <text>
        <t>was 7040
VNP40</t>
      </text>
    </comment>
    <comment ref="B18" authorId="1" shapeId="0">
      <text>
        <t>was 14390</t>
      </text>
    </comment>
    <comment ref="C18" authorId="3" shapeId="0">
      <text>
        <t>danielnguyen6111998@gmail.com:
16690000</t>
      </text>
    </comment>
    <comment ref="G18" authorId="2" shapeId="0">
      <text>
        <t>Dat's MacBook Pro:
12990</t>
      </text>
    </comment>
    <comment ref="C20" authorId="3" shapeId="0">
      <text>
        <t>danielnguyen6111998@gmail.com:
29290000</t>
      </text>
    </comment>
    <comment ref="E20" authorId="1" shapeId="0">
      <text>
        <t>was 28990</t>
      </text>
    </comment>
    <comment ref="E21" authorId="1" shapeId="0">
      <text>
        <t xml:space="preserve">was 38990
</t>
      </text>
    </comment>
    <comment ref="E22" authorId="1" shapeId="0">
      <text>
        <t>was 5990</t>
      </text>
    </comment>
    <comment ref="E23" authorId="4" shapeId="0">
      <text>
        <t>was 7490</t>
      </text>
    </comment>
    <comment ref="E24" authorId="1" shapeId="0">
      <text>
        <t>was 6890</t>
      </text>
    </comment>
    <comment ref="E25" authorId="1" shapeId="0">
      <text>
        <t>was 8490</t>
      </text>
    </comment>
    <comment ref="E26" authorId="1" shapeId="0">
      <text>
        <t>was 10190</t>
      </text>
    </comment>
    <comment ref="E27" authorId="1" shapeId="0">
      <text>
        <t>was 13490</t>
      </text>
    </comment>
    <comment ref="E28" authorId="1" shapeId="0">
      <text>
        <t>was 10990</t>
      </text>
    </comment>
    <comment ref="E29" authorId="1" shapeId="0">
      <text>
        <t>was 13990</t>
      </text>
    </comment>
    <comment ref="E30" authorId="1" shapeId="0">
      <text>
        <t>was 21990</t>
      </text>
    </comment>
    <comment ref="B31" authorId="1" shapeId="0">
      <text>
        <t>was 5550
VNP40</t>
      </text>
    </comment>
    <comment ref="B32" authorId="1" shapeId="0">
      <text>
        <t xml:space="preserve">was 4490
</t>
      </text>
    </comment>
    <comment ref="B33" authorId="1" shapeId="0">
      <text>
        <t>was 3190</t>
      </text>
    </comment>
    <comment ref="C38" authorId="3" shapeId="0">
      <text>
        <t>danielnguyen6111998@gmail.com:
24590000</t>
      </text>
    </comment>
    <comment ref="C41" authorId="3" shapeId="0">
      <text>
        <t>danielnguyen6111998@gmail.com:
41990000</t>
      </text>
    </comment>
    <comment ref="D42" authorId="0" shapeId="0">
      <text>
        <t>Người dùng Không xác định:
62.990</t>
      </text>
    </comment>
  </commentList>
</comments>
</file>

<file path=xl/comments/comment102.xml><?xml version="1.0" encoding="utf-8"?>
<comments xmlns="http://schemas.openxmlformats.org/spreadsheetml/2006/main">
  <authors>
    <author>Microsoft Office User</author>
    <author>Người dùng Khách</author>
    <author>chit trang</author>
    <author>Dat's MacBook Pro</author>
    <author>danielnguyen6111998@gmail.com</author>
    <author>Mia</author>
  </authors>
  <commentList>
    <comment ref="E2" authorId="0" shapeId="0">
      <text>
        <t xml:space="preserve">was 17790
</t>
      </text>
    </comment>
    <comment ref="C3" authorId="1" shapeId="0">
      <text>
        <t>Người dùng Không xác định:
24990000</t>
      </text>
    </comment>
    <comment ref="D3" authorId="1" shapeId="0">
      <text>
        <t>Người dùng Không xác định:
24.590</t>
      </text>
    </comment>
    <comment ref="C4" authorId="1" shapeId="0">
      <text>
        <t>Người dùng Không xác định:
24990000</t>
      </text>
    </comment>
    <comment ref="D4" authorId="2" shapeId="0">
      <text>
        <t>chit trang:
23.000</t>
      </text>
    </comment>
    <comment ref="D5" authorId="2" shapeId="0">
      <text>
        <t>chit trang:
34.490</t>
      </text>
    </comment>
    <comment ref="C6" authorId="1" shapeId="0">
      <text>
        <t>Người dùng Không xác định:
37990000</t>
      </text>
    </comment>
    <comment ref="C7" authorId="1" shapeId="0">
      <text>
        <t>Người dùng Không xác định:
13990000</t>
      </text>
    </comment>
    <comment ref="E7" authorId="0" shapeId="0">
      <text>
        <t>was 12490</t>
      </text>
    </comment>
    <comment ref="C8" authorId="1" shapeId="0">
      <text>
        <t>Người dùng Không xác định:
21290000</t>
      </text>
    </comment>
    <comment ref="D8" authorId="2" shapeId="0">
      <text>
        <t>chit trang:
20.990</t>
      </text>
    </comment>
    <comment ref="G8" authorId="3" shapeId="0">
      <text>
        <t>Dat's MacBook Pro:
+1300</t>
      </text>
    </comment>
    <comment ref="B9" authorId="0" shapeId="0">
      <text>
        <t>was 24640000
VNP150</t>
      </text>
    </comment>
    <comment ref="C9" authorId="1" shapeId="0">
      <text>
        <t>Người dùng Không xác định:
25290000</t>
      </text>
    </comment>
    <comment ref="D9" authorId="1" shapeId="0">
      <text>
        <t>Người dùng Không xác định:
24.990</t>
      </text>
    </comment>
    <comment ref="E9" authorId="0" shapeId="0">
      <text>
        <t xml:space="preserve">was 23790
bỏ Giờ vàng
</t>
      </text>
    </comment>
    <comment ref="G9" authorId="3" shapeId="0">
      <text>
        <t>Dat's MacBook Pro:
+1400</t>
      </text>
    </comment>
    <comment ref="B11" authorId="0"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1" authorId="1" shapeId="0">
      <text>
        <t>Người dùng Không xác định:
31990000</t>
      </text>
    </comment>
    <comment ref="C12" authorId="1" shapeId="0">
      <text>
        <t>Người dùng Không xác định:
17990000</t>
      </text>
    </comment>
    <comment ref="D12" authorId="2" shapeId="0">
      <text>
        <t>chit trang:
17.990</t>
      </text>
    </comment>
    <comment ref="E12" authorId="0" shapeId="0">
      <text>
        <t>was 17690</t>
      </text>
    </comment>
    <comment ref="G12" authorId="3" shapeId="0">
      <text>
        <t>Dat's MacBook Pro:
+1300</t>
      </text>
    </comment>
    <comment ref="C13" authorId="1" shapeId="0">
      <text>
        <t>Người dùng Không xác định:
18990000</t>
      </text>
    </comment>
    <comment ref="B15" authorId="0" shapeId="0">
      <text>
        <t>was 13190
VNP100</t>
      </text>
    </comment>
    <comment ref="C16" authorId="4" shapeId="0">
      <text>
        <t>danielnguyen6111998@gmail.com:
13490000</t>
      </text>
    </comment>
    <comment ref="D16" authorId="2" shapeId="0">
      <text>
        <t>chit trang:
13.490</t>
      </text>
    </comment>
    <comment ref="G16" authorId="3" shapeId="0">
      <text>
        <t>Dat's MacBook Pro:
13390</t>
      </text>
    </comment>
    <comment ref="B17" authorId="0" shapeId="0">
      <text>
        <t>was 7040
VNP40</t>
      </text>
    </comment>
    <comment ref="B18" authorId="0" shapeId="0">
      <text>
        <t>was 14390</t>
      </text>
    </comment>
    <comment ref="C18" authorId="4" shapeId="0">
      <text>
        <t>danielnguyen6111998@gmail.com:
15790000</t>
      </text>
    </comment>
    <comment ref="G18" authorId="3" shapeId="0">
      <text>
        <t>Dat's MacBook Pro:
12990</t>
      </text>
    </comment>
    <comment ref="C20" authorId="1" shapeId="0">
      <text>
        <t>Người dùng Không xác định:
20990000</t>
      </text>
    </comment>
    <comment ref="C21" authorId="4" shapeId="0">
      <text>
        <t>danielnguyen6111998@gmail.com:
29290000</t>
      </text>
    </comment>
    <comment ref="D21" authorId="2" shapeId="0">
      <text>
        <t>chit trang:
28.990</t>
      </text>
    </comment>
    <comment ref="C22" authorId="1" shapeId="0">
      <text>
        <t>Người dùng Không xác định:
39290000</t>
      </text>
    </comment>
    <comment ref="C23" authorId="1" shapeId="0">
      <text>
        <t>Người dùng Không xác định:
6790000</t>
      </text>
    </comment>
    <comment ref="D23" authorId="2" shapeId="0">
      <text>
        <t>chit trang:
6.790</t>
      </text>
    </comment>
    <comment ref="E23" authorId="0" shapeId="0">
      <text>
        <t>was 6490
KH mới giảm 500</t>
      </text>
    </comment>
    <comment ref="C24" authorId="1" shapeId="0">
      <text>
        <t>Người dùng Không xác định:
8390000</t>
      </text>
    </comment>
    <comment ref="E24" authorId="5" shapeId="0">
      <text>
        <t>was 7990
KH mới - 500</t>
      </text>
    </comment>
    <comment ref="E25" authorId="0" shapeId="0">
      <text>
        <t>was 7390
KH mới - 500</t>
      </text>
    </comment>
    <comment ref="E26" authorId="0" shapeId="0">
      <text>
        <t>was 8990
KH - 500</t>
      </text>
    </comment>
    <comment ref="C27" authorId="1" shapeId="0">
      <text>
        <t>Người dùng Không xác định:
11190000</t>
      </text>
    </comment>
    <comment ref="D27" authorId="2" shapeId="0">
      <text>
        <t>chit trang:
11.190</t>
      </text>
    </comment>
    <comment ref="E27" authorId="0" shapeId="0">
      <text>
        <t>was 10690
KH mới - 500</t>
      </text>
    </comment>
    <comment ref="E28" authorId="0" shapeId="0">
      <text>
        <t>was 13990
KH - 500</t>
      </text>
    </comment>
    <comment ref="E29" authorId="0" shapeId="0">
      <text>
        <t>was 11490
KH mới - 500</t>
      </text>
    </comment>
    <comment ref="E30" authorId="0" shapeId="0">
      <text>
        <t>was 14490
KH - 500</t>
      </text>
    </comment>
    <comment ref="E31" authorId="0" shapeId="0">
      <text>
        <t>was 22490
KH - 500</t>
      </text>
    </comment>
    <comment ref="B32" authorId="0" shapeId="0">
      <text>
        <t>was 5550
VNP40</t>
      </text>
    </comment>
    <comment ref="B33" authorId="0" shapeId="0">
      <text>
        <t xml:space="preserve">was 4490
</t>
      </text>
    </comment>
    <comment ref="C33" authorId="1" shapeId="0">
      <text>
        <t>Người dùng Không xác định:
4690000</t>
      </text>
    </comment>
    <comment ref="B34" authorId="0" shapeId="0">
      <text>
        <t>was 3190</t>
      </text>
    </comment>
    <comment ref="C39" authorId="4" shapeId="0">
      <text>
        <t>danielnguyen6111998@gmail.com:
25290000</t>
      </text>
    </comment>
    <comment ref="D40" authorId="2" shapeId="0">
      <text>
        <t>chit trang:
29.990</t>
      </text>
    </comment>
    <comment ref="D43" authorId="1" shapeId="0">
      <text>
        <t>Người dùng Không xác định:
62.990</t>
      </text>
    </comment>
  </commentList>
</comments>
</file>

<file path=xl/comments/comment103.xml><?xml version="1.0" encoding="utf-8"?>
<comments xmlns="http://schemas.openxmlformats.org/spreadsheetml/2006/main">
  <authors>
    <author>chit trang</author>
    <author>Người dùng Khách</author>
    <author>Dat's MacBook Pro</author>
    <author>Microsoft Office User</author>
    <author>danielnguyen6111998@gmail.com</author>
  </authors>
  <commentList>
    <comment ref="D4" authorId="0" shapeId="0">
      <text>
        <t>chit trang:
22.490</t>
      </text>
    </comment>
    <comment ref="C5" authorId="1" shapeId="0">
      <text>
        <t>Người dùng Không xác định:
34790000</t>
      </text>
    </comment>
    <comment ref="D5" authorId="0" shapeId="0">
      <text>
        <t>chit trang:
34.690</t>
      </text>
    </comment>
    <comment ref="C6" authorId="1" shapeId="0">
      <text>
        <t>Người dùng Không xác định:
37890000</t>
      </text>
    </comment>
    <comment ref="D6" authorId="0" shapeId="0">
      <text>
        <t>chit trang:
37.790</t>
      </text>
    </comment>
    <comment ref="C8" authorId="1" shapeId="0">
      <text>
        <t>Người dùng Không xác định:
20590000</t>
      </text>
    </comment>
    <comment ref="D8" authorId="0" shapeId="0">
      <text>
        <t>chit trang:
20.590</t>
      </text>
    </comment>
    <comment ref="G8" authorId="2" shapeId="0">
      <text>
        <t>Dat's MacBook Pro:
+1300</t>
      </text>
    </comment>
    <comment ref="B9" authorId="3" shapeId="0">
      <text>
        <t>was 24640000
VNP150</t>
      </text>
    </comment>
    <comment ref="C9" authorId="1" shapeId="0">
      <text>
        <t>Người dùng Không xác định:
24290000</t>
      </text>
    </comment>
    <comment ref="D9" authorId="1" shapeId="0">
      <text>
        <t>Người dùng Không xác định:
24.590</t>
      </text>
    </comment>
    <comment ref="G9" authorId="2" shapeId="0">
      <text>
        <t>Dat's MacBook Pro:
+1400</t>
      </text>
    </comment>
    <comment ref="B11"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C12" authorId="1" shapeId="0">
      <text>
        <t>Người dùng Không xác định:
17890000</t>
      </text>
    </comment>
    <comment ref="D12" authorId="0" shapeId="0">
      <text>
        <t>chit trang:
17.890</t>
      </text>
    </comment>
    <comment ref="G12" authorId="2" shapeId="0">
      <text>
        <t>Dat's MacBook Pro:
+1300</t>
      </text>
    </comment>
    <comment ref="C13" authorId="1" shapeId="0">
      <text>
        <t>Người dùng Không xác định:
18990000</t>
      </text>
    </comment>
    <comment ref="B15" authorId="3" shapeId="0">
      <text>
        <t>was 13190
VNP100</t>
      </text>
    </comment>
    <comment ref="C16" authorId="4" shapeId="0">
      <text>
        <t>danielnguyen6111998@gmail.com:
13190000</t>
      </text>
    </comment>
    <comment ref="D16" authorId="0" shapeId="0">
      <text>
        <t>chit trang:
13.190</t>
      </text>
    </comment>
    <comment ref="G16" authorId="2" shapeId="0">
      <text>
        <t>Dat's MacBook Pro:
13390</t>
      </text>
    </comment>
    <comment ref="B17" authorId="3" shapeId="0">
      <text>
        <t>was 7040
VNP40</t>
      </text>
    </comment>
    <comment ref="C17" authorId="1" shapeId="0">
      <text>
        <t>Người dùng Không xác định:
9490000</t>
      </text>
    </comment>
    <comment ref="D17" authorId="0" shapeId="0">
      <text>
        <t>chit trang:
9.490</t>
      </text>
    </comment>
    <comment ref="B18" authorId="3" shapeId="0">
      <text>
        <t>was 14390</t>
      </text>
    </comment>
    <comment ref="C18" authorId="4" shapeId="0">
      <text>
        <t xml:space="preserve">danielnguyen6111998@gmail.com:
15.490
</t>
      </text>
    </comment>
    <comment ref="D18" authorId="0" shapeId="0">
      <text>
        <t>chit trang:
15.490</t>
      </text>
    </comment>
    <comment ref="G18" authorId="2" shapeId="0">
      <text>
        <t>Dat's MacBook Pro:
12990</t>
      </text>
    </comment>
    <comment ref="C20" authorId="1" shapeId="0">
      <text>
        <t>Người dùng Không xác định:
20690000</t>
      </text>
    </comment>
    <comment ref="C21" authorId="4" shapeId="0">
      <text>
        <t>danielnguyen6111998@gmail.com:
28990000</t>
      </text>
    </comment>
    <comment ref="D21" authorId="0" shapeId="0">
      <text>
        <t>chit trang:
28.490</t>
      </text>
    </comment>
    <comment ref="C22" authorId="1" shapeId="0">
      <text>
        <t>Người dùng Không xác định:
38990000</t>
      </text>
    </comment>
    <comment ref="C23" authorId="1" shapeId="0">
      <text>
        <t>Người dùng Không xác định:
6590000</t>
      </text>
    </comment>
    <comment ref="D23" authorId="0" shapeId="0">
      <text>
        <t>chit trang:
6.590</t>
      </text>
    </comment>
    <comment ref="C24" authorId="1" shapeId="0">
      <text>
        <t>Người dùng Không xác định:
7690000</t>
      </text>
    </comment>
    <comment ref="C27" authorId="1" shapeId="0">
      <text>
        <t>Người dùng Không xác định:
10990000</t>
      </text>
    </comment>
    <comment ref="D27" authorId="0" shapeId="0">
      <text>
        <t>chit trang:
10.990</t>
      </text>
    </comment>
    <comment ref="B32" authorId="3" shapeId="0">
      <text>
        <t>was 5550
VNP40</t>
      </text>
    </comment>
    <comment ref="B33" authorId="3" shapeId="0">
      <text>
        <t xml:space="preserve">was 4490
</t>
      </text>
    </comment>
    <comment ref="C33" authorId="1" shapeId="0">
      <text>
        <t>Người dùng Không xác định:
4590000</t>
      </text>
    </comment>
    <comment ref="B34" authorId="3" shapeId="0">
      <text>
        <t>was 3190</t>
      </text>
    </comment>
    <comment ref="C36" authorId="1" shapeId="0">
      <text>
        <t>Người dùng Không xác định:
29990000</t>
      </text>
    </comment>
    <comment ref="C37" authorId="1" shapeId="0">
      <text>
        <t>Người dùng Không xác định:
16490000</t>
      </text>
    </comment>
    <comment ref="C38" authorId="4" shapeId="0">
      <text>
        <t>danielnguyen6111998@gmail.com:
25290000</t>
      </text>
    </comment>
    <comment ref="D42" authorId="1" shapeId="0">
      <text>
        <t>Người dùng Không xác định:
62.990</t>
      </text>
    </comment>
  </commentList>
</comments>
</file>

<file path=xl/comments/comment104.xml><?xml version="1.0" encoding="utf-8"?>
<comments xmlns="http://schemas.openxmlformats.org/spreadsheetml/2006/main">
  <authors>
    <author>Người dùng Khách</author>
    <author>Mia</author>
    <author>chit trang</author>
    <author>Dat's MacBook Pro</author>
    <author>Microsoft Office User</author>
    <author>danielnguyen6111998@gmail.com</author>
  </authors>
  <commentList>
    <comment ref="C2" authorId="0" shapeId="0">
      <text>
        <t>Người dùng Không xác định:
17.990</t>
      </text>
    </comment>
    <comment ref="D2" authorId="0" shapeId="0">
      <text>
        <t>Người dùng Không xác định:
17.690</t>
      </text>
    </comment>
    <comment ref="D3" authorId="0" shapeId="0">
      <text>
        <t>Người dùng Không xác định:
24.490</t>
      </text>
    </comment>
    <comment ref="E3" authorId="1" shapeId="0">
      <text>
        <t xml:space="preserve">was 24190:
</t>
      </text>
    </comment>
    <comment ref="E4" authorId="1" shapeId="0">
      <text>
        <t xml:space="preserve">was 23490
</t>
      </text>
    </comment>
    <comment ref="C5" authorId="0" shapeId="0">
      <text>
        <t>Người dùng Không xác định:
34.890</t>
      </text>
    </comment>
    <comment ref="D5" authorId="2" shapeId="0">
      <text>
        <t>chit trang:
34.790</t>
      </text>
    </comment>
    <comment ref="E6" authorId="1" shapeId="0">
      <text>
        <t xml:space="preserve">was 36290
</t>
      </text>
    </comment>
    <comment ref="D7" authorId="0" shapeId="0">
      <text>
        <t>Người dùng Không xác định:
16.690</t>
      </text>
    </comment>
    <comment ref="G8" authorId="3" shapeId="0">
      <text>
        <t>Dat's MacBook Pro:
+1300</t>
      </text>
    </comment>
    <comment ref="B9" authorId="4" shapeId="0">
      <text>
        <t>was 24640000
VNP150</t>
      </text>
    </comment>
    <comment ref="D9" authorId="0" shapeId="0">
      <text>
        <t>Người dùng Không xác định:
23.990</t>
      </text>
    </comment>
    <comment ref="G9" authorId="3" shapeId="0">
      <text>
        <t>Dat's MacBook Pro:
+1400</t>
      </text>
    </comment>
    <comment ref="B11" authorId="4"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D12" authorId="2" shapeId="0">
      <text>
        <t>chit trang:
17.590</t>
      </text>
    </comment>
    <comment ref="E12" authorId="1" shapeId="0">
      <text>
        <t xml:space="preserve">was 17690
</t>
      </text>
    </comment>
    <comment ref="G12" authorId="3" shapeId="0">
      <text>
        <t>Dat's MacBook Pro:
+1300</t>
      </text>
    </comment>
    <comment ref="D14" authorId="0" shapeId="0">
      <text>
        <t>Người dùng Không xác định:
13.990</t>
      </text>
    </comment>
    <comment ref="B15" authorId="4" shapeId="0">
      <text>
        <t>was 13190
VNP100</t>
      </text>
    </comment>
    <comment ref="C16" authorId="5" shapeId="0">
      <text>
        <t>danielnguyen6111998@gmail.com:
13090000</t>
      </text>
    </comment>
    <comment ref="D16" authorId="2" shapeId="0">
      <text>
        <t>chit trang:
13.190</t>
      </text>
    </comment>
    <comment ref="E16" authorId="1" shapeId="0">
      <text>
        <t xml:space="preserve">was 13290
</t>
      </text>
    </comment>
    <comment ref="G16" authorId="3" shapeId="0">
      <text>
        <t>Dat's MacBook Pro:
13390</t>
      </text>
    </comment>
    <comment ref="B17" authorId="4" shapeId="0">
      <text>
        <t>was 7040
VNP40</t>
      </text>
    </comment>
    <comment ref="C17" authorId="0" shapeId="0">
      <text>
        <t>Người dùng Không xác định:
9490000</t>
      </text>
    </comment>
    <comment ref="B18" authorId="4" shapeId="0">
      <text>
        <t>was 14390</t>
      </text>
    </comment>
    <comment ref="C18" authorId="5" shapeId="0">
      <text>
        <t xml:space="preserve">danielnguyen6111998@gmail.com:
15190000
</t>
      </text>
    </comment>
    <comment ref="D18" authorId="2" shapeId="0">
      <text>
        <t>chit trang:
15.190</t>
      </text>
    </comment>
    <comment ref="G18" authorId="3" shapeId="0">
      <text>
        <t>Dat's MacBook Pro:
12990</t>
      </text>
    </comment>
    <comment ref="D19" authorId="0" shapeId="0">
      <text>
        <t>Người dùng Không xác định:
16.690</t>
      </text>
    </comment>
    <comment ref="C23" authorId="0" shapeId="0">
      <text>
        <t>Người dùng Không xác định:
38690000</t>
      </text>
    </comment>
    <comment ref="C24" authorId="0" shapeId="0">
      <text>
        <t>Người dùng Không xác định:
6790000</t>
      </text>
    </comment>
    <comment ref="D24" authorId="2" shapeId="0">
      <text>
        <t>chit trang:
6.790</t>
      </text>
    </comment>
    <comment ref="E24" authorId="1" shapeId="0">
      <text>
        <t xml:space="preserve">was 5990
</t>
      </text>
    </comment>
    <comment ref="C25" authorId="0" shapeId="0">
      <text>
        <t>Người dùng Không xác định:
8390000</t>
      </text>
    </comment>
    <comment ref="D25" authorId="0" shapeId="0">
      <text>
        <t>Người dùng Không xác định:
8.290</t>
      </text>
    </comment>
    <comment ref="E25" authorId="1" shapeId="0">
      <text>
        <t xml:space="preserve">was 7490
</t>
      </text>
    </comment>
    <comment ref="C26" authorId="0" shapeId="0">
      <text>
        <t>Người dùng Không xác định:
7690000</t>
      </text>
    </comment>
    <comment ref="D26" authorId="0" shapeId="0">
      <text>
        <t>Người dùng Không xác định:
7.690</t>
      </text>
    </comment>
    <comment ref="E26" authorId="1" shapeId="0">
      <text>
        <t xml:space="preserve">was 6890
</t>
      </text>
    </comment>
    <comment ref="C27" authorId="0" shapeId="0">
      <text>
        <t>Người dùng Không xác định:
9190000</t>
      </text>
    </comment>
    <comment ref="D27" authorId="0" shapeId="0">
      <text>
        <t>Người dùng Không xác định:
9.190</t>
      </text>
    </comment>
    <comment ref="E27" authorId="1" shapeId="0">
      <text>
        <t xml:space="preserve">was 8490
</t>
      </text>
    </comment>
    <comment ref="C28" authorId="0" shapeId="0">
      <text>
        <t>Người dùng Không xác định:
11190000</t>
      </text>
    </comment>
    <comment ref="D28" authorId="2" shapeId="0">
      <text>
        <t>chit trang:
10.990</t>
      </text>
    </comment>
    <comment ref="E28" authorId="1" shapeId="0">
      <text>
        <t xml:space="preserve">was 10190
</t>
      </text>
    </comment>
    <comment ref="D29" authorId="0" shapeId="0">
      <text>
        <t>Người dùng Không xác định:
14.090</t>
      </text>
    </comment>
    <comment ref="E29" authorId="1" shapeId="0">
      <text>
        <t xml:space="preserve">was 13490
</t>
      </text>
    </comment>
    <comment ref="C30" authorId="0" shapeId="0">
      <text>
        <t>Người dùng Không xác định:
11990000</t>
      </text>
    </comment>
    <comment ref="D30" authorId="0" shapeId="0">
      <text>
        <t>Người dùng Không xác định:
9.990</t>
      </text>
    </comment>
    <comment ref="E30" authorId="1" shapeId="0">
      <text>
        <t xml:space="preserve">was 10990
</t>
      </text>
    </comment>
    <comment ref="C31" authorId="0" shapeId="0">
      <text>
        <t>Người dùng Không xác định:
14990000</t>
      </text>
    </comment>
    <comment ref="D31" authorId="0" shapeId="0">
      <text>
        <t>Người dùng Không xác định:
14.990</t>
      </text>
    </comment>
    <comment ref="E31" authorId="1" shapeId="0">
      <text>
        <t xml:space="preserve">was 13990
</t>
      </text>
    </comment>
    <comment ref="E32" authorId="1" shapeId="0">
      <text>
        <t xml:space="preserve">was 21990
</t>
      </text>
    </comment>
    <comment ref="B33" authorId="4" shapeId="0">
      <text>
        <t>was 5550
VNP40</t>
      </text>
    </comment>
    <comment ref="B34" authorId="4" shapeId="0">
      <text>
        <t xml:space="preserve">was 4490
</t>
      </text>
    </comment>
    <comment ref="C34" authorId="0" shapeId="0">
      <text>
        <t>Người dùng Không xác định:
4690000</t>
      </text>
    </comment>
    <comment ref="D34" authorId="0" shapeId="0">
      <text>
        <t>Người dùng Không xác định:
4.590</t>
      </text>
    </comment>
    <comment ref="B35" authorId="4" shapeId="0">
      <text>
        <t>was 3190</t>
      </text>
    </comment>
    <comment ref="C35" authorId="0" shapeId="0">
      <text>
        <t>Người dùng Không xác định:
3490000</t>
      </text>
    </comment>
    <comment ref="D35" authorId="0" shapeId="0">
      <text>
        <t>Người dùng Không xác định:
3.490</t>
      </text>
    </comment>
    <comment ref="E35" authorId="1" shapeId="0">
      <text>
        <t xml:space="preserve">was 3290
</t>
      </text>
    </comment>
    <comment ref="C36" authorId="0" shapeId="0">
      <text>
        <t>Người dùng Không xác định:
6590000</t>
      </text>
    </comment>
    <comment ref="D36" authorId="0" shapeId="0">
      <text>
        <t>Người dùng Không xác định:
6.590</t>
      </text>
    </comment>
    <comment ref="E36" authorId="1" shapeId="0">
      <text>
        <t xml:space="preserve">was 6290
</t>
      </text>
    </comment>
    <comment ref="D38" authorId="0" shapeId="0">
      <text>
        <t>Người dùng Không xác định:
16.490</t>
      </text>
    </comment>
    <comment ref="C40" authorId="0" shapeId="0">
      <text>
        <t>Người dùng Không xác định:
29990000</t>
      </text>
    </comment>
  </commentList>
</comments>
</file>

<file path=xl/comments/comment105.xml><?xml version="1.0" encoding="utf-8"?>
<comments xmlns="http://schemas.openxmlformats.org/spreadsheetml/2006/main">
  <authors>
    <author>Người dùng Khách</author>
    <author>Mia</author>
    <author>Dat's MacBook Pro</author>
    <author>Microsoft Office User</author>
    <author>danielnguyen6111998@gmail.com</author>
    <author>chit trang</author>
  </authors>
  <commentList>
    <comment ref="C2" authorId="0" shapeId="0">
      <text>
        <t>Người dùng Không xác định:
17.990</t>
      </text>
    </comment>
    <comment ref="D3" authorId="0" shapeId="0">
      <text>
        <t>Người dùng Không xác định:
24.493</t>
      </text>
    </comment>
    <comment ref="E3" authorId="1" shapeId="0">
      <text>
        <t xml:space="preserve">was 23590:
</t>
      </text>
    </comment>
    <comment ref="C5" authorId="0" shapeId="0">
      <text>
        <t>Người dùng Không xác định:
34.890</t>
      </text>
    </comment>
    <comment ref="E6" authorId="1" shapeId="0">
      <text>
        <t xml:space="preserve">was 36090
</t>
      </text>
    </comment>
    <comment ref="G8" authorId="2" shapeId="0">
      <text>
        <t>Dat's MacBook Pro:
+1300</t>
      </text>
    </comment>
    <comment ref="B9" authorId="3" shapeId="0">
      <text>
        <t>was 24640000
VNP150</t>
      </text>
    </comment>
    <comment ref="E9" authorId="1" shapeId="0">
      <text>
        <t xml:space="preserve">was 23990
</t>
      </text>
    </comment>
    <comment ref="G9" authorId="2" shapeId="0">
      <text>
        <t>Dat's MacBook Pro:
+1400</t>
      </text>
    </comment>
    <comment ref="B11" authorId="3" shapeId="0">
      <text>
        <t>Tặng phiếu mua hàng mua AirPods và Apple Watch trị giá 500,000đ
 Phiếu mua hàng mua sản phẩm giá niêm yết từ 5 triệu thuộc các nhóm TAI NGHE - LOA hãng HARMAN KARDON, JBL,MONSTER, KLIPSCH, MARSHALL, SONY; Smartwatch hãng HUAWEI, GARMIN, SAMSUNG, IMOO, OPPO, AMAZFIT trị giá 500.000đ</t>
      </text>
    </comment>
    <comment ref="G12" authorId="2" shapeId="0">
      <text>
        <t>Dat's MacBook Pro:
+1300</t>
      </text>
    </comment>
    <comment ref="D14" authorId="0" shapeId="0">
      <text>
        <t>Người dùng Không xác định:
13.990</t>
      </text>
    </comment>
    <comment ref="E14" authorId="1" shapeId="0">
      <text>
        <t xml:space="preserve">was 13790
</t>
      </text>
    </comment>
    <comment ref="B15" authorId="3" shapeId="0">
      <text>
        <t>was 13190
VNP100</t>
      </text>
    </comment>
    <comment ref="E15" authorId="1" shapeId="0">
      <text>
        <t xml:space="preserve">was 12090
</t>
      </text>
    </comment>
    <comment ref="C16" authorId="4" shapeId="0">
      <text>
        <t>danielnguyen6111998@gmail.com:
13090000</t>
      </text>
    </comment>
    <comment ref="D16" authorId="5" shapeId="0">
      <text>
        <t>chit trang:
13.190</t>
      </text>
    </comment>
    <comment ref="E16" authorId="1" shapeId="0">
      <text>
        <t xml:space="preserve">was 13090
</t>
      </text>
    </comment>
    <comment ref="G16" authorId="2" shapeId="0">
      <text>
        <t>Dat's MacBook Pro:
13390</t>
      </text>
    </comment>
    <comment ref="B17" authorId="3" shapeId="0">
      <text>
        <t>was 7040
VNP40</t>
      </text>
    </comment>
    <comment ref="C17" authorId="0" shapeId="0">
      <text>
        <t>Người dùng Không xác định:
9490000</t>
      </text>
    </comment>
    <comment ref="B18" authorId="3" shapeId="0">
      <text>
        <t>was 14390</t>
      </text>
    </comment>
    <comment ref="C18" authorId="4" shapeId="0">
      <text>
        <t xml:space="preserve">danielnguyen6111998@gmail.com:
15190000
</t>
      </text>
    </comment>
    <comment ref="G18" authorId="2" shapeId="0">
      <text>
        <t>Dat's MacBook Pro:
12990</t>
      </text>
    </comment>
    <comment ref="D19" authorId="0" shapeId="0">
      <text>
        <t>Người dùng Không xác định:
16.690</t>
      </text>
    </comment>
    <comment ref="C23" authorId="0" shapeId="0">
      <text>
        <t>Người dùng Không xác định:
38690000</t>
      </text>
    </comment>
    <comment ref="C24" authorId="0" shapeId="0">
      <text>
        <t>Người dùng Không xác định:
6790000</t>
      </text>
    </comment>
    <comment ref="D24" authorId="5" shapeId="0">
      <text>
        <t>chit trang:
6.290</t>
      </text>
    </comment>
    <comment ref="C25" authorId="0" shapeId="0">
      <text>
        <t>Người dùng Không xác định:
8390000</t>
      </text>
    </comment>
    <comment ref="C26" authorId="0" shapeId="0">
      <text>
        <t>Người dùng Không xác định:
7690000</t>
      </text>
    </comment>
    <comment ref="C27" authorId="0" shapeId="0">
      <text>
        <t>Người dùng Không xác định:
9190000</t>
      </text>
    </comment>
    <comment ref="C28" authorId="0" shapeId="0">
      <text>
        <t>Người dùng Không xác định:
11190000</t>
      </text>
    </comment>
    <comment ref="D28" authorId="5" shapeId="0">
      <text>
        <t>11.190</t>
      </text>
    </comment>
    <comment ref="C30" authorId="0" shapeId="0">
      <text>
        <t>Người dùng Không xác định:
11990000</t>
      </text>
    </comment>
    <comment ref="C31" authorId="0" shapeId="0">
      <text>
        <t>Người dùng Không xác định:
14990000</t>
      </text>
    </comment>
    <comment ref="B33" authorId="3" shapeId="0">
      <text>
        <t>was 5550
VNP40</t>
      </text>
    </comment>
    <comment ref="B34" authorId="3" shapeId="0">
      <text>
        <t xml:space="preserve">was 4490
</t>
      </text>
    </comment>
    <comment ref="C34" authorId="0" shapeId="0">
      <text>
        <t>Người dùng Không xác định:
4690000</t>
      </text>
    </comment>
    <comment ref="B35" authorId="3" shapeId="0">
      <text>
        <t>was 3190</t>
      </text>
    </comment>
    <comment ref="C35" authorId="0" shapeId="0">
      <text>
        <t>Người dùng Không xác định:
3490000</t>
      </text>
    </comment>
    <comment ref="D35" authorId="0" shapeId="0">
      <text>
        <t>Người dùng Không xác định:
3.090</t>
      </text>
    </comment>
    <comment ref="C36" authorId="0" shapeId="0">
      <text>
        <t>Người dùng Không xác định:
6590000</t>
      </text>
    </comment>
    <comment ref="D37" authorId="0" shapeId="0">
      <text>
        <t>Người dùng Không xác định:
29.990</t>
      </text>
    </comment>
    <comment ref="C40" authorId="0" shapeId="0">
      <text>
        <t>Người dùng Không xác định:
299900</t>
      </text>
    </comment>
  </commentList>
</comments>
</file>

<file path=xl/comments/comment106.xml><?xml version="1.0" encoding="utf-8"?>
<comments xmlns="http://schemas.openxmlformats.org/spreadsheetml/2006/main">
  <authors>
    <author>Người dùng Khách</author>
    <author>Mia</author>
    <author>Dat's MacBook Pro</author>
    <author>Microsoft Office User</author>
    <author>danielnguyen6111998@gmail.com</author>
    <author>chit trang</author>
  </authors>
  <commentList>
    <comment ref="C2" authorId="0" shapeId="0">
      <text>
        <t>Người dùng Không xác định:
17490000</t>
      </text>
    </comment>
    <comment ref="C3" authorId="0" shapeId="0">
      <text>
        <t>Người dùng Không xác định:
24490000</t>
      </text>
    </comment>
    <comment ref="E3" authorId="1" shapeId="0">
      <text>
        <t xml:space="preserve">was 23490:
</t>
      </text>
    </comment>
    <comment ref="C5" authorId="0" shapeId="0">
      <text>
        <t>Người dùng Không xác định:
34.890</t>
      </text>
    </comment>
    <comment ref="C8" authorId="0" shapeId="0">
      <text>
        <t>Người dùng Không xác định:
19990000</t>
      </text>
    </comment>
    <comment ref="D8" authorId="0" shapeId="0">
      <text>
        <t>Người dùng Không xác định:
19.990</t>
      </text>
    </comment>
    <comment ref="G8" authorId="2" shapeId="0">
      <text>
        <t>Dat's MacBook Pro:
+1300</t>
      </text>
    </comment>
    <comment ref="B9" authorId="3" shapeId="0">
      <text>
        <t>was 24640000
VNP150</t>
      </text>
    </comment>
    <comment ref="C9" authorId="0" shapeId="0">
      <text>
        <t>Người dùng Không xác định:
23990000</t>
      </text>
    </comment>
    <comment ref="D9" authorId="0" shapeId="0">
      <text>
        <t>Người dùng Không xác định:
23.490</t>
      </text>
    </comment>
    <comment ref="G9" authorId="2" shapeId="0">
      <text>
        <t>Dat's MacBook Pro:
+1400</t>
      </text>
    </comment>
    <comment ref="C10" authorId="0" shapeId="0">
      <text>
        <t>Người dùng Không xác định:
17590000</t>
      </text>
    </comment>
    <comment ref="D10" authorId="0" shapeId="0">
      <text>
        <t>Người dùng Không xác định:
17.490</t>
      </text>
    </comment>
    <comment ref="G10" authorId="2" shapeId="0">
      <text>
        <t>Dat's MacBook Pro:
+1300</t>
      </text>
    </comment>
    <comment ref="D12" authorId="0" shapeId="0">
      <text>
        <t>Người dùng Không xác định:
13.490</t>
      </text>
    </comment>
    <comment ref="B13" authorId="3" shapeId="0">
      <text>
        <t>was 13190
VNP100</t>
      </text>
    </comment>
    <comment ref="C14" authorId="4" shapeId="0">
      <text>
        <t>danielnguyen6111998@gmail.com:
13090000</t>
      </text>
    </comment>
    <comment ref="D14" authorId="5" shapeId="0">
      <text>
        <t>chit trang:
13.490</t>
      </text>
    </comment>
    <comment ref="G14" authorId="2" shapeId="0">
      <text>
        <t>Dat's MacBook Pro:
13390</t>
      </text>
    </comment>
    <comment ref="B15" authorId="3" shapeId="0">
      <text>
        <t>was 7040
VNP40</t>
      </text>
    </comment>
    <comment ref="C15" authorId="0" shapeId="0">
      <text>
        <t>Người dùng Không xác định:
9490000</t>
      </text>
    </comment>
    <comment ref="B16" authorId="3" shapeId="0">
      <text>
        <t>was 14390</t>
      </text>
    </comment>
    <comment ref="C16" authorId="4" shapeId="0">
      <text>
        <t>danielnguyen6111998@gmail.com:
14990000</t>
      </text>
    </comment>
    <comment ref="G16" authorId="2" shapeId="0">
      <text>
        <t>Dat's MacBook Pro:
12990</t>
      </text>
    </comment>
    <comment ref="C18" authorId="0" shapeId="0">
      <text>
        <t>Người dùng Không xác định:
19890000</t>
      </text>
    </comment>
    <comment ref="D19" authorId="0" shapeId="0">
      <text>
        <t>Người dùng Không xác định:
21.990</t>
      </text>
    </comment>
    <comment ref="C21" authorId="0" shapeId="0">
      <text>
        <t>Người dùng Không xác định:
38690000</t>
      </text>
    </comment>
    <comment ref="B31" authorId="3" shapeId="0">
      <text>
        <t>was 5550
VNP40</t>
      </text>
    </comment>
    <comment ref="B32" authorId="3" shapeId="0">
      <text>
        <t xml:space="preserve">was 4490
</t>
      </text>
    </comment>
    <comment ref="C32" authorId="0" shapeId="0">
      <text>
        <t>Người dùng Không xác định:
4390000</t>
      </text>
    </comment>
    <comment ref="D32" authorId="0" shapeId="0">
      <text>
        <t>Người dùng Không xác định:
4.390</t>
      </text>
    </comment>
    <comment ref="B33" authorId="3" shapeId="0">
      <text>
        <t>was 3190</t>
      </text>
    </comment>
    <comment ref="C33" authorId="0" shapeId="0">
      <text>
        <t>Người dùng Không xác định:
2990000</t>
      </text>
    </comment>
    <comment ref="D33" authorId="0" shapeId="0">
      <text>
        <t>Người dùng Không xác định:
2.990</t>
      </text>
    </comment>
    <comment ref="C34" authorId="0" shapeId="0">
      <text>
        <t>Người dùng Không xác định:
6590000</t>
      </text>
    </comment>
    <comment ref="D34" authorId="0" shapeId="0">
      <text>
        <t>Người dùng Không xác định:
6.290</t>
      </text>
    </comment>
    <comment ref="C35" authorId="0" shapeId="0">
      <text>
        <t>Người dùng Không xác định:
29490000</t>
      </text>
    </comment>
    <comment ref="D35" authorId="0" shapeId="0">
      <text>
        <t>Người dùng Không xác định:
29.994</t>
      </text>
    </comment>
    <comment ref="C36" authorId="0" shapeId="0">
      <text>
        <t>Người dùng Không xác định:
15690000</t>
      </text>
    </comment>
    <comment ref="C37" authorId="0" shapeId="0">
      <text>
        <t>Người dùng Không xác định:
25590000</t>
      </text>
    </comment>
  </commentList>
</comments>
</file>

<file path=xl/comments/comment107.xml><?xml version="1.0" encoding="utf-8"?>
<comments xmlns="http://schemas.openxmlformats.org/spreadsheetml/2006/main">
  <authors>
    <author>Người dùng Khách</author>
    <author>Dat's MacBook Pro</author>
    <author>Microsoft Office User</author>
    <author>danielnguyen6111998@gmail.com</author>
    <author>chit trang</author>
  </authors>
  <commentList>
    <comment ref="C3" authorId="0" shapeId="0">
      <text>
        <t>Người dùng Không xác định:
24490000</t>
      </text>
    </comment>
    <comment ref="D3" authorId="0" shapeId="0">
      <text>
        <t>Người dùng Không xác định:
24.490</t>
      </text>
    </comment>
    <comment ref="D4" authorId="0" shapeId="0">
      <text>
        <t>Người dùng Không xác định:
22.990</t>
      </text>
    </comment>
    <comment ref="C5" authorId="0" shapeId="0">
      <text>
        <t>Người dùng Không xác định:
34790000</t>
      </text>
    </comment>
    <comment ref="D5" authorId="0" shapeId="0">
      <text>
        <t>Người dùng Không xác định:
34.690</t>
      </text>
    </comment>
    <comment ref="D6" authorId="0" shapeId="0">
      <text>
        <t>Người dùng Không xác định:
36.990</t>
      </text>
    </comment>
    <comment ref="C8" authorId="0" shapeId="0">
      <text>
        <t>Người dùng Không xác định:
20790000</t>
      </text>
    </comment>
    <comment ref="D8" authorId="0" shapeId="0">
      <text>
        <t>Người dùng Không xác định:
20790</t>
      </text>
    </comment>
    <comment ref="G8" authorId="1" shapeId="0">
      <text>
        <t>Dat's MacBook Pro:
+1300</t>
      </text>
    </comment>
    <comment ref="B9" authorId="2" shapeId="0">
      <text>
        <t>was 24640000
VNP150</t>
      </text>
    </comment>
    <comment ref="C9" authorId="0" shapeId="0">
      <text>
        <t>Người dùng Không xác định:
23990000</t>
      </text>
    </comment>
    <comment ref="D9" authorId="0" shapeId="0">
      <text>
        <t>Người dùng Không xác định:
24.490</t>
      </text>
    </comment>
    <comment ref="G9" authorId="1" shapeId="0">
      <text>
        <t>Dat's MacBook Pro:
+1400</t>
      </text>
    </comment>
    <comment ref="C10" authorId="0" shapeId="0">
      <text>
        <t>Người dùng Không xác định:
17590000</t>
      </text>
    </comment>
    <comment ref="D10" authorId="0" shapeId="0">
      <text>
        <t>Người dùng Không xác định:
17.490</t>
      </text>
    </comment>
    <comment ref="G10" authorId="1" shapeId="0">
      <text>
        <t>Dat's MacBook Pro:
+1300</t>
      </text>
    </comment>
    <comment ref="B13" authorId="2" shapeId="0">
      <text>
        <t>was 13190
VNP100</t>
      </text>
    </comment>
    <comment ref="C14" authorId="3" shapeId="0">
      <text>
        <t>danielnguyen6111998@gmail.com:
12890000</t>
      </text>
    </comment>
    <comment ref="D14" authorId="4" shapeId="0">
      <text>
        <t>chit trang:
16.190</t>
      </text>
    </comment>
    <comment ref="G14" authorId="1" shapeId="0">
      <text>
        <t>Dat's MacBook Pro:
13390</t>
      </text>
    </comment>
    <comment ref="B15" authorId="2" shapeId="0">
      <text>
        <t>was 7040
VNP40</t>
      </text>
    </comment>
    <comment ref="B16" authorId="2" shapeId="0">
      <text>
        <t>was 14390</t>
      </text>
    </comment>
    <comment ref="G16" authorId="1" shapeId="0">
      <text>
        <t>Dat's MacBook Pro:
12990</t>
      </text>
    </comment>
    <comment ref="C17" authorId="0" shapeId="0">
      <text>
        <t>Người dùng Không xác định:
16490000</t>
      </text>
    </comment>
    <comment ref="D17" authorId="0" shapeId="0">
      <text>
        <t>Người dùng Không xác định:
16.490</t>
      </text>
    </comment>
    <comment ref="C20" authorId="0" shapeId="0">
      <text>
        <t>Người dùng Không xác định:
28190000</t>
      </text>
    </comment>
    <comment ref="D20" authorId="0" shapeId="0">
      <text>
        <t>Người dùng Không xác định:
28.190</t>
      </text>
    </comment>
    <comment ref="D21" authorId="0" shapeId="0">
      <text>
        <t>Người dùng Không xác định:
38.990</t>
      </text>
    </comment>
    <comment ref="C22" authorId="0" shapeId="0">
      <text>
        <t>Người dùng Không xác định:
6.390</t>
      </text>
    </comment>
    <comment ref="D22" authorId="0" shapeId="0">
      <text>
        <t>Người dùng Không xác định:
6.390</t>
      </text>
    </comment>
    <comment ref="E22" authorId="2" shapeId="0">
      <text>
        <t xml:space="preserve">was 6190
</t>
      </text>
    </comment>
    <comment ref="C23" authorId="0" shapeId="0">
      <text>
        <t>Người dùng Không xác định:
8290000</t>
      </text>
    </comment>
    <comment ref="D23" authorId="0" shapeId="0">
      <text>
        <t>Người dùng Không xác định:
7.990</t>
      </text>
    </comment>
    <comment ref="E23" authorId="2" shapeId="0">
      <text>
        <t xml:space="preserve">was 7790
</t>
      </text>
    </comment>
    <comment ref="C24" authorId="0" shapeId="0">
      <text>
        <t>Người dùng Không xác định:
7.290</t>
      </text>
    </comment>
    <comment ref="D24" authorId="0" shapeId="0">
      <text>
        <t>Người dùng Không xác định:
7.290</t>
      </text>
    </comment>
    <comment ref="E24" authorId="2" shapeId="0">
      <text>
        <t xml:space="preserve">was 6990
</t>
      </text>
    </comment>
    <comment ref="C25" authorId="0" shapeId="0">
      <text>
        <t>Người dùng Không xác định:
8.790</t>
      </text>
    </comment>
    <comment ref="D25" authorId="0" shapeId="0">
      <text>
        <t>Người dùng Không xác định:
8.790</t>
      </text>
    </comment>
    <comment ref="E25" authorId="2" shapeId="0">
      <text>
        <t xml:space="preserve">was 8590
</t>
      </text>
    </comment>
    <comment ref="C26" authorId="0" shapeId="0">
      <text>
        <t>Người dùng Không xác định:
11990000</t>
      </text>
    </comment>
    <comment ref="D26" authorId="0" shapeId="0">
      <text>
        <t>Người dùng Không xác định:
9.190</t>
      </text>
    </comment>
    <comment ref="E26" authorId="2" shapeId="0">
      <text>
        <t xml:space="preserve">was 8990
</t>
      </text>
    </comment>
    <comment ref="D27" authorId="0" shapeId="0">
      <text>
        <t>Người dùng Không xác định:
11.990</t>
      </text>
    </comment>
    <comment ref="E27" authorId="2" shapeId="0">
      <text>
        <t xml:space="preserve">was 11990
</t>
      </text>
    </comment>
    <comment ref="C28" authorId="0" shapeId="0">
      <text>
        <t>Người dùng Không xác định:
9990000</t>
      </text>
    </comment>
    <comment ref="D28" authorId="0" shapeId="0">
      <text>
        <t>Người dùng Không xác định:
9.990</t>
      </text>
    </comment>
    <comment ref="E28" authorId="2" shapeId="0">
      <text>
        <t xml:space="preserve">was 9690
</t>
      </text>
    </comment>
    <comment ref="C29" authorId="0" shapeId="0">
      <text>
        <t>Người dùng Không xác định:
12990000</t>
      </text>
    </comment>
    <comment ref="D29" authorId="0" shapeId="0">
      <text>
        <t>Người dùng Không xác định:
12.490</t>
      </text>
    </comment>
    <comment ref="E29" authorId="2" shapeId="0">
      <text>
        <t xml:space="preserve">was 12490
</t>
      </text>
    </comment>
    <comment ref="C30" authorId="0" shapeId="0">
      <text>
        <t xml:space="preserve">Người dùng Không xác định:
</t>
      </text>
    </comment>
    <comment ref="B31" authorId="2" shapeId="0">
      <text>
        <t>was 5550
VNP40</t>
      </text>
    </comment>
    <comment ref="B32" authorId="2" shapeId="0">
      <text>
        <t xml:space="preserve">was 4490
</t>
      </text>
    </comment>
    <comment ref="C32" authorId="0" shapeId="0">
      <text>
        <t>Người dùng Không xác định:
4290000</t>
      </text>
    </comment>
    <comment ref="D32" authorId="0" shapeId="0">
      <text>
        <t>Người dùng Không xác định:
4.290</t>
      </text>
    </comment>
    <comment ref="E32" authorId="2" shapeId="0">
      <text>
        <t xml:space="preserve">was 4290
</t>
      </text>
    </comment>
    <comment ref="B33" authorId="2" shapeId="0">
      <text>
        <t>was 3190</t>
      </text>
    </comment>
    <comment ref="C33" authorId="0" shapeId="0">
      <text>
        <t>Người dùng Không xác định:
3090000</t>
      </text>
    </comment>
    <comment ref="D33" authorId="0" shapeId="0">
      <text>
        <t>Người dùng Không xác định:
2.900</t>
      </text>
    </comment>
    <comment ref="E33" authorId="2" shapeId="0">
      <text>
        <t xml:space="preserve">was 2990
</t>
      </text>
    </comment>
    <comment ref="C34" authorId="0" shapeId="0">
      <text>
        <t>Người dùng Không xác định:
6190000</t>
      </text>
    </comment>
    <comment ref="D34" authorId="0" shapeId="0">
      <text>
        <t>Người dùng Không xác định:
6.190</t>
      </text>
    </comment>
    <comment ref="E34" authorId="2" shapeId="0">
      <text>
        <t xml:space="preserve">was 5990
</t>
      </text>
    </comment>
    <comment ref="C35" authorId="0" shapeId="0">
      <text>
        <t>Người dùng Không xác định:29390000</t>
      </text>
    </comment>
    <comment ref="D35" authorId="0" shapeId="0">
      <text>
        <t>Người dùng Không xác định:
29.394</t>
      </text>
    </comment>
    <comment ref="C36" authorId="0" shapeId="0">
      <text>
        <t>Người dùng Không xác định:
15690000</t>
      </text>
    </comment>
    <comment ref="C37" authorId="0" shapeId="0">
      <text>
        <t xml:space="preserve">Người dùng Không xác định:
24990000
</t>
      </text>
    </comment>
  </commentList>
</comments>
</file>

<file path=xl/comments/comment108.xml><?xml version="1.0" encoding="utf-8"?>
<comments xmlns="http://schemas.openxmlformats.org/spreadsheetml/2006/main">
  <authors>
    <author>Price Check Tool</author>
  </authors>
  <commentList>
    <comment ref="E6" authorId="0" shapeId="0">
      <text>
        <t>was 36,290,000
base 36,790,000
discount 500,000
Giảm thêm 500,000 cho khách hàng cũ của Viettel</t>
      </text>
    </comment>
    <comment ref="E16" authorId="0" shapeId="0">
      <text>
        <t>was 14,290,000
base 14,490,000
discount 200,000
Giảm thêm 200,000 cho học sinh, sinh viên, giáo viên</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_rels/drawing3.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twoCellAnchor>
    <from>
      <col>8</col>
      <colOff>111130</colOff>
      <row>1</row>
      <rowOff>24130</rowOff>
    </from>
    <to>
      <col>15</col>
      <colOff>213361</colOff>
      <row>14</row>
      <rowOff>125730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8</col>
      <colOff>679636</colOff>
      <row>34</row>
      <rowOff>81616</rowOff>
    </from>
    <to>
      <col>16</col>
      <colOff>276225</colOff>
      <row>47</row>
      <rowOff>131856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259619</colOff>
      <row>29</row>
      <rowOff>78672</rowOff>
    </from>
    <to>
      <col>13</col>
      <colOff>538344</colOff>
      <row>39</row>
      <rowOff>89912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9</col>
      <colOff>147230</colOff>
      <row>24</row>
      <rowOff>164095</rowOff>
    </from>
    <to>
      <col>13</col>
      <colOff>415840</colOff>
      <row>33</row>
      <rowOff>103649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drawings/drawing3.xml><?xml version="1.0" encoding="utf-8"?>
<wsDr xmlns="http://schemas.openxmlformats.org/drawingml/2006/spreadsheetDrawing">
  <twoCellAnchor>
    <from>
      <col>8</col>
      <colOff>679636</colOff>
      <row>34</row>
      <rowOff>81616</rowOff>
    </from>
    <to>
      <col>16</col>
      <colOff>276225</colOff>
      <row>47</row>
      <rowOff>131856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147230</colOff>
      <row>24</row>
      <rowOff>164095</rowOff>
    </from>
    <to>
      <col>13</col>
      <colOff>415840</colOff>
      <row>33</row>
      <rowOff>103649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2.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3.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4.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5.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6.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7.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8.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19.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0.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1.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2.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3.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4.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5.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6.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27.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28.xml.rels><Relationships xmlns="http://schemas.openxmlformats.org/package/2006/relationships"><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29.xml.rels><Relationships xmlns="http://schemas.openxmlformats.org/package/2006/relationships"><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0.xml.rels><Relationships xmlns="http://schemas.openxmlformats.org/package/2006/relationships"><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1.xml.rels><Relationships xmlns="http://schemas.openxmlformats.org/package/2006/relationships"><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2.xml.rels><Relationships xmlns="http://schemas.openxmlformats.org/package/2006/relationships"><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33.xml.rels><Relationships xmlns="http://schemas.openxmlformats.org/package/2006/relationships"><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34.xml.rels><Relationships xmlns="http://schemas.openxmlformats.org/package/2006/relationships"><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35.xml.rels><Relationships xmlns="http://schemas.openxmlformats.org/package/2006/relationships"><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_rels/sheet36.xml.rels><Relationships xmlns="http://schemas.openxmlformats.org/package/2006/relationships"><Relationship Type="http://schemas.openxmlformats.org/officeDocument/2006/relationships/comments" Target="/xl/comments/comment36.xml" Id="comments"/><Relationship Type="http://schemas.openxmlformats.org/officeDocument/2006/relationships/vmlDrawing" Target="/xl/drawings/commentsDrawing36.vml" Id="anysvml"/></Relationships>
</file>

<file path=xl/worksheets/_rels/sheet37.xml.rels><Relationships xmlns="http://schemas.openxmlformats.org/package/2006/relationships"><Relationship Type="http://schemas.openxmlformats.org/officeDocument/2006/relationships/comments" Target="/xl/comments/comment37.xml" Id="comments"/><Relationship Type="http://schemas.openxmlformats.org/officeDocument/2006/relationships/vmlDrawing" Target="/xl/drawings/commentsDrawing37.vml" Id="anysvml"/></Relationships>
</file>

<file path=xl/worksheets/_rels/sheet38.xml.rels><Relationships xmlns="http://schemas.openxmlformats.org/package/2006/relationships"><Relationship Type="http://schemas.openxmlformats.org/officeDocument/2006/relationships/comments" Target="/xl/comments/comment38.xml" Id="comments"/><Relationship Type="http://schemas.openxmlformats.org/officeDocument/2006/relationships/vmlDrawing" Target="/xl/drawings/commentsDrawing38.vml" Id="anysvml"/></Relationships>
</file>

<file path=xl/worksheets/_rels/sheet39.xml.rels><Relationships xmlns="http://schemas.openxmlformats.org/package/2006/relationships"><Relationship Type="http://schemas.openxmlformats.org/officeDocument/2006/relationships/comments" Target="/xl/comments/comment39.xml" Id="comments"/><Relationship Type="http://schemas.openxmlformats.org/officeDocument/2006/relationships/vmlDrawing" Target="/xl/drawings/commentsDrawing39.vml" Id="anysvml"/></Relationships>
</file>

<file path=xl/worksheets/_rels/sheet40.xml.rels><Relationships xmlns="http://schemas.openxmlformats.org/package/2006/relationships"><Relationship Type="http://schemas.openxmlformats.org/officeDocument/2006/relationships/comments" Target="/xl/comments/comment40.xml" Id="comments"/><Relationship Type="http://schemas.openxmlformats.org/officeDocument/2006/relationships/vmlDrawing" Target="/xl/drawings/commentsDrawing40.vml" Id="anysvml"/></Relationships>
</file>

<file path=xl/worksheets/_rels/sheet41.xml.rels><Relationships xmlns="http://schemas.openxmlformats.org/package/2006/relationships"><Relationship Type="http://schemas.openxmlformats.org/officeDocument/2006/relationships/comments" Target="/xl/comments/comment41.xml" Id="comments"/><Relationship Type="http://schemas.openxmlformats.org/officeDocument/2006/relationships/vmlDrawing" Target="/xl/drawings/commentsDrawing41.vml" Id="anysvml"/></Relationships>
</file>

<file path=xl/worksheets/_rels/sheet42.xml.rels><Relationships xmlns="http://schemas.openxmlformats.org/package/2006/relationships"><Relationship Type="http://schemas.openxmlformats.org/officeDocument/2006/relationships/comments" Target="/xl/comments/comment42.xml" Id="comments"/><Relationship Type="http://schemas.openxmlformats.org/officeDocument/2006/relationships/vmlDrawing" Target="/xl/drawings/commentsDrawing42.vml" Id="anysvml"/></Relationships>
</file>

<file path=xl/worksheets/_rels/sheet43.xml.rels><Relationships xmlns="http://schemas.openxmlformats.org/package/2006/relationships"><Relationship Type="http://schemas.openxmlformats.org/officeDocument/2006/relationships/comments" Target="/xl/comments/comment43.xml" Id="comments"/><Relationship Type="http://schemas.openxmlformats.org/officeDocument/2006/relationships/vmlDrawing" Target="/xl/drawings/commentsDrawing43.vml" Id="anysvml"/></Relationships>
</file>

<file path=xl/worksheets/_rels/sheet44.xml.rels><Relationships xmlns="http://schemas.openxmlformats.org/package/2006/relationships"><Relationship Type="http://schemas.openxmlformats.org/officeDocument/2006/relationships/comments" Target="/xl/comments/comment44.xml" Id="comments"/><Relationship Type="http://schemas.openxmlformats.org/officeDocument/2006/relationships/vmlDrawing" Target="/xl/drawings/commentsDrawing44.vml" Id="anysvml"/></Relationships>
</file>

<file path=xl/worksheets/_rels/sheet45.xml.rels><Relationships xmlns="http://schemas.openxmlformats.org/package/2006/relationships"><Relationship Type="http://schemas.openxmlformats.org/officeDocument/2006/relationships/comments" Target="/xl/comments/comment45.xml" Id="comments"/><Relationship Type="http://schemas.openxmlformats.org/officeDocument/2006/relationships/vmlDrawing" Target="/xl/drawings/commentsDrawing45.vml" Id="anysvml"/></Relationships>
</file>

<file path=xl/worksheets/_rels/sheet46.xml.rels><Relationships xmlns="http://schemas.openxmlformats.org/package/2006/relationships"><Relationship Type="http://schemas.openxmlformats.org/officeDocument/2006/relationships/comments" Target="/xl/comments/comment46.xml" Id="comments"/><Relationship Type="http://schemas.openxmlformats.org/officeDocument/2006/relationships/vmlDrawing" Target="/xl/drawings/commentsDrawing46.vml" Id="anysvml"/></Relationships>
</file>

<file path=xl/worksheets/_rels/sheet47.xml.rels><Relationships xmlns="http://schemas.openxmlformats.org/package/2006/relationships"><Relationship Type="http://schemas.openxmlformats.org/officeDocument/2006/relationships/comments" Target="/xl/comments/comment47.xml" Id="comments"/><Relationship Type="http://schemas.openxmlformats.org/officeDocument/2006/relationships/vmlDrawing" Target="/xl/drawings/commentsDrawing47.vml" Id="anysvml"/></Relationships>
</file>

<file path=xl/worksheets/_rels/sheet48.xml.rels><Relationships xmlns="http://schemas.openxmlformats.org/package/2006/relationships"><Relationship Type="http://schemas.openxmlformats.org/officeDocument/2006/relationships/comments" Target="/xl/comments/comment48.xml" Id="comments"/><Relationship Type="http://schemas.openxmlformats.org/officeDocument/2006/relationships/vmlDrawing" Target="/xl/drawings/commentsDrawing48.vml" Id="anysvml"/></Relationships>
</file>

<file path=xl/worksheets/_rels/sheet49.xml.rels><Relationships xmlns="http://schemas.openxmlformats.org/package/2006/relationships"><Relationship Type="http://schemas.openxmlformats.org/officeDocument/2006/relationships/comments" Target="/xl/comments/comment49.xml" Id="comments"/><Relationship Type="http://schemas.openxmlformats.org/officeDocument/2006/relationships/vmlDrawing" Target="/xl/drawings/commentsDrawing49.vml" Id="anysvml"/></Relationships>
</file>

<file path=xl/worksheets/_rels/sheet50.xml.rels><Relationships xmlns="http://schemas.openxmlformats.org/package/2006/relationships"><Relationship Type="http://schemas.openxmlformats.org/officeDocument/2006/relationships/comments" Target="/xl/comments/comment50.xml" Id="comments"/><Relationship Type="http://schemas.openxmlformats.org/officeDocument/2006/relationships/vmlDrawing" Target="/xl/drawings/commentsDrawing50.vml" Id="anysvml"/></Relationships>
</file>

<file path=xl/worksheets/_rels/sheet51.xml.rels><Relationships xmlns="http://schemas.openxmlformats.org/package/2006/relationships"><Relationship Type="http://schemas.openxmlformats.org/officeDocument/2006/relationships/comments" Target="/xl/comments/comment51.xml" Id="comments"/><Relationship Type="http://schemas.openxmlformats.org/officeDocument/2006/relationships/vmlDrawing" Target="/xl/drawings/commentsDrawing51.vml" Id="anysvml"/></Relationships>
</file>

<file path=xl/worksheets/_rels/sheet52.xml.rels><Relationships xmlns="http://schemas.openxmlformats.org/package/2006/relationships"><Relationship Type="http://schemas.openxmlformats.org/officeDocument/2006/relationships/comments" Target="/xl/comments/comment52.xml" Id="comments"/><Relationship Type="http://schemas.openxmlformats.org/officeDocument/2006/relationships/vmlDrawing" Target="/xl/drawings/commentsDrawing52.vml" Id="anysvml"/></Relationships>
</file>

<file path=xl/worksheets/_rels/sheet53.xml.rels><Relationships xmlns="http://schemas.openxmlformats.org/package/2006/relationships"><Relationship Type="http://schemas.openxmlformats.org/officeDocument/2006/relationships/comments" Target="/xl/comments/comment53.xml" Id="comments"/><Relationship Type="http://schemas.openxmlformats.org/officeDocument/2006/relationships/vmlDrawing" Target="/xl/drawings/commentsDrawing53.vml" Id="anysvml"/></Relationships>
</file>

<file path=xl/worksheets/_rels/sheet54.xml.rels><Relationships xmlns="http://schemas.openxmlformats.org/package/2006/relationships"><Relationship Type="http://schemas.openxmlformats.org/officeDocument/2006/relationships/comments" Target="/xl/comments/comment54.xml" Id="comments"/><Relationship Type="http://schemas.openxmlformats.org/officeDocument/2006/relationships/vmlDrawing" Target="/xl/drawings/commentsDrawing54.vml" Id="anysvml"/></Relationships>
</file>

<file path=xl/worksheets/_rels/sheet55.xml.rels><Relationships xmlns="http://schemas.openxmlformats.org/package/2006/relationships"><Relationship Type="http://schemas.openxmlformats.org/officeDocument/2006/relationships/comments" Target="/xl/comments/comment55.xml" Id="comments"/><Relationship Type="http://schemas.openxmlformats.org/officeDocument/2006/relationships/vmlDrawing" Target="/xl/drawings/commentsDrawing55.vml" Id="anysvml"/></Relationships>
</file>

<file path=xl/worksheets/_rels/sheet56.xml.rels><Relationships xmlns="http://schemas.openxmlformats.org/package/2006/relationships"><Relationship Type="http://schemas.openxmlformats.org/officeDocument/2006/relationships/comments" Target="/xl/comments/comment56.xml" Id="comments"/><Relationship Type="http://schemas.openxmlformats.org/officeDocument/2006/relationships/vmlDrawing" Target="/xl/drawings/commentsDrawing56.vml" Id="anysvml"/></Relationships>
</file>

<file path=xl/worksheets/_rels/sheet57.xml.rels><Relationships xmlns="http://schemas.openxmlformats.org/package/2006/relationships"><Relationship Type="http://schemas.openxmlformats.org/officeDocument/2006/relationships/comments" Target="/xl/comments/comment57.xml" Id="comments"/><Relationship Type="http://schemas.openxmlformats.org/officeDocument/2006/relationships/vmlDrawing" Target="/xl/drawings/commentsDrawing57.vml" Id="anysvml"/></Relationships>
</file>

<file path=xl/worksheets/_rels/sheet58.xml.rels><Relationships xmlns="http://schemas.openxmlformats.org/package/2006/relationships"><Relationship Type="http://schemas.openxmlformats.org/officeDocument/2006/relationships/comments" Target="/xl/comments/comment58.xml" Id="comments"/><Relationship Type="http://schemas.openxmlformats.org/officeDocument/2006/relationships/vmlDrawing" Target="/xl/drawings/commentsDrawing58.vml" Id="anysvml"/></Relationships>
</file>

<file path=xl/worksheets/_rels/sheet59.xml.rels><Relationships xmlns="http://schemas.openxmlformats.org/package/2006/relationships"><Relationship Type="http://schemas.openxmlformats.org/officeDocument/2006/relationships/comments" Target="/xl/comments/comment59.xml" Id="comments"/><Relationship Type="http://schemas.openxmlformats.org/officeDocument/2006/relationships/vmlDrawing" Target="/xl/drawings/commentsDrawing59.vml" Id="anysvml"/></Relationships>
</file>

<file path=xl/worksheets/_rels/sheet60.xml.rels><Relationships xmlns="http://schemas.openxmlformats.org/package/2006/relationships"><Relationship Type="http://schemas.openxmlformats.org/officeDocument/2006/relationships/comments" Target="/xl/comments/comment60.xml" Id="comments"/><Relationship Type="http://schemas.openxmlformats.org/officeDocument/2006/relationships/vmlDrawing" Target="/xl/drawings/commentsDrawing60.vml" Id="anysvml"/></Relationships>
</file>

<file path=xl/worksheets/_rels/sheet61.xml.rels><Relationships xmlns="http://schemas.openxmlformats.org/package/2006/relationships"><Relationship Type="http://schemas.openxmlformats.org/officeDocument/2006/relationships/comments" Target="/xl/comments/comment61.xml" Id="comments"/><Relationship Type="http://schemas.openxmlformats.org/officeDocument/2006/relationships/vmlDrawing" Target="/xl/drawings/commentsDrawing61.vml" Id="anysvml"/></Relationships>
</file>

<file path=xl/worksheets/_rels/sheet62.xml.rels><Relationships xmlns="http://schemas.openxmlformats.org/package/2006/relationships"><Relationship Type="http://schemas.openxmlformats.org/officeDocument/2006/relationships/comments" Target="/xl/comments/comment62.xml" Id="comments"/><Relationship Type="http://schemas.openxmlformats.org/officeDocument/2006/relationships/vmlDrawing" Target="/xl/drawings/commentsDrawing62.vml" Id="anysvml"/></Relationships>
</file>

<file path=xl/worksheets/_rels/sheet63.xml.rels><Relationships xmlns="http://schemas.openxmlformats.org/package/2006/relationships"><Relationship Type="http://schemas.openxmlformats.org/officeDocument/2006/relationships/comments" Target="/xl/comments/comment63.xml" Id="comments"/><Relationship Type="http://schemas.openxmlformats.org/officeDocument/2006/relationships/vmlDrawing" Target="/xl/drawings/commentsDrawing63.vml" Id="anysvml"/></Relationships>
</file>

<file path=xl/worksheets/_rels/sheet64.xml.rels><Relationships xmlns="http://schemas.openxmlformats.org/package/2006/relationships"><Relationship Type="http://schemas.openxmlformats.org/officeDocument/2006/relationships/comments" Target="/xl/comments/comment64.xml" Id="comments"/><Relationship Type="http://schemas.openxmlformats.org/officeDocument/2006/relationships/vmlDrawing" Target="/xl/drawings/commentsDrawing64.vml" Id="anysvml"/></Relationships>
</file>

<file path=xl/worksheets/_rels/sheet65.xml.rels><Relationships xmlns="http://schemas.openxmlformats.org/package/2006/relationships"><Relationship Type="http://schemas.openxmlformats.org/officeDocument/2006/relationships/comments" Target="/xl/comments/comment65.xml" Id="comments"/><Relationship Type="http://schemas.openxmlformats.org/officeDocument/2006/relationships/vmlDrawing" Target="/xl/drawings/commentsDrawing65.vml" Id="anysvml"/></Relationships>
</file>

<file path=xl/worksheets/_rels/sheet66.xml.rels><Relationships xmlns="http://schemas.openxmlformats.org/package/2006/relationships"><Relationship Type="http://schemas.openxmlformats.org/officeDocument/2006/relationships/comments" Target="/xl/comments/comment66.xml" Id="comments"/><Relationship Type="http://schemas.openxmlformats.org/officeDocument/2006/relationships/vmlDrawing" Target="/xl/drawings/commentsDrawing66.vml" Id="anysvml"/></Relationships>
</file>

<file path=xl/worksheets/_rels/sheet67.xml.rels><Relationships xmlns="http://schemas.openxmlformats.org/package/2006/relationships"><Relationship Type="http://schemas.openxmlformats.org/officeDocument/2006/relationships/comments" Target="/xl/comments/comment67.xml" Id="comments"/><Relationship Type="http://schemas.openxmlformats.org/officeDocument/2006/relationships/vmlDrawing" Target="/xl/drawings/commentsDrawing67.vml" Id="anysvml"/></Relationships>
</file>

<file path=xl/worksheets/_rels/sheet68.xml.rels><Relationships xmlns="http://schemas.openxmlformats.org/package/2006/relationships"><Relationship Type="http://schemas.openxmlformats.org/officeDocument/2006/relationships/comments" Target="/xl/comments/comment68.xml" Id="comments"/><Relationship Type="http://schemas.openxmlformats.org/officeDocument/2006/relationships/vmlDrawing" Target="/xl/drawings/commentsDrawing68.vml" Id="anysvml"/></Relationships>
</file>

<file path=xl/worksheets/_rels/sheet69.xml.rels><Relationships xmlns="http://schemas.openxmlformats.org/package/2006/relationships"><Relationship Type="http://schemas.openxmlformats.org/officeDocument/2006/relationships/comments" Target="/xl/comments/comment69.xml" Id="comments"/><Relationship Type="http://schemas.openxmlformats.org/officeDocument/2006/relationships/vmlDrawing" Target="/xl/drawings/commentsDrawing69.vml" Id="anysvml"/></Relationships>
</file>

<file path=xl/worksheets/_rels/sheet70.xml.rels><Relationships xmlns="http://schemas.openxmlformats.org/package/2006/relationships"><Relationship Type="http://schemas.openxmlformats.org/officeDocument/2006/relationships/comments" Target="/xl/comments/comment70.xml" Id="comments"/><Relationship Type="http://schemas.openxmlformats.org/officeDocument/2006/relationships/vmlDrawing" Target="/xl/drawings/commentsDrawing70.vml" Id="anysvml"/></Relationships>
</file>

<file path=xl/worksheets/_rels/sheet71.xml.rels><Relationships xmlns="http://schemas.openxmlformats.org/package/2006/relationships"><Relationship Type="http://schemas.openxmlformats.org/officeDocument/2006/relationships/comments" Target="/xl/comments/comment71.xml" Id="comments"/><Relationship Type="http://schemas.openxmlformats.org/officeDocument/2006/relationships/vmlDrawing" Target="/xl/drawings/commentsDrawing71.vml" Id="anysvml"/></Relationships>
</file>

<file path=xl/worksheets/_rels/sheet72.xml.rels><Relationships xmlns="http://schemas.openxmlformats.org/package/2006/relationships"><Relationship Type="http://schemas.openxmlformats.org/officeDocument/2006/relationships/comments" Target="/xl/comments/comment72.xml" Id="comments"/><Relationship Type="http://schemas.openxmlformats.org/officeDocument/2006/relationships/vmlDrawing" Target="/xl/drawings/commentsDrawing72.vml" Id="anysvml"/></Relationships>
</file>

<file path=xl/worksheets/_rels/sheet73.xml.rels><Relationships xmlns="http://schemas.openxmlformats.org/package/2006/relationships"><Relationship Type="http://schemas.openxmlformats.org/officeDocument/2006/relationships/comments" Target="/xl/comments/comment73.xml" Id="comments"/><Relationship Type="http://schemas.openxmlformats.org/officeDocument/2006/relationships/vmlDrawing" Target="/xl/drawings/commentsDrawing73.vml" Id="anysvml"/></Relationships>
</file>

<file path=xl/worksheets/_rels/sheet74.xml.rels><Relationships xmlns="http://schemas.openxmlformats.org/package/2006/relationships"><Relationship Type="http://schemas.openxmlformats.org/officeDocument/2006/relationships/comments" Target="/xl/comments/comment74.xml" Id="comments"/><Relationship Type="http://schemas.openxmlformats.org/officeDocument/2006/relationships/vmlDrawing" Target="/xl/drawings/commentsDrawing74.vml" Id="anysvml"/></Relationships>
</file>

<file path=xl/worksheets/_rels/sheet75.xml.rels><Relationships xmlns="http://schemas.openxmlformats.org/package/2006/relationships"><Relationship Type="http://schemas.openxmlformats.org/officeDocument/2006/relationships/comments" Target="/xl/comments/comment75.xml" Id="comments"/><Relationship Type="http://schemas.openxmlformats.org/officeDocument/2006/relationships/vmlDrawing" Target="/xl/drawings/commentsDrawing75.vml" Id="anysvml"/></Relationships>
</file>

<file path=xl/worksheets/_rels/sheet76.xml.rels><Relationships xmlns="http://schemas.openxmlformats.org/package/2006/relationships"><Relationship Type="http://schemas.openxmlformats.org/officeDocument/2006/relationships/comments" Target="/xl/comments/comment76.xml" Id="comments"/><Relationship Type="http://schemas.openxmlformats.org/officeDocument/2006/relationships/vmlDrawing" Target="/xl/drawings/commentsDrawing76.vml" Id="anysvml"/></Relationships>
</file>

<file path=xl/worksheets/_rels/sheet77.xml.rels><Relationships xmlns="http://schemas.openxmlformats.org/package/2006/relationships"><Relationship Type="http://schemas.openxmlformats.org/officeDocument/2006/relationships/comments" Target="/xl/comments/comment77.xml" Id="comments"/><Relationship Type="http://schemas.openxmlformats.org/officeDocument/2006/relationships/vmlDrawing" Target="/xl/drawings/commentsDrawing77.vml" Id="anysvml"/></Relationships>
</file>

<file path=xl/worksheets/_rels/sheet78.xml.rels><Relationships xmlns="http://schemas.openxmlformats.org/package/2006/relationships"><Relationship Type="http://schemas.openxmlformats.org/officeDocument/2006/relationships/comments" Target="/xl/comments/comment78.xml" Id="comments"/><Relationship Type="http://schemas.openxmlformats.org/officeDocument/2006/relationships/vmlDrawing" Target="/xl/drawings/commentsDrawing78.vml" Id="anysvml"/></Relationships>
</file>

<file path=xl/worksheets/_rels/sheet79.xml.rels><Relationships xmlns="http://schemas.openxmlformats.org/package/2006/relationships"><Relationship Type="http://schemas.openxmlformats.org/officeDocument/2006/relationships/comments" Target="/xl/comments/comment79.xml" Id="comments"/><Relationship Type="http://schemas.openxmlformats.org/officeDocument/2006/relationships/vmlDrawing" Target="/xl/drawings/commentsDrawing79.vml" Id="anysvml"/></Relationships>
</file>

<file path=xl/worksheets/_rels/sheet80.xml.rels><Relationships xmlns="http://schemas.openxmlformats.org/package/2006/relationships"><Relationship Type="http://schemas.openxmlformats.org/officeDocument/2006/relationships/comments" Target="/xl/comments/comment80.xml" Id="comments"/><Relationship Type="http://schemas.openxmlformats.org/officeDocument/2006/relationships/vmlDrawing" Target="/xl/drawings/commentsDrawing80.vml" Id="anysvml"/></Relationships>
</file>

<file path=xl/worksheets/_rels/sheet81.xml.rels><Relationships xmlns="http://schemas.openxmlformats.org/package/2006/relationships"><Relationship Type="http://schemas.openxmlformats.org/officeDocument/2006/relationships/comments" Target="/xl/comments/comment81.xml" Id="comments"/><Relationship Type="http://schemas.openxmlformats.org/officeDocument/2006/relationships/vmlDrawing" Target="/xl/drawings/commentsDrawing81.vml" Id="anysvml"/></Relationships>
</file>

<file path=xl/worksheets/_rels/sheet82.xml.rels><Relationships xmlns="http://schemas.openxmlformats.org/package/2006/relationships"><Relationship Type="http://schemas.openxmlformats.org/officeDocument/2006/relationships/comments" Target="/xl/comments/comment82.xml" Id="comments"/><Relationship Type="http://schemas.openxmlformats.org/officeDocument/2006/relationships/vmlDrawing" Target="/xl/drawings/commentsDrawing82.vml" Id="anysvml"/></Relationships>
</file>

<file path=xl/worksheets/_rels/sheet83.xml.rels><Relationships xmlns="http://schemas.openxmlformats.org/package/2006/relationships"><Relationship Type="http://schemas.openxmlformats.org/officeDocument/2006/relationships/comments" Target="/xl/comments/comment83.xml" Id="comments"/><Relationship Type="http://schemas.openxmlformats.org/officeDocument/2006/relationships/vmlDrawing" Target="/xl/drawings/commentsDrawing83.vml" Id="anysvml"/></Relationships>
</file>

<file path=xl/worksheets/_rels/sheet84.xml.rels><Relationships xmlns="http://schemas.openxmlformats.org/package/2006/relationships"><Relationship Type="http://schemas.openxmlformats.org/officeDocument/2006/relationships/comments" Target="/xl/comments/comment84.xml" Id="comments"/><Relationship Type="http://schemas.openxmlformats.org/officeDocument/2006/relationships/vmlDrawing" Target="/xl/drawings/commentsDrawing84.vml" Id="anysvml"/></Relationships>
</file>

<file path=xl/worksheets/_rels/sheet85.xml.rels><Relationships xmlns="http://schemas.openxmlformats.org/package/2006/relationships"><Relationship Type="http://schemas.openxmlformats.org/officeDocument/2006/relationships/comments" Target="/xl/comments/comment85.xml" Id="comments"/><Relationship Type="http://schemas.openxmlformats.org/officeDocument/2006/relationships/vmlDrawing" Target="/xl/drawings/commentsDrawing85.vml" Id="anysvml"/></Relationships>
</file>

<file path=xl/worksheets/_rels/sheet86.xml.rels><Relationships xmlns="http://schemas.openxmlformats.org/package/2006/relationships"><Relationship Type="http://schemas.openxmlformats.org/officeDocument/2006/relationships/comments" Target="/xl/comments/comment86.xml" Id="comments"/><Relationship Type="http://schemas.openxmlformats.org/officeDocument/2006/relationships/vmlDrawing" Target="/xl/drawings/commentsDrawing86.vml" Id="anysvml"/></Relationships>
</file>

<file path=xl/worksheets/_rels/sheet87.xml.rels><Relationships xmlns="http://schemas.openxmlformats.org/package/2006/relationships"><Relationship Type="http://schemas.openxmlformats.org/officeDocument/2006/relationships/comments" Target="/xl/comments/comment87.xml" Id="comments"/><Relationship Type="http://schemas.openxmlformats.org/officeDocument/2006/relationships/vmlDrawing" Target="/xl/drawings/commentsDrawing87.vml" Id="anysvml"/></Relationships>
</file>

<file path=xl/worksheets/_rels/sheet88.xml.rels><Relationships xmlns="http://schemas.openxmlformats.org/package/2006/relationships"><Relationship Type="http://schemas.openxmlformats.org/officeDocument/2006/relationships/comments" Target="/xl/comments/comment88.xml" Id="comments"/><Relationship Type="http://schemas.openxmlformats.org/officeDocument/2006/relationships/vmlDrawing" Target="/xl/drawings/commentsDrawing88.vml" Id="anysvml"/></Relationships>
</file>

<file path=xl/worksheets/_rels/sheet89.xml.rels><Relationships xmlns="http://schemas.openxmlformats.org/package/2006/relationships"><Relationship Type="http://schemas.openxmlformats.org/officeDocument/2006/relationships/comments" Target="/xl/comments/comment89.xml" Id="comments"/><Relationship Type="http://schemas.openxmlformats.org/officeDocument/2006/relationships/vmlDrawing" Target="/xl/drawings/commentsDrawing89.vml" Id="anysvml"/></Relationships>
</file>

<file path=xl/worksheets/_rels/sheet90.xml.rels><Relationships xmlns="http://schemas.openxmlformats.org/package/2006/relationships"><Relationship Type="http://schemas.openxmlformats.org/officeDocument/2006/relationships/comments" Target="/xl/comments/comment90.xml" Id="comments"/><Relationship Type="http://schemas.openxmlformats.org/officeDocument/2006/relationships/vmlDrawing" Target="/xl/drawings/commentsDrawing90.vml" Id="anysvml"/></Relationships>
</file>

<file path=xl/worksheets/_rels/sheet91.xml.rels><Relationships xmlns="http://schemas.openxmlformats.org/package/2006/relationships"><Relationship Type="http://schemas.openxmlformats.org/officeDocument/2006/relationships/comments" Target="/xl/comments/comment91.xml" Id="comments"/><Relationship Type="http://schemas.openxmlformats.org/officeDocument/2006/relationships/vmlDrawing" Target="/xl/drawings/commentsDrawing91.vml" Id="anysvml"/></Relationships>
</file>

<file path=xl/worksheets/_rels/sheet92.xml.rels><Relationships xmlns="http://schemas.openxmlformats.org/package/2006/relationships"><Relationship Type="http://schemas.openxmlformats.org/officeDocument/2006/relationships/comments" Target="/xl/comments/comment92.xml" Id="comments"/><Relationship Type="http://schemas.openxmlformats.org/officeDocument/2006/relationships/vmlDrawing" Target="/xl/drawings/commentsDrawing92.vml" Id="anysvml"/></Relationships>
</file>

<file path=xl/worksheets/_rels/sheet93.xml.rels><Relationships xmlns="http://schemas.openxmlformats.org/package/2006/relationships"><Relationship Type="http://schemas.openxmlformats.org/officeDocument/2006/relationships/comments" Target="/xl/comments/comment93.xml" Id="comments"/><Relationship Type="http://schemas.openxmlformats.org/officeDocument/2006/relationships/vmlDrawing" Target="/xl/drawings/commentsDrawing93.vml" Id="anysvml"/></Relationships>
</file>

<file path=xl/worksheets/_rels/sheet94.xml.rels><Relationships xmlns="http://schemas.openxmlformats.org/package/2006/relationships"><Relationship Type="http://schemas.openxmlformats.org/officeDocument/2006/relationships/comments" Target="/xl/comments/comment94.xml" Id="comments"/><Relationship Type="http://schemas.openxmlformats.org/officeDocument/2006/relationships/vmlDrawing" Target="/xl/drawings/commentsDrawing94.vml" Id="anysvml"/></Relationships>
</file>

<file path=xl/worksheets/_rels/sheet95.xml.rels><Relationships xmlns="http://schemas.openxmlformats.org/package/2006/relationships"><Relationship Type="http://schemas.openxmlformats.org/officeDocument/2006/relationships/comments" Target="/xl/comments/comment95.xml" Id="comments"/><Relationship Type="http://schemas.openxmlformats.org/officeDocument/2006/relationships/vmlDrawing" Target="/xl/drawings/commentsDrawing95.vml" Id="anysvml"/></Relationships>
</file>

<file path=xl/worksheets/_rels/sheet96.xml.rels><Relationships xmlns="http://schemas.openxmlformats.org/package/2006/relationships"><Relationship Type="http://schemas.openxmlformats.org/officeDocument/2006/relationships/comments" Target="/xl/comments/comment96.xml" Id="comments"/><Relationship Type="http://schemas.openxmlformats.org/officeDocument/2006/relationships/vmlDrawing" Target="/xl/drawings/commentsDrawing96.vml" Id="anysvml"/></Relationships>
</file>

<file path=xl/worksheets/_rels/sheet97.xml.rels><Relationships xmlns="http://schemas.openxmlformats.org/package/2006/relationships"><Relationship Type="http://schemas.openxmlformats.org/officeDocument/2006/relationships/comments" Target="/xl/comments/comment97.xml" Id="comments"/><Relationship Type="http://schemas.openxmlformats.org/officeDocument/2006/relationships/vmlDrawing" Target="/xl/drawings/commentsDrawing97.vml" Id="anysvml"/></Relationships>
</file>

<file path=xl/worksheets/_rels/sheet98.xml.rels><Relationships xmlns="http://schemas.openxmlformats.org/package/2006/relationships"><Relationship Type="http://schemas.openxmlformats.org/officeDocument/2006/relationships/comments" Target="/xl/comments/comment98.xml" Id="comments"/><Relationship Type="http://schemas.openxmlformats.org/officeDocument/2006/relationships/vmlDrawing" Target="/xl/drawings/commentsDrawing98.vml" Id="anysvml"/></Relationships>
</file>

<file path=xl/worksheets/_rels/sheet99.xml.rels><Relationships xmlns="http://schemas.openxmlformats.org/package/2006/relationships"><Relationship Type="http://schemas.openxmlformats.org/officeDocument/2006/relationships/comments" Target="/xl/comments/comment99.xml" Id="comments"/><Relationship Type="http://schemas.openxmlformats.org/officeDocument/2006/relationships/vmlDrawing" Target="/xl/drawings/commentsDrawing99.vml" Id="anysvml"/></Relationships>
</file>

<file path=xl/worksheets/_rels/sheet100.xml.rels><Relationships xmlns="http://schemas.openxmlformats.org/package/2006/relationships"><Relationship Type="http://schemas.openxmlformats.org/officeDocument/2006/relationships/comments" Target="/xl/comments/comment100.xml" Id="comments"/><Relationship Type="http://schemas.openxmlformats.org/officeDocument/2006/relationships/vmlDrawing" Target="/xl/drawings/commentsDrawing100.vml" Id="anysvml"/></Relationships>
</file>

<file path=xl/worksheets/_rels/sheet101.xml.rels><Relationships xmlns="http://schemas.openxmlformats.org/package/2006/relationships"><Relationship Type="http://schemas.openxmlformats.org/officeDocument/2006/relationships/comments" Target="/xl/comments/comment101.xml" Id="comments"/><Relationship Type="http://schemas.openxmlformats.org/officeDocument/2006/relationships/vmlDrawing" Target="/xl/drawings/commentsDrawing101.vml" Id="anysvml"/></Relationships>
</file>

<file path=xl/worksheets/_rels/sheet102.xml.rels><Relationships xmlns="http://schemas.openxmlformats.org/package/2006/relationships"><Relationship Type="http://schemas.openxmlformats.org/officeDocument/2006/relationships/comments" Target="/xl/comments/comment102.xml" Id="comments"/><Relationship Type="http://schemas.openxmlformats.org/officeDocument/2006/relationships/vmlDrawing" Target="/xl/drawings/commentsDrawing102.vml" Id="anysvml"/></Relationships>
</file>

<file path=xl/worksheets/_rels/sheet103.xml.rels><Relationships xmlns="http://schemas.openxmlformats.org/package/2006/relationships"><Relationship Type="http://schemas.openxmlformats.org/officeDocument/2006/relationships/comments" Target="/xl/comments/comment103.xml" Id="comments"/><Relationship Type="http://schemas.openxmlformats.org/officeDocument/2006/relationships/vmlDrawing" Target="/xl/drawings/commentsDrawing103.vml" Id="anysvml"/></Relationships>
</file>

<file path=xl/worksheets/_rels/sheet104.xml.rels><Relationships xmlns="http://schemas.openxmlformats.org/package/2006/relationships"><Relationship Type="http://schemas.openxmlformats.org/officeDocument/2006/relationships/comments" Target="/xl/comments/comment104.xml" Id="comments"/><Relationship Type="http://schemas.openxmlformats.org/officeDocument/2006/relationships/vmlDrawing" Target="/xl/drawings/commentsDrawing104.vml" Id="anysvml"/></Relationships>
</file>

<file path=xl/worksheets/_rels/sheet105.xml.rels><Relationships xmlns="http://schemas.openxmlformats.org/package/2006/relationships"><Relationship Type="http://schemas.openxmlformats.org/officeDocument/2006/relationships/comments" Target="/xl/comments/comment105.xml" Id="comments"/><Relationship Type="http://schemas.openxmlformats.org/officeDocument/2006/relationships/vmlDrawing" Target="/xl/drawings/commentsDrawing105.vml" Id="anysvml"/></Relationships>
</file>

<file path=xl/worksheets/_rels/sheet106.xml.rels><Relationships xmlns="http://schemas.openxmlformats.org/package/2006/relationships"><Relationship Type="http://schemas.openxmlformats.org/officeDocument/2006/relationships/comments" Target="/xl/comments/comment106.xml" Id="comments"/><Relationship Type="http://schemas.openxmlformats.org/officeDocument/2006/relationships/vmlDrawing" Target="/xl/drawings/commentsDrawing106.vml" Id="anysvml"/></Relationships>
</file>

<file path=xl/worksheets/_rels/sheet107.xml.rels><Relationships xmlns="http://schemas.openxmlformats.org/package/2006/relationships"><Relationship Type="http://schemas.openxmlformats.org/officeDocument/2006/relationships/comments" Target="/xl/comments/comment107.xml" Id="comments"/><Relationship Type="http://schemas.openxmlformats.org/officeDocument/2006/relationships/vmlDrawing" Target="/xl/drawings/commentsDrawing107.vml" Id="anysvml"/></Relationships>
</file>

<file path=xl/worksheets/_rels/sheet108.xml.rels><Relationships xmlns="http://schemas.openxmlformats.org/package/2006/relationships"><Relationship Type="http://schemas.openxmlformats.org/officeDocument/2006/relationships/comments" Target="/xl/comments/comment108.xml" Id="comments"/><Relationship Type="http://schemas.openxmlformats.org/officeDocument/2006/relationships/vmlDrawing" Target="/xl/drawings/commentsDrawing108.vml" Id="anysvml"/></Relationships>
</file>

<file path=xl/worksheets/sheet1.xml><?xml version="1.0" encoding="utf-8"?>
<worksheet xmlns="http://schemas.openxmlformats.org/spreadsheetml/2006/main">
  <sheetPr codeName="Sheet1">
    <outlinePr summaryBelow="1" summaryRight="1"/>
    <pageSetUpPr/>
  </sheetPr>
  <dimension ref="A1:N35"/>
  <sheetViews>
    <sheetView zoomScale="79" zoomScaleNormal="79" workbookViewId="0">
      <selection activeCell="M32" sqref="M32"/>
    </sheetView>
  </sheetViews>
  <sheetFormatPr baseColWidth="8" defaultColWidth="10.875" defaultRowHeight="15.95"/>
  <cols>
    <col width="27" bestFit="1" customWidth="1" style="6" min="1" max="1"/>
    <col width="21.5" customWidth="1" style="6" min="2" max="14"/>
    <col width="10.875" customWidth="1" style="6" min="15" max="16384"/>
  </cols>
  <sheetData>
    <row r="1">
      <c r="A1" s="17" t="inlineStr">
        <is>
          <t>MW</t>
        </is>
      </c>
      <c r="B1" s="17" t="inlineStr">
        <is>
          <t>MW</t>
        </is>
      </c>
      <c r="C1" s="18" t="inlineStr">
        <is>
          <t>TZ</t>
        </is>
      </c>
      <c r="D1" s="18" t="inlineStr">
        <is>
          <t>TZ</t>
        </is>
      </c>
      <c r="E1" s="17" t="inlineStr">
        <is>
          <t>FPT</t>
        </is>
      </c>
      <c r="F1" s="17" t="inlineStr">
        <is>
          <t>FPT</t>
        </is>
      </c>
      <c r="G1" s="17" t="inlineStr">
        <is>
          <t>CPS</t>
        </is>
      </c>
      <c r="H1" s="17" t="inlineStr">
        <is>
          <t>CPS</t>
        </is>
      </c>
      <c r="I1" s="17" t="inlineStr">
        <is>
          <t>Hoàng Hà</t>
        </is>
      </c>
      <c r="J1" s="17" t="inlineStr">
        <is>
          <t>Hoàng Hà</t>
        </is>
      </c>
      <c r="K1" s="17" t="inlineStr">
        <is>
          <t>SD</t>
        </is>
      </c>
      <c r="L1" s="17" t="inlineStr">
        <is>
          <t>SD</t>
        </is>
      </c>
      <c r="M1" s="17" t="inlineStr">
        <is>
          <t>Viettel</t>
        </is>
      </c>
      <c r="N1" s="17" t="inlineStr">
        <is>
          <t>Viettel</t>
        </is>
      </c>
    </row>
    <row r="2">
      <c r="A2" s="9" t="inlineStr">
        <is>
          <t>iPhone 15 128Gb</t>
        </is>
      </c>
      <c r="B2" s="1" t="n">
        <v>19490000</v>
      </c>
      <c r="C2" s="19" t="inlineStr">
        <is>
          <t>iPhone 15 128Gb</t>
        </is>
      </c>
      <c r="D2" s="10" t="n">
        <v>19196000</v>
      </c>
      <c r="E2" s="7" t="inlineStr">
        <is>
          <t>iPhone 15 128Gb</t>
        </is>
      </c>
      <c r="F2" s="3" t="n">
        <v>19290000</v>
      </c>
      <c r="G2" s="7" t="inlineStr">
        <is>
          <t>iPhone 15 128 GB</t>
        </is>
      </c>
      <c r="H2" s="3" t="n">
        <v>19290000</v>
      </c>
      <c r="I2" s="7" t="inlineStr">
        <is>
          <t>iPhone 15  128Gb</t>
        </is>
      </c>
      <c r="J2" s="4" t="n">
        <v>18790000</v>
      </c>
      <c r="K2" s="7" t="inlineStr">
        <is>
          <t>iPhone 15 128Gb</t>
        </is>
      </c>
      <c r="L2" s="4" t="n">
        <v>18840000</v>
      </c>
      <c r="M2" s="9" t="inlineStr">
        <is>
          <t>iPhone 15 128 Gb</t>
        </is>
      </c>
      <c r="N2" s="4" t="n">
        <v>18990000</v>
      </c>
    </row>
    <row r="3">
      <c r="A3" s="9" t="inlineStr">
        <is>
          <t xml:space="preserve">iPhone 15 Plus 128Gb </t>
        </is>
      </c>
      <c r="B3" s="1" t="n">
        <v>22790000</v>
      </c>
      <c r="C3" s="19" t="inlineStr">
        <is>
          <t>iPhone 15 Plus 128Gb</t>
        </is>
      </c>
      <c r="D3" s="10" t="n">
        <v>22590000</v>
      </c>
      <c r="E3" s="7" t="inlineStr">
        <is>
          <t>iPhone 15 Plus  128Gb</t>
        </is>
      </c>
      <c r="F3" s="3" t="n">
        <v>21790000</v>
      </c>
      <c r="G3" s="7" t="inlineStr">
        <is>
          <t>iPhone 15 Plus 128 GB</t>
        </is>
      </c>
      <c r="H3" s="3" t="n">
        <v>22290000</v>
      </c>
      <c r="I3" s="7" t="inlineStr">
        <is>
          <t>iPhone 15  Plus 128Gb</t>
        </is>
      </c>
      <c r="J3" s="4" t="n">
        <v>21890000</v>
      </c>
      <c r="K3" s="7" t="inlineStr">
        <is>
          <t>iPhone 15 Plus 128Gb</t>
        </is>
      </c>
      <c r="L3" s="4" t="n">
        <v>21940000</v>
      </c>
      <c r="M3" s="9" t="inlineStr">
        <is>
          <t>iPhone 15 Plus 128 Gb</t>
        </is>
      </c>
      <c r="N3" s="4" t="n">
        <v>21990000</v>
      </c>
    </row>
    <row r="4">
      <c r="A4" s="9" t="inlineStr">
        <is>
          <t>iPhone 15  Pro 128Gb</t>
        </is>
      </c>
      <c r="B4" s="1" t="n">
        <v>25490000</v>
      </c>
      <c r="C4" s="19" t="inlineStr">
        <is>
          <t>iPhone 15 Pro 128Gb</t>
        </is>
      </c>
      <c r="D4" s="10" t="n">
        <v>24690000</v>
      </c>
      <c r="E4" s="7" t="inlineStr">
        <is>
          <t>iPhone 15 Pro 128Gb</t>
        </is>
      </c>
      <c r="F4" s="3" t="n">
        <v>24790000</v>
      </c>
      <c r="G4" s="7" t="inlineStr">
        <is>
          <t>iPhone 15 Pro 128 GB</t>
        </is>
      </c>
      <c r="H4" s="3" t="n">
        <v>24590000</v>
      </c>
      <c r="I4" s="7" t="inlineStr">
        <is>
          <t>iPhone 15 Pro  128Gb</t>
        </is>
      </c>
      <c r="J4" s="3" t="n">
        <v>23890000</v>
      </c>
      <c r="K4" s="7" t="inlineStr">
        <is>
          <t>iPhone 15 Pro 128Gb</t>
        </is>
      </c>
      <c r="L4" s="3" t="n">
        <v>24590000</v>
      </c>
      <c r="M4" s="9" t="inlineStr">
        <is>
          <t>iPhone 15 Pro 128 Gb</t>
        </is>
      </c>
      <c r="N4" s="4" t="n">
        <v>23990000</v>
      </c>
    </row>
    <row r="5" ht="27.95" customHeight="1" s="35">
      <c r="A5" s="9" t="inlineStr">
        <is>
          <t>iPhone 15 Pro Max 1256Gb</t>
        </is>
      </c>
      <c r="B5" s="2" t="n">
        <v>29990000</v>
      </c>
      <c r="C5" s="19" t="inlineStr">
        <is>
          <t>iPhone 15 Pro Max 256Gb</t>
        </is>
      </c>
      <c r="D5" s="10" t="n">
        <v>29190000</v>
      </c>
      <c r="E5" s="7" t="inlineStr">
        <is>
          <t>iPhone 15 Pro Max  256Gb</t>
        </is>
      </c>
      <c r="F5" s="3" t="n">
        <v>29290000</v>
      </c>
      <c r="G5" s="7" t="inlineStr">
        <is>
          <t>iPhone 15 Pro Max 256 GB</t>
        </is>
      </c>
      <c r="H5" s="3" t="n">
        <v>29090000</v>
      </c>
      <c r="I5" s="7" t="inlineStr">
        <is>
          <t>iPhone 15 Pro Max 128Gb</t>
        </is>
      </c>
      <c r="J5" s="3" t="n">
        <v>28690000</v>
      </c>
      <c r="K5" s="7" t="inlineStr">
        <is>
          <t>iPhone 15 Pro Max  256Gb</t>
        </is>
      </c>
      <c r="L5" s="3" t="n">
        <v>28790000</v>
      </c>
      <c r="M5" s="9" t="inlineStr">
        <is>
          <t>iPhone 15 Pro Max 256 Gb</t>
        </is>
      </c>
      <c r="N5" s="4" t="n">
        <v>28990000</v>
      </c>
    </row>
    <row r="6" ht="27.95" customHeight="1" s="35">
      <c r="A6" s="9" t="inlineStr">
        <is>
          <t>iPhone 14 128 Gb</t>
        </is>
      </c>
      <c r="B6" s="1" t="n">
        <v>16790000</v>
      </c>
      <c r="C6" s="19" t="inlineStr">
        <is>
          <t>iPhone 14 Pro Max 128GB</t>
        </is>
      </c>
      <c r="D6" s="11" t="n">
        <v>27190000</v>
      </c>
      <c r="E6" s="7" t="inlineStr">
        <is>
          <t>iPhone 14 Pro Max 128Gb</t>
        </is>
      </c>
      <c r="F6" s="4" t="inlineStr">
        <is>
          <t>OOS</t>
        </is>
      </c>
      <c r="G6" s="7" t="inlineStr">
        <is>
          <t>iPhone 14 128 GB</t>
        </is>
      </c>
      <c r="H6" s="4" t="n">
        <v>16990000</v>
      </c>
      <c r="I6" s="7" t="inlineStr">
        <is>
          <t>iPhone 14 Pro Max 128Gb</t>
        </is>
      </c>
      <c r="J6" s="4" t="inlineStr">
        <is>
          <t>N/A</t>
        </is>
      </c>
      <c r="K6" s="7" t="inlineStr">
        <is>
          <t>iPhone 14 Pro Max 128Gb</t>
        </is>
      </c>
      <c r="L6" s="4" t="n">
        <v>26550000</v>
      </c>
      <c r="M6" s="9" t="inlineStr">
        <is>
          <t>iPhone 14 128 Gb</t>
        </is>
      </c>
      <c r="N6" s="4" t="n">
        <v>16840000</v>
      </c>
    </row>
    <row r="7">
      <c r="A7" s="9" t="inlineStr">
        <is>
          <t>iPhone 14 Pro Max 128Gb</t>
        </is>
      </c>
      <c r="B7" s="2" t="n">
        <v>27390000</v>
      </c>
      <c r="C7" s="19" t="inlineStr">
        <is>
          <t>iPhone 14 Plus 128GB</t>
        </is>
      </c>
      <c r="D7" s="10" t="n">
        <v>19691000</v>
      </c>
      <c r="E7" s="7" t="inlineStr">
        <is>
          <t>iPhone 14 Pro 128Gb</t>
        </is>
      </c>
      <c r="F7" s="4" t="inlineStr">
        <is>
          <t>OOS</t>
        </is>
      </c>
      <c r="G7" s="7" t="inlineStr">
        <is>
          <t>iPhone 14 Plus 128GB</t>
        </is>
      </c>
      <c r="H7" s="4" t="n">
        <v>19390000</v>
      </c>
      <c r="I7" s="7" t="inlineStr">
        <is>
          <t>iPhone 14 Plus 128Gb</t>
        </is>
      </c>
      <c r="J7" s="4" t="n">
        <v>19690000</v>
      </c>
      <c r="K7" s="7" t="inlineStr">
        <is>
          <t>iPhone 14 Pro 128Gb</t>
        </is>
      </c>
      <c r="L7" s="4" t="n">
        <v>23890000</v>
      </c>
      <c r="M7" s="9" t="inlineStr">
        <is>
          <t>iPhone 14 Plus 128Gb</t>
        </is>
      </c>
      <c r="N7" s="4" t="n">
        <v>19990000</v>
      </c>
    </row>
    <row r="8">
      <c r="A8" s="9" t="inlineStr">
        <is>
          <t>iPhone 13  128GB</t>
        </is>
      </c>
      <c r="B8" s="1" t="n">
        <v>13990000</v>
      </c>
      <c r="C8" s="19" t="inlineStr">
        <is>
          <t>iPhone 14  128GB</t>
        </is>
      </c>
      <c r="D8" s="10" t="n">
        <v>16622000</v>
      </c>
      <c r="E8" s="7" t="inlineStr">
        <is>
          <t>iPhone 14 Plus 128Gb</t>
        </is>
      </c>
      <c r="F8" s="3" t="n">
        <v>19690000</v>
      </c>
      <c r="G8" s="7" t="inlineStr">
        <is>
          <t>iPhone 14 Pro 128GB</t>
        </is>
      </c>
      <c r="H8" s="3" t="inlineStr">
        <is>
          <t>OOS</t>
        </is>
      </c>
      <c r="I8" s="7" t="inlineStr">
        <is>
          <t>iPhone 14 128GB</t>
        </is>
      </c>
      <c r="J8" s="4" t="n">
        <v>16990000</v>
      </c>
      <c r="K8" s="7" t="inlineStr">
        <is>
          <t>iPhone 14 Plus 128Gb</t>
        </is>
      </c>
      <c r="L8" s="4" t="n">
        <v>19690000</v>
      </c>
      <c r="M8" s="9" t="inlineStr">
        <is>
          <t>iPhone 14 Pro Max 256Gb</t>
        </is>
      </c>
      <c r="N8" s="4" t="inlineStr">
        <is>
          <t>N/A</t>
        </is>
      </c>
    </row>
    <row r="9" ht="27.95" customHeight="1" s="35">
      <c r="A9" s="9" t="inlineStr">
        <is>
          <t>iPhone 12 64GB</t>
        </is>
      </c>
      <c r="B9" s="1" t="n">
        <v>11990000</v>
      </c>
      <c r="C9" s="19" t="inlineStr">
        <is>
          <t>iPhone 13  128GB</t>
        </is>
      </c>
      <c r="D9" s="10" t="n">
        <v>13652000</v>
      </c>
      <c r="E9" s="7" t="inlineStr">
        <is>
          <t>iPhone 14 128Gb</t>
        </is>
      </c>
      <c r="F9" s="3" t="n">
        <v>16690000</v>
      </c>
      <c r="G9" s="7" t="inlineStr">
        <is>
          <t>iPhone 14 Pro Max 128GB</t>
        </is>
      </c>
      <c r="H9" s="3" t="n">
        <v>25590000</v>
      </c>
      <c r="I9" s="7" t="inlineStr">
        <is>
          <t>iPhone 13  128GB</t>
        </is>
      </c>
      <c r="J9" s="4" t="n">
        <v>13390000</v>
      </c>
      <c r="K9" s="7" t="inlineStr">
        <is>
          <t>iPhone 14 128</t>
        </is>
      </c>
      <c r="L9" s="4" t="n">
        <v>16990000</v>
      </c>
      <c r="M9" s="9" t="inlineStr">
        <is>
          <t>iPhone 13 128GB</t>
        </is>
      </c>
      <c r="N9" s="3" t="n">
        <v>13190000</v>
      </c>
    </row>
    <row r="10">
      <c r="A10" s="9" t="inlineStr">
        <is>
          <t>iPhone 11 64GB</t>
        </is>
      </c>
      <c r="B10" s="2" t="n">
        <v>8990000</v>
      </c>
      <c r="C10" s="19" t="inlineStr">
        <is>
          <t>iPhone 12 64GB</t>
        </is>
      </c>
      <c r="D10" s="10" t="n">
        <v>11870000</v>
      </c>
      <c r="E10" s="7" t="inlineStr">
        <is>
          <t>iPhone 13  128GB</t>
        </is>
      </c>
      <c r="F10" s="3" t="n">
        <v>13690000</v>
      </c>
      <c r="G10" s="7" t="inlineStr">
        <is>
          <t>iPhone 13  128GB</t>
        </is>
      </c>
      <c r="H10" s="3" t="n">
        <v>13590000</v>
      </c>
      <c r="I10" s="7" t="inlineStr">
        <is>
          <t>iPhone 12 64GB</t>
        </is>
      </c>
      <c r="J10" s="4" t="n">
        <v>11990000</v>
      </c>
      <c r="K10" s="7" t="inlineStr">
        <is>
          <t>iPhone 13  128GB</t>
        </is>
      </c>
      <c r="L10" s="4" t="n">
        <v>13390000</v>
      </c>
      <c r="M10" s="9" t="inlineStr">
        <is>
          <t>iPhone 12  64GB</t>
        </is>
      </c>
      <c r="N10" s="4" t="n">
        <v>11990000</v>
      </c>
    </row>
    <row r="11">
      <c r="A11" s="9" t="inlineStr">
        <is>
          <t>MacBook Air M3 13' 256Gb</t>
        </is>
      </c>
      <c r="B11" s="2" t="n">
        <v>27990000</v>
      </c>
      <c r="C11" s="19" t="inlineStr">
        <is>
          <t>iPhone 11 64GB</t>
        </is>
      </c>
      <c r="D11" s="11" t="n">
        <v>8900000</v>
      </c>
      <c r="E11" s="7" t="inlineStr">
        <is>
          <t>iPhone 12 64GB</t>
        </is>
      </c>
      <c r="F11" s="3" t="n">
        <v>11890000</v>
      </c>
      <c r="G11" s="7" t="inlineStr">
        <is>
          <t>iPhone 12  64GB</t>
        </is>
      </c>
      <c r="H11" s="3" t="n">
        <v>11790000</v>
      </c>
      <c r="I11" s="7" t="inlineStr">
        <is>
          <t>iPhone 11 64GB</t>
        </is>
      </c>
      <c r="J11" s="4" t="n">
        <v>8790000</v>
      </c>
      <c r="K11" s="7" t="inlineStr">
        <is>
          <t>iPhone 12 64GB</t>
        </is>
      </c>
      <c r="L11" s="4" t="n">
        <v>12290000</v>
      </c>
      <c r="M11" s="9" t="inlineStr">
        <is>
          <t>iPhone 11 64GB</t>
        </is>
      </c>
      <c r="N11" s="4" t="n">
        <v>8790000</v>
      </c>
    </row>
    <row r="12" ht="27.95" customHeight="1" s="35">
      <c r="A12" s="9" t="inlineStr">
        <is>
          <t>MacBook Air M3 15' 256Gb</t>
        </is>
      </c>
      <c r="B12" s="1" t="n">
        <v>32690000</v>
      </c>
      <c r="C12" s="19" t="inlineStr">
        <is>
          <t>MacBook Air M3 13' 256Gb</t>
        </is>
      </c>
      <c r="D12" s="11" t="n">
        <v>27790000</v>
      </c>
      <c r="E12" s="7" t="inlineStr">
        <is>
          <t>iPhone 11 64GB</t>
        </is>
      </c>
      <c r="F12" s="3" t="n">
        <v>8940000</v>
      </c>
      <c r="G12" s="7" t="inlineStr">
        <is>
          <t>iPhone 11 64GB</t>
        </is>
      </c>
      <c r="H12" s="4" t="n">
        <v>8790000</v>
      </c>
      <c r="I12" s="7" t="inlineStr">
        <is>
          <t>MacBook Air M3 13' 256Gb</t>
        </is>
      </c>
      <c r="J12" s="4" t="n">
        <v>26890000</v>
      </c>
      <c r="K12" s="7" t="inlineStr">
        <is>
          <t>iPhone 11 64GB</t>
        </is>
      </c>
      <c r="L12" s="4" t="n">
        <v>8790000</v>
      </c>
      <c r="M12" s="9" t="inlineStr">
        <is>
          <t>iPad Pro M2 (Wi-fi 11” 128GB)</t>
        </is>
      </c>
      <c r="N12" s="4" t="n">
        <v>19990000</v>
      </c>
    </row>
    <row r="13" ht="27.95" customHeight="1" s="35">
      <c r="A13" s="9" t="inlineStr">
        <is>
          <t xml:space="preserve">MacBook Pro  M3 14' </t>
        </is>
      </c>
      <c r="B13" s="1" t="n">
        <v>38690000</v>
      </c>
      <c r="C13" s="19" t="inlineStr">
        <is>
          <t>MacBook Air M3 15' 256Gb</t>
        </is>
      </c>
      <c r="D13" s="10" t="n">
        <v>32490000</v>
      </c>
      <c r="E13" s="7" t="inlineStr">
        <is>
          <t>MacBook Air M3 13' 256Gb</t>
        </is>
      </c>
      <c r="F13" s="5" t="n">
        <v>27890000</v>
      </c>
      <c r="G13" s="7" t="inlineStr">
        <is>
          <t>MacBook Air M3 13' 256Gb</t>
        </is>
      </c>
      <c r="H13" s="4" t="n">
        <v>27990000</v>
      </c>
      <c r="I13" s="7" t="inlineStr">
        <is>
          <t>MacBook Air M3 15' 256Gb</t>
        </is>
      </c>
      <c r="J13" s="4" t="n">
        <v>32990000</v>
      </c>
      <c r="K13" s="7" t="inlineStr">
        <is>
          <t>MacBook Air M3 13' 256Gb</t>
        </is>
      </c>
      <c r="L13" s="3" t="n">
        <v>27350000</v>
      </c>
      <c r="M13" s="9" t="inlineStr">
        <is>
          <t>iPad Air 5 (Wi-fi 64GB)</t>
        </is>
      </c>
      <c r="N13" s="4" t="n">
        <v>13990000</v>
      </c>
    </row>
    <row r="14" ht="27.95" customHeight="1" s="35">
      <c r="A14" s="9" t="inlineStr">
        <is>
          <t>MacBook Pro  M3 Max 14'</t>
        </is>
      </c>
      <c r="B14" s="2" t="n">
        <v>79490000</v>
      </c>
      <c r="C14" s="19" t="inlineStr">
        <is>
          <t xml:space="preserve">MacBook Pro  M3 14' </t>
        </is>
      </c>
      <c r="D14" s="10" t="n">
        <v>38790000</v>
      </c>
      <c r="E14" s="7" t="inlineStr">
        <is>
          <t>MacBook Air M3 15' 256Gb</t>
        </is>
      </c>
      <c r="F14" s="4" t="inlineStr">
        <is>
          <t>OOS</t>
        </is>
      </c>
      <c r="G14" s="7" t="inlineStr">
        <is>
          <t>MacBook Air M3 15' 256Gb</t>
        </is>
      </c>
      <c r="H14" s="3" t="n">
        <v>32490000</v>
      </c>
      <c r="I14" s="7" t="inlineStr">
        <is>
          <t xml:space="preserve">MacBook Pro  M3 14' </t>
        </is>
      </c>
      <c r="J14" s="4" t="n">
        <v>37490000</v>
      </c>
      <c r="K14" s="7" t="inlineStr">
        <is>
          <t>MacBook Air M3 15' 256Gb</t>
        </is>
      </c>
      <c r="L14" s="3" t="n">
        <v>32450000</v>
      </c>
      <c r="M14" s="9" t="inlineStr">
        <is>
          <t>iPad Mini 6 (Wi-fi 64GB)</t>
        </is>
      </c>
      <c r="N14" s="4" t="inlineStr">
        <is>
          <t>12,190,000</t>
        </is>
      </c>
    </row>
    <row r="15" ht="27.95" customHeight="1" s="35">
      <c r="A15" s="9" t="inlineStr">
        <is>
          <t>MacBook Air M1</t>
        </is>
      </c>
      <c r="B15" s="1" t="n">
        <v>18690000</v>
      </c>
      <c r="C15" s="19" t="inlineStr">
        <is>
          <t>MacBook Pro  M3 Max 14'</t>
        </is>
      </c>
      <c r="D15" s="11" t="n">
        <v>79290000</v>
      </c>
      <c r="E15" s="7" t="inlineStr">
        <is>
          <t xml:space="preserve">MacBook Pro  M3 14' </t>
        </is>
      </c>
      <c r="F15" s="4" t="inlineStr">
        <is>
          <t>OOS</t>
        </is>
      </c>
      <c r="G15" s="7" t="inlineStr">
        <is>
          <t xml:space="preserve">MacBook Pro  M3 14' </t>
        </is>
      </c>
      <c r="H15" s="3" t="n">
        <v>37690000</v>
      </c>
      <c r="I15" s="7" t="inlineStr">
        <is>
          <t>MacBook Pro  M3 Max 14'</t>
        </is>
      </c>
      <c r="J15" s="4" t="inlineStr">
        <is>
          <t>N/A</t>
        </is>
      </c>
      <c r="K15" s="7" t="inlineStr">
        <is>
          <t xml:space="preserve">MacBook Pro  M3 14' </t>
        </is>
      </c>
      <c r="L15" s="4" t="n">
        <v>37490000</v>
      </c>
      <c r="M15" s="9" t="inlineStr">
        <is>
          <t>iPad 10th  (Wi-fi 64GB)</t>
        </is>
      </c>
      <c r="N15" s="3" t="n">
        <v>9890000</v>
      </c>
    </row>
    <row r="16" ht="27.95" customHeight="1" s="35">
      <c r="A16" s="9" t="inlineStr">
        <is>
          <t>MacBook Air M2</t>
        </is>
      </c>
      <c r="B16" s="2" t="n">
        <v>24990000</v>
      </c>
      <c r="C16" s="19" t="inlineStr">
        <is>
          <t>MacBook Air M1</t>
        </is>
      </c>
      <c r="D16" s="11" t="n">
        <v>18305000</v>
      </c>
      <c r="E16" s="7" t="inlineStr">
        <is>
          <t>MacBook Pro  M3 Max 14'</t>
        </is>
      </c>
      <c r="F16" s="5" t="n">
        <v>79190000</v>
      </c>
      <c r="G16" s="7" t="inlineStr">
        <is>
          <t>MacBook Pro  M3 Max 14'</t>
        </is>
      </c>
      <c r="H16" s="4" t="n">
        <v>77990000</v>
      </c>
      <c r="I16" s="7" t="inlineStr">
        <is>
          <t>MacBook Air M1</t>
        </is>
      </c>
      <c r="J16" s="4" t="n">
        <v>18290000</v>
      </c>
      <c r="K16" s="7" t="inlineStr">
        <is>
          <t>MacBook Pro  M3 Max 14'</t>
        </is>
      </c>
      <c r="L16" s="3" t="n">
        <v>76990000</v>
      </c>
      <c r="M16" s="9" t="inlineStr">
        <is>
          <t>iPad 9th  (Wi-fi 64GB)</t>
        </is>
      </c>
      <c r="N16" s="4" t="n">
        <v>7090000</v>
      </c>
    </row>
    <row r="17">
      <c r="A17" s="9" t="inlineStr">
        <is>
          <t>iPad Pro M2 (Wi-fi 11” 128GB)</t>
        </is>
      </c>
      <c r="B17" s="2" t="n">
        <v>20990000</v>
      </c>
      <c r="C17" s="19" t="inlineStr">
        <is>
          <t>MacBook Air M2</t>
        </is>
      </c>
      <c r="D17" s="11" t="n">
        <v>24790000</v>
      </c>
      <c r="E17" s="7" t="inlineStr">
        <is>
          <t>MacBook Air M1</t>
        </is>
      </c>
      <c r="F17" s="3" t="n">
        <v>18390000</v>
      </c>
      <c r="G17" s="7" t="inlineStr">
        <is>
          <t>MacBook Air M1</t>
        </is>
      </c>
      <c r="H17" s="3" t="n">
        <v>18490000</v>
      </c>
      <c r="I17" s="7" t="inlineStr">
        <is>
          <t>MacBook Air M2</t>
        </is>
      </c>
      <c r="J17" s="4" t="n">
        <v>24590000</v>
      </c>
      <c r="K17" s="7" t="inlineStr">
        <is>
          <t>MacBook Air M1</t>
        </is>
      </c>
      <c r="L17" s="4" t="n">
        <v>18240000</v>
      </c>
      <c r="M17" s="9" t="inlineStr">
        <is>
          <t>Watch S8 (41mm GPS)</t>
        </is>
      </c>
      <c r="N17" s="4" t="n">
        <v>6990000</v>
      </c>
    </row>
    <row r="18" ht="27.95" customHeight="1" s="35">
      <c r="A18" s="9" t="inlineStr">
        <is>
          <t>iPad Air 5 (Wi-fi 64GB)</t>
        </is>
      </c>
      <c r="B18" s="1" t="n">
        <v>14390000</v>
      </c>
      <c r="C18" s="19" t="inlineStr">
        <is>
          <t>iPad Pro M2 (Wi-fi 11” 128GB)</t>
        </is>
      </c>
      <c r="D18" s="11" t="n">
        <v>20790000</v>
      </c>
      <c r="E18" s="7" t="inlineStr">
        <is>
          <t>MacBook Air M2</t>
        </is>
      </c>
      <c r="F18" s="3" t="n">
        <v>24890000</v>
      </c>
      <c r="G18" s="7" t="inlineStr">
        <is>
          <t>MacBook Air M2</t>
        </is>
      </c>
      <c r="H18" s="4" t="n">
        <v>24790000</v>
      </c>
      <c r="I18" s="7" t="inlineStr">
        <is>
          <t>MacBook Pro M2</t>
        </is>
      </c>
      <c r="J18" s="4" t="n">
        <v>29790000</v>
      </c>
      <c r="K18" s="7" t="inlineStr">
        <is>
          <t>MacBook Air M2</t>
        </is>
      </c>
      <c r="L18" s="3" t="n">
        <v>24590000</v>
      </c>
      <c r="M18" s="9" t="inlineStr">
        <is>
          <t>Watch S9 (41mm GPS)</t>
        </is>
      </c>
      <c r="N18" s="3" t="n">
        <v>8690000</v>
      </c>
    </row>
    <row r="19" ht="27.95" customHeight="1" s="35">
      <c r="A19" s="9" t="inlineStr">
        <is>
          <t>iPad Mini 6 (Wi-fi 64GB)</t>
        </is>
      </c>
      <c r="B19" s="1" t="n">
        <v>12390000</v>
      </c>
      <c r="C19" s="19" t="inlineStr">
        <is>
          <t>iPad Air 5 (Wi-fi 64GB)</t>
        </is>
      </c>
      <c r="D19" s="10" t="n">
        <v>14246000</v>
      </c>
      <c r="E19" s="7" t="inlineStr">
        <is>
          <t>MacBook Pro M2</t>
        </is>
      </c>
      <c r="F19" s="4" t="inlineStr">
        <is>
          <t>OOS</t>
        </is>
      </c>
      <c r="G19" s="7" t="inlineStr">
        <is>
          <t>iPad Pro M1 (Wi-fi 11” 128GB)</t>
        </is>
      </c>
      <c r="H19" s="4" t="inlineStr">
        <is>
          <t>OOS</t>
        </is>
      </c>
      <c r="I19" s="7" t="inlineStr">
        <is>
          <t>iPad Pro M2 (Wi-fi 11” 128GB)</t>
        </is>
      </c>
      <c r="J19" s="4" t="n">
        <v>19990000</v>
      </c>
      <c r="K19" s="7" t="inlineStr">
        <is>
          <t>MacBook Pro M2</t>
        </is>
      </c>
      <c r="L19" s="4" t="n">
        <v>29290000</v>
      </c>
      <c r="M19" s="9" t="inlineStr">
        <is>
          <t>Watch S9 (45mm GPS)</t>
        </is>
      </c>
      <c r="N19" s="4" t="n">
        <v>9990000</v>
      </c>
    </row>
    <row r="20" ht="27.95" customHeight="1" s="35">
      <c r="A20" s="9" t="inlineStr">
        <is>
          <t>iPad 10th  (Wi-fi 64GB)</t>
        </is>
      </c>
      <c r="B20" s="1" t="n">
        <v>10290000</v>
      </c>
      <c r="C20" s="19" t="inlineStr">
        <is>
          <t>iPad Mini 6 (Wi-fi 64GB)</t>
        </is>
      </c>
      <c r="D20" s="11" t="n">
        <v>12266000</v>
      </c>
      <c r="E20" s="7" t="inlineStr">
        <is>
          <t>iPad Pro M2 (Wi-fi 11” 128GB)</t>
        </is>
      </c>
      <c r="F20" s="3" t="n">
        <v>20390000</v>
      </c>
      <c r="G20" s="7" t="inlineStr">
        <is>
          <t>iPad Pro M2 (Wi-fi 11” 128GB)</t>
        </is>
      </c>
      <c r="H20" s="3" t="n">
        <v>20790000</v>
      </c>
      <c r="I20" s="7" t="inlineStr">
        <is>
          <t>iPad Air 5 (Wi-fi 64GB)</t>
        </is>
      </c>
      <c r="J20" s="4" t="n">
        <v>14390000</v>
      </c>
      <c r="K20" s="7" t="inlineStr">
        <is>
          <t>iPad Air 5 (Wi-fi 64GB)</t>
        </is>
      </c>
      <c r="L20" s="4" t="n">
        <v>14390000</v>
      </c>
      <c r="M20" s="9" t="inlineStr">
        <is>
          <t>Watch SE 2022 (40mm GPS)</t>
        </is>
      </c>
      <c r="N20" s="4" t="n">
        <v>4990000</v>
      </c>
    </row>
    <row r="21" ht="27.95" customHeight="1" s="35">
      <c r="A21" s="9" t="inlineStr">
        <is>
          <t>iPad 9th  (Wi-fi 64GB)</t>
        </is>
      </c>
      <c r="B21" s="1" t="n">
        <v>7090000</v>
      </c>
      <c r="C21" s="19" t="inlineStr">
        <is>
          <t>iPad Gen 10th (Wi-fi 64GB)</t>
        </is>
      </c>
      <c r="D21" s="10" t="n">
        <v>10187000</v>
      </c>
      <c r="E21" s="7" t="inlineStr">
        <is>
          <t>iPad Air 5 (Wi-fi 64GB)</t>
        </is>
      </c>
      <c r="F21" s="3" t="n">
        <v>14390000</v>
      </c>
      <c r="G21" s="7" t="inlineStr">
        <is>
          <t>iPad Air 5 (Wi-fi 64GB)</t>
        </is>
      </c>
      <c r="H21" s="3" t="n">
        <v>14390000</v>
      </c>
      <c r="I21" s="7" t="inlineStr">
        <is>
          <t>iPad Mini 6 (Wi-fi 64GB)</t>
        </is>
      </c>
      <c r="J21" s="4" t="n">
        <v>11190000</v>
      </c>
      <c r="K21" s="7" t="inlineStr">
        <is>
          <t>iPad Mini 6 (Wi-fi 64GB)</t>
        </is>
      </c>
      <c r="L21" s="4" t="n">
        <v>10940000</v>
      </c>
      <c r="M21" s="9" t="inlineStr">
        <is>
          <t>Watch SE 2023 (40mm GPS)</t>
        </is>
      </c>
      <c r="N21" s="4" t="n">
        <v>5690000</v>
      </c>
    </row>
    <row r="22" ht="27.95" customHeight="1" s="35">
      <c r="A22" s="9" t="inlineStr">
        <is>
          <t>Watch S9 (41mm LTE)</t>
        </is>
      </c>
      <c r="B22" s="2" t="n">
        <v>12890000</v>
      </c>
      <c r="C22" s="19" t="inlineStr">
        <is>
          <t>iPad 9th  (Wi-fi 64GB)</t>
        </is>
      </c>
      <c r="D22" s="10" t="n">
        <v>7019000</v>
      </c>
      <c r="E22" s="7" t="inlineStr">
        <is>
          <t>iPad Mini 6 (Wi-fi 64GB)</t>
        </is>
      </c>
      <c r="F22" s="3" t="n">
        <v>11890000</v>
      </c>
      <c r="G22" s="7" t="inlineStr">
        <is>
          <t>iPad Mini 6 (Wi-fi 64GB)</t>
        </is>
      </c>
      <c r="H22" s="4" t="n">
        <v>11990000</v>
      </c>
      <c r="I22" s="7" t="inlineStr">
        <is>
          <t>iPad Gen 10th (Wi-fi 64GB)</t>
        </is>
      </c>
      <c r="J22" s="4" t="n">
        <v>9990000</v>
      </c>
      <c r="K22" s="7" t="inlineStr">
        <is>
          <t>iPad Gen 10th (Wi-fi 64GB)</t>
        </is>
      </c>
      <c r="L22" s="3" t="n">
        <v>9890000</v>
      </c>
      <c r="M22" s="9" t="inlineStr">
        <is>
          <t>Watch  Ultra ( 49mm)</t>
        </is>
      </c>
      <c r="N22" s="4" t="n">
        <v>14790000</v>
      </c>
    </row>
    <row r="23" ht="27.95" customHeight="1" s="35">
      <c r="A23" s="9" t="inlineStr">
        <is>
          <t>Watch S9 (41mm GPS)</t>
        </is>
      </c>
      <c r="B23" s="2" t="n">
        <v>10190000</v>
      </c>
      <c r="C23" s="19" t="inlineStr">
        <is>
          <t>Watch S9 (41mm LTE)</t>
        </is>
      </c>
      <c r="D23" s="10" t="n">
        <v>12167000</v>
      </c>
      <c r="E23" s="7" t="inlineStr">
        <is>
          <t>iPad Gen 10th (Wi-fi 64GB)</t>
        </is>
      </c>
      <c r="F23" s="3" t="n">
        <v>9940000</v>
      </c>
      <c r="G23" s="7" t="inlineStr">
        <is>
          <t>iPad 9th  (Wi-fi 64GB)</t>
        </is>
      </c>
      <c r="H23" s="3" t="n">
        <v>6990000</v>
      </c>
      <c r="I23" s="7" t="inlineStr">
        <is>
          <t>iPad 9th  (Wi-fi 64GB)</t>
        </is>
      </c>
      <c r="J23" s="4" t="n">
        <v>6990000</v>
      </c>
      <c r="K23" s="7" t="inlineStr">
        <is>
          <t>iPad 9th  (Wi-fi 64GB)</t>
        </is>
      </c>
      <c r="L23" s="4" t="n">
        <v>6990000</v>
      </c>
      <c r="M23" s="9" t="inlineStr">
        <is>
          <t>Watch  Ultra 2 ( 49mm)</t>
        </is>
      </c>
      <c r="N23" s="4" t="n">
        <v>19690000</v>
      </c>
    </row>
    <row r="24">
      <c r="A24" s="9" t="inlineStr">
        <is>
          <t>Watch SE 3 (40mm GPS)</t>
        </is>
      </c>
      <c r="B24" s="1" t="n">
        <v>6190000</v>
      </c>
      <c r="C24" s="19" t="inlineStr">
        <is>
          <t>Watch S9 (41mm GPS)</t>
        </is>
      </c>
      <c r="D24" s="10" t="n">
        <v>9494000</v>
      </c>
      <c r="E24" s="7" t="inlineStr">
        <is>
          <t>iPad 9th  (Wi-fi 64GB)</t>
        </is>
      </c>
      <c r="F24" s="3" t="n">
        <v>7140000</v>
      </c>
      <c r="G24" s="7" t="inlineStr">
        <is>
          <t>iPad 10th  (Wi-fi 64GB)</t>
        </is>
      </c>
      <c r="H24" s="3" t="n">
        <v>9890000</v>
      </c>
      <c r="I24" s="7" t="inlineStr">
        <is>
          <t>Watch S9 (41mm LTE)</t>
        </is>
      </c>
      <c r="J24" s="4" t="n">
        <v>11890000</v>
      </c>
      <c r="K24" s="7" t="inlineStr">
        <is>
          <t>Watch 9 (41mm LTE)</t>
        </is>
      </c>
      <c r="L24" s="4" t="n">
        <v>11740000</v>
      </c>
      <c r="M24" s="9" t="inlineStr">
        <is>
          <t>AirPods Pro Gen 2 (Lightning)</t>
        </is>
      </c>
      <c r="N24" s="4" t="n">
        <v>5390000</v>
      </c>
    </row>
    <row r="25">
      <c r="A25" s="9" t="inlineStr">
        <is>
          <t>Watch SE 2 (40mm GPS)</t>
        </is>
      </c>
      <c r="B25" s="2" t="inlineStr">
        <is>
          <t>OOS</t>
        </is>
      </c>
      <c r="C25" s="19" t="inlineStr">
        <is>
          <t>Watch SE 3 (40mm GPS)</t>
        </is>
      </c>
      <c r="D25" s="10" t="n">
        <v>5930000</v>
      </c>
      <c r="E25" s="7" t="inlineStr">
        <is>
          <t>Watch S9 (41mm LTE)</t>
        </is>
      </c>
      <c r="F25" s="3" t="n">
        <v>12290000</v>
      </c>
      <c r="G25" s="7" t="inlineStr">
        <is>
          <t>Watch S9 (41mm LTE)</t>
        </is>
      </c>
      <c r="H25" s="3" t="n">
        <v>12290000</v>
      </c>
      <c r="I25" s="7" t="inlineStr">
        <is>
          <t>Watch S9 (41mm GPS)</t>
        </is>
      </c>
      <c r="J25" s="4" t="n">
        <v>8690000</v>
      </c>
      <c r="K25" s="7" t="inlineStr">
        <is>
          <t>Watch S9 (41mm GPS)</t>
        </is>
      </c>
      <c r="L25" s="4" t="n">
        <v>8940000</v>
      </c>
      <c r="M25" s="9" t="inlineStr">
        <is>
          <t>AirPods 3 (Lightning)</t>
        </is>
      </c>
      <c r="N25" s="4" t="n">
        <v>3790000</v>
      </c>
    </row>
    <row r="26">
      <c r="A26" s="9" t="inlineStr">
        <is>
          <t>Watch S8 (41mm GPS)</t>
        </is>
      </c>
      <c r="B26" s="2" t="inlineStr">
        <is>
          <t>N/A</t>
        </is>
      </c>
      <c r="C26" s="19" t="inlineStr">
        <is>
          <t>Watch Ultra 2 ( 49mm)</t>
        </is>
      </c>
      <c r="D26" s="11" t="n">
        <v>20790000</v>
      </c>
      <c r="E26" s="7" t="inlineStr">
        <is>
          <t>Watch S9 (41mm GPS)</t>
        </is>
      </c>
      <c r="F26" s="3" t="n">
        <v>9440000</v>
      </c>
      <c r="G26" s="7" t="inlineStr">
        <is>
          <t>Watch SE 3 (40mm GPS )</t>
        </is>
      </c>
      <c r="H26" s="4" t="n">
        <v>5790000</v>
      </c>
      <c r="I26" s="7" t="inlineStr">
        <is>
          <t>Watch SE 3 (40mm GPS)</t>
        </is>
      </c>
      <c r="J26" s="4" t="inlineStr">
        <is>
          <t>N/A</t>
        </is>
      </c>
      <c r="K26" s="7" t="inlineStr">
        <is>
          <t>Watch SE 3 (40mm GPS)</t>
        </is>
      </c>
      <c r="L26" s="4" t="n">
        <v>5790000</v>
      </c>
      <c r="M26" s="9" t="inlineStr">
        <is>
          <t>AirPods 2</t>
        </is>
      </c>
      <c r="N26" s="4" t="inlineStr">
        <is>
          <t>2,790,000</t>
        </is>
      </c>
    </row>
    <row r="27">
      <c r="A27" s="9" t="inlineStr">
        <is>
          <t>Watch Ultra 2 (49mm)</t>
        </is>
      </c>
      <c r="B27" s="2" t="n">
        <v>21990000</v>
      </c>
      <c r="C27" s="19" t="inlineStr">
        <is>
          <t>Watch S8 (41mm GPS)</t>
        </is>
      </c>
      <c r="D27" s="10" t="inlineStr">
        <is>
          <t>OOS</t>
        </is>
      </c>
      <c r="E27" s="7" t="inlineStr">
        <is>
          <t>Watch Ultra 2 ( 49mm)</t>
        </is>
      </c>
      <c r="F27" s="3" t="n">
        <v>20890000</v>
      </c>
      <c r="G27" s="13" t="inlineStr">
        <is>
          <t>Watch S9 (41mm GPS)</t>
        </is>
      </c>
      <c r="H27" s="14" t="n">
        <v>8990000</v>
      </c>
      <c r="I27" s="15" t="inlineStr">
        <is>
          <t>Watch Ultra 2 ( 49mm)</t>
        </is>
      </c>
      <c r="J27" s="16" t="n">
        <v>20890000</v>
      </c>
      <c r="K27" s="13" t="inlineStr">
        <is>
          <t>Watch Ultra 2 ( 49mm)</t>
        </is>
      </c>
      <c r="L27" s="16" t="n">
        <v>20890000</v>
      </c>
    </row>
    <row r="28">
      <c r="A28" s="9" t="inlineStr">
        <is>
          <t>Watch Ultra (49mm)</t>
        </is>
      </c>
      <c r="B28" s="2" t="inlineStr">
        <is>
          <t>OOS</t>
        </is>
      </c>
      <c r="C28" s="19" t="inlineStr">
        <is>
          <t>Watch Ultra ( 49mm)</t>
        </is>
      </c>
      <c r="D28" s="11" t="inlineStr">
        <is>
          <t>OOS</t>
        </is>
      </c>
      <c r="E28" s="7" t="inlineStr">
        <is>
          <t>Watch S3 (38mm GPS)</t>
        </is>
      </c>
      <c r="F28" s="4" t="inlineStr">
        <is>
          <t>OOS</t>
        </is>
      </c>
      <c r="G28" s="7" t="inlineStr">
        <is>
          <t>Watch Ultra 2 ( 49mm)</t>
        </is>
      </c>
      <c r="H28" s="4" t="n">
        <v>20990000</v>
      </c>
      <c r="I28" s="12" t="inlineStr">
        <is>
          <t>Watch SE2 (40mm GPS)</t>
        </is>
      </c>
      <c r="J28" s="4" t="n">
        <v>5290000</v>
      </c>
      <c r="K28" s="7" t="inlineStr">
        <is>
          <t>Watch SE2 (40mm GPS)</t>
        </is>
      </c>
      <c r="L28" s="4" t="n">
        <v>5890000</v>
      </c>
    </row>
    <row r="29">
      <c r="A29" s="9" t="inlineStr">
        <is>
          <t>AirPods Pro</t>
        </is>
      </c>
      <c r="B29" s="2" t="inlineStr">
        <is>
          <t>OOS</t>
        </is>
      </c>
      <c r="C29" s="19" t="inlineStr">
        <is>
          <t>AirPods Pro</t>
        </is>
      </c>
      <c r="D29" s="11" t="inlineStr">
        <is>
          <t>OOS</t>
        </is>
      </c>
      <c r="E29" s="7" t="inlineStr">
        <is>
          <t>Watch SE2 (40mm GPS)</t>
        </is>
      </c>
      <c r="F29" s="3" t="n">
        <v>5940000</v>
      </c>
      <c r="G29" s="7" t="inlineStr">
        <is>
          <t>Watch SE2 (40mm GPS)</t>
        </is>
      </c>
      <c r="H29" s="4" t="inlineStr">
        <is>
          <t>OOS</t>
        </is>
      </c>
      <c r="I29" s="12" t="inlineStr">
        <is>
          <t>Watch S8 (41mm GPS)</t>
        </is>
      </c>
      <c r="J29" s="4" t="n">
        <v>7490000</v>
      </c>
      <c r="K29" s="7" t="inlineStr">
        <is>
          <t>Watch S8 (41mm GPS)</t>
        </is>
      </c>
      <c r="L29" s="4" t="inlineStr">
        <is>
          <t>N/A</t>
        </is>
      </c>
    </row>
    <row r="30">
      <c r="A30" s="9" t="inlineStr">
        <is>
          <t>AirPods Pro 2</t>
        </is>
      </c>
      <c r="B30" s="2" t="n">
        <v>6190000</v>
      </c>
      <c r="C30" s="19" t="inlineStr">
        <is>
          <t>AirPods Pro 2</t>
        </is>
      </c>
      <c r="D30" s="10" t="n">
        <v>5590000</v>
      </c>
      <c r="E30" s="7" t="inlineStr">
        <is>
          <t>Watch S8 (41mm GPS)</t>
        </is>
      </c>
      <c r="F30" s="4" t="inlineStr">
        <is>
          <t>OOS</t>
        </is>
      </c>
      <c r="G30" s="7" t="inlineStr">
        <is>
          <t>Watch S8 (41mm GPS)</t>
        </is>
      </c>
      <c r="H30" s="4" t="inlineStr">
        <is>
          <t>OOS</t>
        </is>
      </c>
      <c r="I30" s="12" t="inlineStr">
        <is>
          <t>Watch Ultra ( 49mm)</t>
        </is>
      </c>
      <c r="J30" s="3" t="n">
        <v>14990000</v>
      </c>
      <c r="K30" s="7" t="inlineStr">
        <is>
          <t>Watch Ultra ( 49mm)</t>
        </is>
      </c>
      <c r="L30" s="4" t="inlineStr">
        <is>
          <t>N/A</t>
        </is>
      </c>
    </row>
    <row r="31">
      <c r="A31" s="9" t="inlineStr">
        <is>
          <t>AirPods 3</t>
        </is>
      </c>
      <c r="B31" s="2" t="n">
        <v>4390000</v>
      </c>
      <c r="C31" s="19" t="inlineStr">
        <is>
          <t>AirPods 3</t>
        </is>
      </c>
      <c r="D31" s="10" t="n">
        <v>3890000</v>
      </c>
      <c r="E31" s="7" t="inlineStr">
        <is>
          <t>Watch Ultra ( 49mm)</t>
        </is>
      </c>
      <c r="F31" s="3" t="n">
        <v>17390000</v>
      </c>
      <c r="G31" s="7" t="inlineStr">
        <is>
          <t>Watch Ultra ( 49mm)</t>
        </is>
      </c>
      <c r="H31" s="4" t="n">
        <v>15990000</v>
      </c>
      <c r="I31" s="12" t="inlineStr">
        <is>
          <t>AirPods Pro</t>
        </is>
      </c>
      <c r="J31" s="4" t="inlineStr">
        <is>
          <t>N/A</t>
        </is>
      </c>
      <c r="K31" s="7" t="inlineStr">
        <is>
          <t>AirPods Pro</t>
        </is>
      </c>
      <c r="L31" s="4" t="n">
        <v>4850000</v>
      </c>
    </row>
    <row r="32" ht="27.95" customHeight="1" s="35">
      <c r="A32" s="9" t="inlineStr">
        <is>
          <t>AirPods with charging case</t>
        </is>
      </c>
      <c r="B32" s="2" t="n">
        <v>2790000</v>
      </c>
      <c r="C32" s="19" t="inlineStr">
        <is>
          <t>AirPods with charging case</t>
        </is>
      </c>
      <c r="D32" s="11" t="n">
        <v>2650000</v>
      </c>
      <c r="E32" s="7" t="inlineStr">
        <is>
          <t>AirPods Pro</t>
        </is>
      </c>
      <c r="F32" s="4" t="inlineStr">
        <is>
          <t>OOS</t>
        </is>
      </c>
      <c r="G32" s="7" t="inlineStr">
        <is>
          <t>AirPods Pro</t>
        </is>
      </c>
      <c r="H32" s="4" t="n">
        <v>4450000</v>
      </c>
      <c r="I32" s="12" t="inlineStr">
        <is>
          <t>AirPods Pro 2</t>
        </is>
      </c>
      <c r="J32" s="4" t="n">
        <v>5450000</v>
      </c>
      <c r="K32" s="7" t="inlineStr">
        <is>
          <t>AirPods Pro 2</t>
        </is>
      </c>
      <c r="L32" s="4" t="n">
        <v>4990000</v>
      </c>
    </row>
    <row r="33">
      <c r="E33" s="9" t="inlineStr">
        <is>
          <t>AirPods Pro 2</t>
        </is>
      </c>
      <c r="F33" s="3" t="n">
        <v>5500000</v>
      </c>
      <c r="G33" s="7" t="inlineStr">
        <is>
          <t>AirPods Pro 2</t>
        </is>
      </c>
      <c r="H33" s="4" t="n">
        <v>5390000</v>
      </c>
      <c r="I33" s="12" t="inlineStr">
        <is>
          <t>AirPods 3</t>
        </is>
      </c>
      <c r="J33" s="4" t="n">
        <v>3990000</v>
      </c>
      <c r="K33" s="7" t="inlineStr">
        <is>
          <t>AirPods 3</t>
        </is>
      </c>
      <c r="L33" s="4" t="n">
        <v>3950000</v>
      </c>
    </row>
    <row r="34" ht="27.95" customHeight="1" s="35">
      <c r="E34" s="9" t="inlineStr">
        <is>
          <t>AirPods 3</t>
        </is>
      </c>
      <c r="F34" s="3" t="n">
        <v>3890000</v>
      </c>
      <c r="G34" s="7" t="inlineStr">
        <is>
          <t>AirPods 3</t>
        </is>
      </c>
      <c r="H34" s="3" t="n">
        <v>3890000</v>
      </c>
      <c r="I34" s="12" t="inlineStr">
        <is>
          <t>AirPods with charging case</t>
        </is>
      </c>
      <c r="J34" s="4" t="n">
        <v>2690000</v>
      </c>
      <c r="K34" s="7" t="inlineStr">
        <is>
          <t>AirPods with charging case</t>
        </is>
      </c>
      <c r="L34" s="4" t="n">
        <v>2750000</v>
      </c>
    </row>
    <row r="35" ht="27.95" customHeight="1" s="35">
      <c r="E35" s="9" t="inlineStr">
        <is>
          <t>AirPods 2</t>
        </is>
      </c>
      <c r="F35" s="5" t="n">
        <v>2650000</v>
      </c>
      <c r="G35" s="7" t="inlineStr">
        <is>
          <t>AirPods with charging case</t>
        </is>
      </c>
      <c r="H35" s="3" t="n">
        <v>2650000</v>
      </c>
      <c r="I35" s="8" t="n"/>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A1:J77"/>
  <sheetViews>
    <sheetView workbookViewId="0">
      <selection activeCell="E2" sqref="E2"/>
    </sheetView>
  </sheetViews>
  <sheetFormatPr baseColWidth="8" defaultColWidth="11" defaultRowHeight="15.95"/>
  <cols>
    <col width="25.375" bestFit="1" customWidth="1" style="35" min="1" max="1"/>
    <col width="25.375" bestFit="1" customWidth="1" style="35" min="9" max="9"/>
  </cols>
  <sheetData>
    <row r="1">
      <c r="B1" s="22" t="inlineStr">
        <is>
          <t>MW</t>
        </is>
      </c>
      <c r="C1" s="22" t="inlineStr">
        <is>
          <t>TZ</t>
        </is>
      </c>
      <c r="D1" s="22" t="inlineStr">
        <is>
          <t>FPT</t>
        </is>
      </c>
      <c r="E1" s="22" t="inlineStr">
        <is>
          <t>CPS</t>
        </is>
      </c>
      <c r="F1" s="22" t="inlineStr">
        <is>
          <t>HH</t>
        </is>
      </c>
      <c r="G1" s="22" t="inlineStr">
        <is>
          <t>SD</t>
        </is>
      </c>
      <c r="I1" t="inlineStr">
        <is>
          <t>VT</t>
        </is>
      </c>
    </row>
    <row r="2">
      <c r="A2" t="inlineStr">
        <is>
          <t>iPhone 15  128Gb</t>
        </is>
      </c>
      <c r="B2" s="3" t="n">
        <v>19390000</v>
      </c>
      <c r="C2" s="20" t="n">
        <v>19390000</v>
      </c>
      <c r="D2" s="3" t="n">
        <v>19290000</v>
      </c>
      <c r="E2" s="4" t="n">
        <v>19290000</v>
      </c>
      <c r="F2" s="4" t="n">
        <v>18790000</v>
      </c>
      <c r="G2" s="4" t="n">
        <v>18850000</v>
      </c>
      <c r="I2" t="inlineStr">
        <is>
          <t>iPhone 15 128 Gb</t>
        </is>
      </c>
      <c r="J2" s="4" t="n">
        <v>18990000</v>
      </c>
    </row>
    <row r="3">
      <c r="A3" t="inlineStr">
        <is>
          <t>iPhone 15  Plus 128Gb</t>
        </is>
      </c>
      <c r="B3" s="4" t="n">
        <v>22790000</v>
      </c>
      <c r="C3" s="20" t="n">
        <v>22790000</v>
      </c>
      <c r="D3" s="3" t="n">
        <v>22490000</v>
      </c>
      <c r="E3" s="4" t="n">
        <v>22290000</v>
      </c>
      <c r="F3" s="4" t="n">
        <v>21890000</v>
      </c>
      <c r="G3" s="4" t="n">
        <v>21890000</v>
      </c>
      <c r="I3" t="inlineStr">
        <is>
          <t>iPhone 15 Plus 128 Gb</t>
        </is>
      </c>
      <c r="J3" s="4" t="n">
        <v>21990000</v>
      </c>
    </row>
    <row r="4">
      <c r="A4" t="inlineStr">
        <is>
          <t>iPhone 15 Pro  128Gb</t>
        </is>
      </c>
      <c r="B4" s="3" t="n">
        <v>24990000</v>
      </c>
      <c r="C4" s="20" t="n">
        <v>24990000</v>
      </c>
      <c r="D4" s="5" t="n">
        <v>24790000</v>
      </c>
      <c r="E4" s="4" t="n">
        <v>24590000</v>
      </c>
      <c r="F4" s="4" t="n">
        <v>23890000</v>
      </c>
      <c r="G4" s="4" t="n">
        <v>24590000</v>
      </c>
      <c r="I4" t="inlineStr">
        <is>
          <t>iPhone 15 Pro 128 Gb</t>
        </is>
      </c>
      <c r="J4" s="4" t="n">
        <v>23990000</v>
      </c>
    </row>
    <row r="5">
      <c r="A5" t="inlineStr">
        <is>
          <t>iPhone 15 Pro Max 128Gb</t>
        </is>
      </c>
      <c r="B5" s="3" t="n">
        <v>29590000</v>
      </c>
      <c r="C5" s="20" t="n">
        <v>29590000</v>
      </c>
      <c r="D5" s="5" t="n">
        <v>29390000</v>
      </c>
      <c r="E5" s="4" t="n">
        <v>29090000</v>
      </c>
      <c r="F5" s="4" t="n">
        <v>28690000</v>
      </c>
      <c r="G5" s="4" t="n">
        <v>28790000</v>
      </c>
      <c r="I5" t="inlineStr">
        <is>
          <t>iPhone 15 Pro Max 256 Gb</t>
        </is>
      </c>
      <c r="J5" s="4" t="n">
        <v>28990000</v>
      </c>
    </row>
    <row r="6">
      <c r="A6" t="inlineStr">
        <is>
          <t>iPhone 14 Plus 128Gb</t>
        </is>
      </c>
      <c r="B6" s="4" t="n">
        <v>19690000</v>
      </c>
      <c r="C6" s="20" t="n">
        <v>19690000</v>
      </c>
      <c r="D6" s="4" t="n">
        <v>19590000</v>
      </c>
      <c r="E6" s="4" t="n">
        <v>19390000</v>
      </c>
      <c r="F6" s="4" t="n">
        <v>19690000</v>
      </c>
      <c r="G6" s="4" t="n">
        <v>19690000</v>
      </c>
      <c r="I6" t="inlineStr">
        <is>
          <t>iPhone 14 128 Gb</t>
        </is>
      </c>
      <c r="J6" s="3" t="n">
        <v>16690000</v>
      </c>
    </row>
    <row r="7">
      <c r="A7" t="inlineStr">
        <is>
          <t>iPhone 14 128GB</t>
        </is>
      </c>
      <c r="B7" s="4" t="n">
        <v>16790000</v>
      </c>
      <c r="C7" s="20" t="n">
        <v>16790000</v>
      </c>
      <c r="D7" s="4" t="n">
        <v>16690000</v>
      </c>
      <c r="E7" s="4" t="n">
        <v>16990000</v>
      </c>
      <c r="F7" s="4" t="n">
        <v>16990000</v>
      </c>
      <c r="G7" s="4" t="n">
        <v>16990000</v>
      </c>
      <c r="I7" t="inlineStr">
        <is>
          <t>iPhone 14 Plus 128Gb</t>
        </is>
      </c>
      <c r="J7" s="4" t="n">
        <v>19990000</v>
      </c>
    </row>
    <row r="8">
      <c r="A8" t="inlineStr">
        <is>
          <t>iPhone 13  128GB</t>
        </is>
      </c>
      <c r="B8" s="3" t="n">
        <v>13890000</v>
      </c>
      <c r="C8" s="20" t="n">
        <v>13890000</v>
      </c>
      <c r="D8" s="4" t="n">
        <v>13690000</v>
      </c>
      <c r="E8" s="4" t="n">
        <v>13590000</v>
      </c>
      <c r="F8" s="4" t="n">
        <v>13390000</v>
      </c>
      <c r="G8" s="4" t="n">
        <v>13390000</v>
      </c>
      <c r="I8" t="inlineStr">
        <is>
          <t>iPhone 14 Pro Max 256Gb</t>
        </is>
      </c>
      <c r="J8" s="4" t="inlineStr">
        <is>
          <t>N/A</t>
        </is>
      </c>
    </row>
    <row r="9">
      <c r="A9" t="inlineStr">
        <is>
          <t>iPhone 12 64GB</t>
        </is>
      </c>
      <c r="B9" s="4" t="n">
        <v>11990000</v>
      </c>
      <c r="C9" s="20" t="n">
        <v>11870000</v>
      </c>
      <c r="D9" s="4" t="n">
        <v>11890000</v>
      </c>
      <c r="E9" s="4" t="n">
        <v>11790000</v>
      </c>
      <c r="F9" s="4" t="n">
        <v>11990000</v>
      </c>
      <c r="G9" s="4" t="n">
        <v>11990000</v>
      </c>
      <c r="I9" t="inlineStr">
        <is>
          <t>iPhone 13 128GB</t>
        </is>
      </c>
      <c r="J9" s="4" t="n">
        <v>13190000</v>
      </c>
    </row>
    <row r="10">
      <c r="A10" t="inlineStr">
        <is>
          <t>iPhone 11 64GB</t>
        </is>
      </c>
      <c r="B10" s="4" t="n">
        <v>8990000</v>
      </c>
      <c r="C10" s="20" t="n">
        <v>8990000</v>
      </c>
      <c r="D10" s="4" t="n">
        <v>8940000</v>
      </c>
      <c r="E10" s="4" t="n">
        <v>8790000</v>
      </c>
      <c r="F10" s="4" t="n">
        <v>8790000</v>
      </c>
      <c r="G10" s="4" t="n">
        <v>8790000</v>
      </c>
      <c r="I10" t="inlineStr">
        <is>
          <t>iPhone 12  64GB</t>
        </is>
      </c>
      <c r="J10" s="4" t="n">
        <v>11990000</v>
      </c>
    </row>
    <row r="11">
      <c r="A11" t="inlineStr">
        <is>
          <t>iPad Pro M2 (Wi-fi 11” 128GB)</t>
        </is>
      </c>
      <c r="B11" s="4" t="n">
        <v>20990000</v>
      </c>
      <c r="C11" s="20" t="n">
        <v>20990000</v>
      </c>
      <c r="D11" s="4" t="n">
        <v>20390000</v>
      </c>
      <c r="E11" s="4" t="n">
        <v>20790000</v>
      </c>
      <c r="F11" s="4" t="n">
        <v>19990000</v>
      </c>
      <c r="G11" s="4" t="n">
        <v>20790000</v>
      </c>
      <c r="I11" t="inlineStr">
        <is>
          <t>iPhone 11 64GB</t>
        </is>
      </c>
      <c r="J11" s="3" t="n">
        <v>8590000</v>
      </c>
    </row>
    <row r="12">
      <c r="A12" t="inlineStr">
        <is>
          <t>iPad Air 5 (Wi-fi 64GB)</t>
        </is>
      </c>
      <c r="B12" s="4" t="n">
        <v>14590000</v>
      </c>
      <c r="C12" s="20" t="n">
        <v>14590000</v>
      </c>
      <c r="D12" s="4" t="n">
        <v>14290000</v>
      </c>
      <c r="E12" s="4" t="n">
        <v>14390000</v>
      </c>
      <c r="F12" s="4" t="n">
        <v>14390000</v>
      </c>
      <c r="G12" s="4" t="n">
        <v>13790000</v>
      </c>
      <c r="I12" t="inlineStr">
        <is>
          <t>iPad Pro M2 (Wi-fi 11” 128GB)</t>
        </is>
      </c>
      <c r="J12" s="3" t="n">
        <v>19790000</v>
      </c>
    </row>
    <row r="13">
      <c r="A13" t="inlineStr">
        <is>
          <t>iPad Mini 6 (Wi-fi 64GB)</t>
        </is>
      </c>
      <c r="B13" s="4" t="n">
        <v>12390000</v>
      </c>
      <c r="C13" s="20" t="n">
        <v>12390000</v>
      </c>
      <c r="D13" s="3" t="n">
        <v>11890000</v>
      </c>
      <c r="E13" s="4" t="n">
        <v>11990000</v>
      </c>
      <c r="F13" s="4" t="n">
        <v>11190000</v>
      </c>
      <c r="G13" s="4" t="n">
        <v>11190000</v>
      </c>
      <c r="I13" t="inlineStr">
        <is>
          <t>iPad Air 5 (Wi-fi 64GB)</t>
        </is>
      </c>
      <c r="J13" s="3" t="n">
        <v>13790000</v>
      </c>
    </row>
    <row r="14">
      <c r="A14" t="inlineStr">
        <is>
          <t>iPad Gen 10th (Wi-fi 64GB)</t>
        </is>
      </c>
      <c r="B14" s="4" t="n">
        <v>10290000</v>
      </c>
      <c r="C14" s="20" t="n">
        <v>10290000</v>
      </c>
      <c r="D14" s="3" t="n">
        <v>9940000</v>
      </c>
      <c r="E14" s="4" t="n">
        <v>6990000</v>
      </c>
      <c r="F14" s="4" t="n">
        <v>9990000</v>
      </c>
      <c r="G14" s="4" t="n">
        <v>9890000</v>
      </c>
      <c r="I14" t="inlineStr">
        <is>
          <t>iPad Mini 6 (Wi-fi 64GB)</t>
        </is>
      </c>
      <c r="J14" s="4" t="inlineStr">
        <is>
          <t>12,190,000</t>
        </is>
      </c>
    </row>
    <row r="15">
      <c r="A15" t="inlineStr">
        <is>
          <t>iPad 9th  (Wi-fi 64GB)</t>
        </is>
      </c>
      <c r="B15" s="4" t="n">
        <v>7190000</v>
      </c>
      <c r="C15" s="20" t="n">
        <v>7190000</v>
      </c>
      <c r="D15" s="3" t="n">
        <v>7140000</v>
      </c>
      <c r="E15" s="4" t="n">
        <v>9890000</v>
      </c>
      <c r="F15" s="4" t="n">
        <v>6990000</v>
      </c>
      <c r="G15" s="4" t="n">
        <v>6990000</v>
      </c>
      <c r="I15" t="inlineStr">
        <is>
          <t>iPad 10th  (Wi-fi 64GB)</t>
        </is>
      </c>
      <c r="J15" s="4" t="n">
        <v>9890000</v>
      </c>
    </row>
    <row r="16">
      <c r="A16" t="inlineStr">
        <is>
          <t>Watch S9 (41mm LTE)</t>
        </is>
      </c>
      <c r="B16" s="4" t="n">
        <v>12690000</v>
      </c>
      <c r="C16" s="20" t="n">
        <v>12290000</v>
      </c>
      <c r="D16" s="3" t="n">
        <v>12290000</v>
      </c>
      <c r="E16" s="4" t="n">
        <v>12290000</v>
      </c>
      <c r="F16" s="4" t="n">
        <v>11890000</v>
      </c>
      <c r="G16" s="4" t="n">
        <v>11740000</v>
      </c>
      <c r="I16" t="inlineStr">
        <is>
          <t>iPad 9th  (Wi-fi 64GB)</t>
        </is>
      </c>
      <c r="J16" s="4" t="n">
        <v>7090000</v>
      </c>
    </row>
    <row r="17">
      <c r="A17" t="inlineStr">
        <is>
          <t>Watch S9 (41mm GPS)</t>
        </is>
      </c>
      <c r="B17" s="4" t="n">
        <v>9790000</v>
      </c>
      <c r="C17" s="20" t="n">
        <v>9790000</v>
      </c>
      <c r="D17" s="3" t="n">
        <v>9440000</v>
      </c>
      <c r="E17" s="4" t="n">
        <v>9190000</v>
      </c>
      <c r="F17" s="4" t="n">
        <v>8690000</v>
      </c>
      <c r="G17" s="4" t="n">
        <v>8940000</v>
      </c>
      <c r="I17" t="inlineStr">
        <is>
          <t>Watch S8 (41mm GPS)</t>
        </is>
      </c>
      <c r="J17" s="4" t="n">
        <v>6990000</v>
      </c>
    </row>
    <row r="18">
      <c r="A18" t="inlineStr">
        <is>
          <t>Watch Ultra 2 ( 49mm)</t>
        </is>
      </c>
      <c r="B18" s="4" t="n">
        <v>21990000</v>
      </c>
      <c r="C18" s="20" t="n">
        <v>20990000</v>
      </c>
      <c r="D18" s="3" t="n">
        <v>20890000</v>
      </c>
      <c r="E18" s="4" t="n">
        <v>20990000</v>
      </c>
      <c r="F18" s="4" t="n">
        <v>20890000</v>
      </c>
      <c r="G18" s="4" t="n">
        <v>20890000</v>
      </c>
      <c r="I18" t="inlineStr">
        <is>
          <t>Watch S9 (41mm GPS)</t>
        </is>
      </c>
      <c r="J18" s="4" t="n">
        <v>8690000</v>
      </c>
    </row>
    <row r="19">
      <c r="A19" t="inlineStr">
        <is>
          <t>Watch SE 2023 (40mm GPS)</t>
        </is>
      </c>
      <c r="B19" s="4" t="n">
        <v>5990000</v>
      </c>
      <c r="C19" s="20" t="n">
        <v>5990000</v>
      </c>
      <c r="D19" s="4" t="n">
        <v>5940000</v>
      </c>
      <c r="E19" s="4" t="n">
        <v>5790000</v>
      </c>
      <c r="F19" s="4" t="n">
        <v>5290000</v>
      </c>
      <c r="G19" s="4" t="n">
        <v>5290000</v>
      </c>
      <c r="I19" t="inlineStr">
        <is>
          <t>Watch S9 (45mm GPS)</t>
        </is>
      </c>
      <c r="J19" s="4" t="n">
        <v>9990000</v>
      </c>
    </row>
    <row r="20">
      <c r="A20" t="inlineStr">
        <is>
          <t>Watch Ultra ( 49mm)</t>
        </is>
      </c>
      <c r="B20" s="4" t="inlineStr">
        <is>
          <t>OOS</t>
        </is>
      </c>
      <c r="C20" s="21" t="inlineStr">
        <is>
          <t>OOS</t>
        </is>
      </c>
      <c r="D20" s="3" t="n">
        <v>17390000</v>
      </c>
      <c r="E20" s="4" t="n">
        <v>15990000</v>
      </c>
      <c r="F20" s="4" t="n">
        <v>14990000</v>
      </c>
      <c r="G20" s="4" t="n">
        <v>20890000</v>
      </c>
      <c r="I20" t="inlineStr">
        <is>
          <t>Watch SE 2022 (40mm GPS)</t>
        </is>
      </c>
      <c r="J20" s="4" t="n">
        <v>4990000</v>
      </c>
    </row>
    <row r="21">
      <c r="A21" t="inlineStr">
        <is>
          <t>AirPods Pro 2</t>
        </is>
      </c>
      <c r="B21" s="20" t="n">
        <v>5790000</v>
      </c>
      <c r="C21" s="20" t="n">
        <v>5790000</v>
      </c>
      <c r="D21" s="4" t="n">
        <v>5640000</v>
      </c>
      <c r="E21" s="4" t="n">
        <v>5590000</v>
      </c>
      <c r="F21" s="4" t="n">
        <v>5450000</v>
      </c>
      <c r="G21" s="4" t="n">
        <v>4990000</v>
      </c>
      <c r="I21" t="inlineStr">
        <is>
          <t>Watch SE 2023 (40mm GPS)</t>
        </is>
      </c>
      <c r="J21" s="4" t="n">
        <v>5490000</v>
      </c>
    </row>
    <row r="22">
      <c r="A22" t="inlineStr">
        <is>
          <t>AirPods 3</t>
        </is>
      </c>
      <c r="B22" s="20" t="n">
        <v>4090000</v>
      </c>
      <c r="C22" s="20" t="n">
        <v>4090000</v>
      </c>
      <c r="D22" s="4" t="n">
        <v>3890000</v>
      </c>
      <c r="E22" s="4" t="n">
        <v>3890000</v>
      </c>
      <c r="F22" s="4" t="n">
        <v>3990000</v>
      </c>
      <c r="G22" s="4" t="n">
        <v>3950000</v>
      </c>
      <c r="I22" t="inlineStr">
        <is>
          <t>Watch  Ultra ( 49mm)</t>
        </is>
      </c>
      <c r="J22" s="4" t="n">
        <v>14790000</v>
      </c>
    </row>
    <row r="23">
      <c r="A23" t="inlineStr">
        <is>
          <t>AirPods with charging case</t>
        </is>
      </c>
      <c r="B23" s="20" t="n">
        <v>2790000</v>
      </c>
      <c r="C23" s="20" t="n">
        <v>2790000</v>
      </c>
      <c r="D23" s="4" t="n">
        <v>2650000</v>
      </c>
      <c r="E23" s="4" t="n">
        <v>2650000</v>
      </c>
      <c r="F23" s="4" t="n">
        <v>2690000</v>
      </c>
      <c r="G23" s="4" t="n">
        <v>2750000</v>
      </c>
      <c r="I23" t="inlineStr">
        <is>
          <t>Watch  Ultra 2 ( 49mm)</t>
        </is>
      </c>
      <c r="J23" s="4" t="n">
        <v>19690000</v>
      </c>
    </row>
    <row r="24">
      <c r="A24" t="inlineStr">
        <is>
          <t>MacBook Air M3 13' 256Gb</t>
        </is>
      </c>
      <c r="B24" s="21" t="n">
        <v>27790000</v>
      </c>
      <c r="C24" s="21" t="n">
        <v>27790000</v>
      </c>
      <c r="D24" s="5" t="n">
        <v>27890000</v>
      </c>
      <c r="E24" s="4" t="n">
        <v>27990000</v>
      </c>
      <c r="F24" s="4" t="n">
        <v>26890000</v>
      </c>
      <c r="G24" s="4" t="n">
        <v>26840000</v>
      </c>
      <c r="I24" t="inlineStr">
        <is>
          <t>AirPods Pro Gen 2 (Lightning)</t>
        </is>
      </c>
      <c r="J24" s="4" t="n">
        <v>5390000</v>
      </c>
    </row>
    <row r="25">
      <c r="A25" t="inlineStr">
        <is>
          <t>MacBook Air M3 15' 256Gb</t>
        </is>
      </c>
      <c r="B25" s="20" t="n">
        <v>32190000</v>
      </c>
      <c r="C25" s="20" t="n">
        <v>32190000</v>
      </c>
      <c r="D25" s="4" t="n">
        <v>32690000</v>
      </c>
      <c r="E25" s="4" t="n">
        <v>31990000</v>
      </c>
      <c r="F25" s="3" t="n">
        <v>31990000</v>
      </c>
      <c r="G25" s="4" t="n">
        <v>31490000</v>
      </c>
      <c r="I25" t="inlineStr">
        <is>
          <t>AirPods 3 (Lightning)</t>
        </is>
      </c>
      <c r="J25" s="3" t="n">
        <v>3990000</v>
      </c>
    </row>
    <row r="26">
      <c r="A26" t="inlineStr">
        <is>
          <t>MacBook Pro  M3 14' 256Gb</t>
        </is>
      </c>
      <c r="B26" s="20" t="n">
        <v>38690000</v>
      </c>
      <c r="C26" s="20" t="n">
        <v>38690000</v>
      </c>
      <c r="D26" s="4" t="inlineStr">
        <is>
          <t>OOS</t>
        </is>
      </c>
      <c r="E26" s="4" t="n">
        <v>37690000</v>
      </c>
      <c r="F26" s="3" t="n">
        <v>36990000</v>
      </c>
      <c r="G26" s="4" t="n">
        <v>37490000</v>
      </c>
      <c r="I26" t="inlineStr">
        <is>
          <t>AirPods 2</t>
        </is>
      </c>
      <c r="J26" s="4" t="inlineStr">
        <is>
          <t>2,790,000</t>
        </is>
      </c>
    </row>
    <row r="27">
      <c r="A27" t="inlineStr">
        <is>
          <t>MacBook Air M1 13' 256Gb</t>
        </is>
      </c>
      <c r="B27" s="20" t="n">
        <v>18590000</v>
      </c>
      <c r="C27" s="20" t="n">
        <v>18590000</v>
      </c>
      <c r="D27" s="3" t="n">
        <v>18390000</v>
      </c>
      <c r="E27" s="4" t="n">
        <v>18490000</v>
      </c>
      <c r="F27" s="4" t="n">
        <v>18290000</v>
      </c>
      <c r="G27" s="4" t="n">
        <v>18240000</v>
      </c>
    </row>
    <row r="28">
      <c r="A28" t="inlineStr">
        <is>
          <t>MacBook Air M2 13' 256Gb</t>
        </is>
      </c>
      <c r="B28" s="20" t="n">
        <v>24990000</v>
      </c>
      <c r="C28" s="20" t="n">
        <v>24990000</v>
      </c>
      <c r="D28" s="4" t="inlineStr">
        <is>
          <t>OOS</t>
        </is>
      </c>
      <c r="E28" s="4" t="n">
        <v>24790000</v>
      </c>
      <c r="F28" s="4" t="n">
        <v>24590000</v>
      </c>
      <c r="G28" s="4" t="n">
        <v>24590000</v>
      </c>
    </row>
    <row r="29">
      <c r="A29" t="inlineStr">
        <is>
          <t>MacBook Pro M2 14' 512Gb</t>
        </is>
      </c>
      <c r="B29" s="21" t="inlineStr">
        <is>
          <t>OOS</t>
        </is>
      </c>
      <c r="C29" s="21" t="inlineStr">
        <is>
          <t>OOS</t>
        </is>
      </c>
      <c r="D29" s="4" t="inlineStr">
        <is>
          <t>OOS</t>
        </is>
      </c>
      <c r="E29" s="4" t="inlineStr">
        <is>
          <t>OOS</t>
        </is>
      </c>
      <c r="F29" s="4" t="inlineStr">
        <is>
          <t>N/A</t>
        </is>
      </c>
      <c r="G29" s="4" t="n">
        <v>29290000</v>
      </c>
    </row>
    <row r="32" ht="15.95" customHeight="1" s="35">
      <c r="A32" s="169" t="inlineStr">
        <is>
          <t xml:space="preserve">THÔNG TIN THỊ TRƯỜNG W5Q3FY24:
1. FPT SHOP:
- Do thay đổi chiến lược kinh doanh nên Apple trở thành sản phẩm mục tiêu các shop FPT tập trung push sale để tăng doanh thu hoàn thành target doanh số. Chính vì vậy iPhone 15 Pro Max trở thành model được bán ra tốt nhất trong tuần mặc dù giá 29.990K cao hơn Viettel Store tới 1 triệu đồng.
- iPhone 15 Plus trước kỳ nghỉ lễ được nhiều khách hàng tìm mua và gây Hot thì W5 vừa qua tại FPT Shop sụt giảm mạnh 20% do chủ yếu khách hàng tập trung mua chơi lễ trước. Mặt khác việc ép bán gói BH 2 năm cũng khiến nhiều khách hàng tầm trẻ, đối tượng chính mua iPhone 15 Plus né tránh và tìm mua chuỗi khác.
- Non iPhone tuần qua bán ra xu hướng giảm chung từ iPad tới MacBook do nhu cầu mua sắm trong và sau lễ rất thấp. Ngoại trừ AW có sell-out tương đối ổn định đặc biệt model AW SE do khách hàng mua để trưng diện đi du lịch nghỉ dưỡng và tập luyện sức khỏe vào mùa hè.
2. MOBILE WORLD:
- Doanh thu Apple tại hệ thống Topzone và MW tuần W5 vừa qua sập số do các shop đóng cửa nghỉ lễ 30/4 và 1/5 nên bị mất khách và traffic shop đã thấp lại càng kém hơn sau khi mở lại.
- Cách tính doanh thu shop thay đổi từ tháng 5 tại hệ thống MW. Không tính doanh thu đơn Online cho shop mà chỉ tính 50% thưởng cho nhân viên trong ca làm trong khi đó mùa hè nắng nóng tỉ lệ đơn online gia tăng khiến nhân viên và SM chán nản.
- Điểm sáng nhất của chính sách tháng 5 tại MW hiện nay là hỗ trợ trả góp 0% cho các sản phẩm Apple trên giá giảm CTKM giúp khách hàng được lợi về giá, kích cầu mua sắm. Bên cạnh đó MW ký kết chiến lược với các bên trả góp để tỉ lệ duyệt hồ sơ tốt hơn làm lợi thế cạnh tranh các chuỗi khác. Điều này rất có lợi cho bán Apple trong tháng 5.
3. VIETTEL STORE:
- Tuần W5 vừa qua gần như các model bán tốt tại Viettel Store không thay đổi về giá nhưng để thúc đẩy tỉ lệ kích hoạt sim thì chuỗi có chiến lược mở kho số tặng kèm khách hàng mỗi chiếc iPhone bán ra tặng 01 sim khiến khách hàng rất happy.
- Mặc dù giá tốt, hàng hóa đầy đủ thậm chí dư thừa các bản base iPhone tại hầu hết các shop nhưng không truyền thông nên Viettel Store vẫn không thể nâng được tỉ trọng sell-out tương xứng và tuần qua traffic giảm do nghỉ lễ khiến sell-out còn giảm sâu hơn rất đáng tiếc.
- Non iPhone tại W4 Viettel bán ra khá tốt iPad gen 9th và AW S8 cho đối tượng khách thu nhập tầm trung, yêu cầu sản phẩm không quá cao cấp nhưng tới W5 do traffic giảm mạnh vào đầu tuần vì trùng kỳ nghỉ lễ và cuối tuần nắng nóng kéo dài khiến sell-out Non iPhone nhiều shop lớn cũng bán ra rất kém.
</t>
        </is>
      </c>
    </row>
    <row r="33" ht="15.95" customHeight="1" s="35"/>
    <row r="34" ht="15.95" customHeight="1" s="35"/>
    <row r="35" ht="15.95" customHeight="1" s="35"/>
    <row r="36" ht="15.95" customHeight="1" s="35"/>
    <row r="37" ht="15.95" customHeight="1" s="35"/>
    <row r="38" ht="15.95" customHeight="1" s="35"/>
    <row r="39" ht="15.95" customHeight="1" s="35"/>
    <row r="40" ht="15.95" customHeight="1" s="35"/>
    <row r="41" ht="15.95" customHeight="1" s="35"/>
    <row r="42" ht="15.95" customHeight="1" s="35"/>
    <row r="43" ht="15.95" customHeight="1" s="35"/>
    <row r="44" ht="15.95" customHeight="1" s="35"/>
    <row r="45" ht="15.95" customHeight="1" s="35"/>
    <row r="46" ht="15.95" customHeight="1" s="35"/>
    <row r="47" ht="15.95" customHeight="1" s="35"/>
    <row r="48" ht="15.95" customHeight="1" s="35"/>
    <row r="49" ht="15.95" customHeight="1" s="35"/>
    <row r="50" ht="15.95" customHeight="1" s="35"/>
    <row r="51" ht="15.95" customHeight="1" s="35"/>
    <row r="52" ht="15.95" customHeight="1" s="35"/>
    <row r="53" ht="15.95" customHeight="1" s="35"/>
    <row r="54" ht="15.95" customHeight="1" s="35"/>
    <row r="55" ht="15.95" customHeight="1" s="35"/>
    <row r="56" ht="15.95" customHeight="1" s="35"/>
    <row r="57"/>
    <row r="58" ht="15.95" customHeight="1" s="35"/>
    <row r="59" ht="15.95" customHeight="1" s="35"/>
    <row r="60" ht="15.95" customHeight="1" s="35"/>
    <row r="61" ht="15.95" customHeight="1" s="35"/>
    <row r="62" ht="15.95" customHeight="1" s="35"/>
    <row r="63" ht="15.95" customHeight="1" s="35"/>
    <row r="64" ht="15.95" customHeight="1" s="35"/>
    <row r="65" ht="15.95" customHeight="1" s="35"/>
    <row r="66" ht="15.95" customHeight="1" s="35"/>
    <row r="67" ht="15.95" customHeight="1" s="35"/>
    <row r="68" ht="15.95" customHeight="1" s="35"/>
    <row r="69" ht="15.95" customHeight="1" s="35"/>
    <row r="70" ht="15.95" customHeight="1" s="35"/>
    <row r="71" ht="15.95" customHeight="1" s="35"/>
    <row r="72" ht="15.95" customHeight="1" s="35"/>
    <row r="73" ht="15.95" customHeight="1" s="35"/>
    <row r="74" ht="15.95" customHeight="1" s="35"/>
    <row r="75" ht="15.95" customHeight="1" s="35"/>
    <row r="76" ht="15.95" customHeight="1" s="35"/>
    <row r="77" ht="15.95" customHeight="1" s="35"/>
  </sheetData>
  <mergeCells count="1">
    <mergeCell ref="A32:H77"/>
  </mergeCell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codeName="Sheet3">
    <outlinePr summaryBelow="1" summaryRight="1"/>
    <pageSetUpPr/>
  </sheetPr>
  <dimension ref="A1:H29"/>
  <sheetViews>
    <sheetView workbookViewId="0">
      <selection activeCell="E2" sqref="E2"/>
    </sheetView>
  </sheetViews>
  <sheetFormatPr baseColWidth="8" defaultColWidth="11" defaultRowHeight="15.95"/>
  <cols>
    <col width="25.375" bestFit="1" customWidth="1" style="35" min="1" max="1"/>
    <col width="10.125" bestFit="1" customWidth="1" style="35" min="2" max="2"/>
    <col width="18.625" customWidth="1" style="35" min="8" max="8"/>
    <col width="25.375" bestFit="1" customWidth="1" style="35" min="10" max="11"/>
  </cols>
  <sheetData>
    <row r="1">
      <c r="B1" t="inlineStr">
        <is>
          <t>MW</t>
        </is>
      </c>
      <c r="C1" t="inlineStr">
        <is>
          <t>TZ</t>
        </is>
      </c>
      <c r="D1" t="inlineStr">
        <is>
          <t>FPT</t>
        </is>
      </c>
      <c r="E1" t="inlineStr">
        <is>
          <t>CPS</t>
        </is>
      </c>
      <c r="F1" t="inlineStr">
        <is>
          <t>HH</t>
        </is>
      </c>
      <c r="G1" t="inlineStr">
        <is>
          <t>SD</t>
        </is>
      </c>
      <c r="H1" t="inlineStr">
        <is>
          <t>VT</t>
        </is>
      </c>
    </row>
    <row r="2">
      <c r="A2" t="inlineStr">
        <is>
          <t>iPhone 15  128Gb</t>
        </is>
      </c>
      <c r="B2" s="3" t="n">
        <v>19290000</v>
      </c>
      <c r="C2" s="20" t="n">
        <v>19290000</v>
      </c>
      <c r="D2" s="3" t="n">
        <v>19290000</v>
      </c>
      <c r="E2" s="4" t="n">
        <v>19290000</v>
      </c>
      <c r="F2" s="3" t="n">
        <v>18690000</v>
      </c>
      <c r="G2" s="3" t="n">
        <v>18800000</v>
      </c>
      <c r="H2" s="3" t="n">
        <v>18490000</v>
      </c>
    </row>
    <row r="3">
      <c r="A3" t="inlineStr">
        <is>
          <t>iPhone 15  Plus 128Gb</t>
        </is>
      </c>
      <c r="B3" s="3" t="n">
        <v>22290000</v>
      </c>
      <c r="C3" s="20" t="n">
        <v>22290000</v>
      </c>
      <c r="D3" s="3" t="n">
        <v>22190000</v>
      </c>
      <c r="E3" s="4" t="n">
        <v>22290000</v>
      </c>
      <c r="F3" s="4" t="n">
        <v>21890000</v>
      </c>
      <c r="G3" s="4" t="n">
        <v>21890000</v>
      </c>
      <c r="H3" s="4" t="n">
        <v>21990000</v>
      </c>
    </row>
    <row r="4">
      <c r="A4" t="inlineStr">
        <is>
          <t>iPhone 15 Pro  128Gb</t>
        </is>
      </c>
      <c r="B4" s="3" t="n">
        <v>23990000</v>
      </c>
      <c r="C4" s="20" t="n">
        <v>23990000</v>
      </c>
      <c r="D4" s="3" t="n">
        <v>24390000</v>
      </c>
      <c r="E4" s="4" t="n">
        <v>24590000</v>
      </c>
      <c r="F4" s="4" t="n">
        <v>23890000</v>
      </c>
      <c r="G4" s="4" t="n">
        <v>24590000</v>
      </c>
      <c r="H4" s="4" t="n">
        <v>23990000</v>
      </c>
    </row>
    <row r="5">
      <c r="A5" t="inlineStr">
        <is>
          <t>iPhone 15 Pro Max 256Gb</t>
        </is>
      </c>
      <c r="B5" s="4" t="n">
        <v>29590000</v>
      </c>
      <c r="C5" s="21" t="n">
        <v>29590000</v>
      </c>
      <c r="D5" s="5" t="n">
        <v>29390000</v>
      </c>
      <c r="E5" s="4" t="n">
        <v>29090000</v>
      </c>
      <c r="F5" s="4" t="n">
        <v>28690000</v>
      </c>
      <c r="G5" s="4" t="n">
        <v>28790000</v>
      </c>
      <c r="H5" s="4" t="n">
        <v>28990000</v>
      </c>
    </row>
    <row r="6">
      <c r="A6" t="inlineStr">
        <is>
          <t>iPhone 14 Plus 128Gb</t>
        </is>
      </c>
      <c r="B6" s="3" t="n">
        <v>19990000</v>
      </c>
      <c r="C6" s="20" t="n">
        <v>19390000</v>
      </c>
      <c r="D6" s="3" t="n">
        <v>19290000</v>
      </c>
      <c r="E6" s="4" t="n">
        <v>19390000</v>
      </c>
      <c r="F6" s="3" t="n">
        <v>18990000</v>
      </c>
      <c r="G6" s="4" t="n">
        <v>19690000</v>
      </c>
      <c r="H6" s="4" t="n">
        <v>19990000</v>
      </c>
    </row>
    <row r="7">
      <c r="A7" t="inlineStr">
        <is>
          <t>iPhone 14 128GB</t>
        </is>
      </c>
      <c r="B7" s="3" t="n">
        <v>16490000</v>
      </c>
      <c r="C7" s="20" t="n">
        <v>16490000</v>
      </c>
      <c r="D7" s="3" t="n">
        <v>16390000</v>
      </c>
      <c r="E7" s="4" t="n">
        <v>16990000</v>
      </c>
      <c r="F7" s="3" t="n">
        <v>16590000</v>
      </c>
      <c r="G7" s="4" t="n">
        <v>16990000</v>
      </c>
      <c r="H7" s="4" t="n">
        <v>16690000</v>
      </c>
    </row>
    <row r="8">
      <c r="A8" t="inlineStr">
        <is>
          <t>iPhone 13  128GB</t>
        </is>
      </c>
      <c r="B8" s="3" t="n">
        <v>13790000</v>
      </c>
      <c r="C8" s="20" t="n">
        <v>13790000</v>
      </c>
      <c r="D8" s="4" t="n">
        <v>13690000</v>
      </c>
      <c r="E8" s="4" t="n">
        <v>13590000</v>
      </c>
      <c r="F8" s="4" t="n">
        <v>13390000</v>
      </c>
      <c r="G8" s="4" t="n">
        <v>13390000</v>
      </c>
      <c r="H8" s="4" t="n">
        <v>13190000</v>
      </c>
    </row>
    <row r="9">
      <c r="A9" t="inlineStr">
        <is>
          <t>iPhone 12 64GB</t>
        </is>
      </c>
      <c r="B9" s="4" t="n">
        <v>11990000</v>
      </c>
      <c r="C9" s="20" t="n">
        <v>11990000</v>
      </c>
      <c r="D9" s="4" t="n">
        <v>11890000</v>
      </c>
      <c r="E9" s="4" t="n">
        <v>11790000</v>
      </c>
      <c r="F9" s="3" t="n">
        <v>11790000</v>
      </c>
      <c r="G9" s="4" t="n">
        <v>12290000</v>
      </c>
      <c r="H9" s="4" t="n">
        <v>11990000</v>
      </c>
    </row>
    <row r="10">
      <c r="A10" t="inlineStr">
        <is>
          <t>iPhone 11 64GB</t>
        </is>
      </c>
      <c r="B10" s="3" t="n">
        <v>8790000</v>
      </c>
      <c r="C10" s="20" t="n">
        <v>8790000</v>
      </c>
      <c r="D10" s="3" t="n">
        <v>8740000</v>
      </c>
      <c r="E10" s="4" t="n">
        <v>8790000</v>
      </c>
      <c r="F10" s="3" t="n">
        <v>8590000</v>
      </c>
      <c r="G10" s="4" t="n">
        <v>8790000</v>
      </c>
      <c r="H10" s="4" t="n">
        <v>8590000</v>
      </c>
    </row>
    <row r="11">
      <c r="A11" t="inlineStr">
        <is>
          <t>iPad Pro M2 (Wi-fi 11” 128GB)</t>
        </is>
      </c>
      <c r="B11" s="4" t="n">
        <v>20990000</v>
      </c>
      <c r="C11" s="21" t="n">
        <v>20990000</v>
      </c>
      <c r="D11" s="3" t="n">
        <v>20890000</v>
      </c>
      <c r="E11" s="3" t="n">
        <v>21190000</v>
      </c>
      <c r="F11" s="4" t="n">
        <v>19990000</v>
      </c>
      <c r="G11" s="4" t="n">
        <v>20790000</v>
      </c>
      <c r="H11" s="4" t="n">
        <v>19790000</v>
      </c>
    </row>
    <row r="12">
      <c r="A12" t="inlineStr">
        <is>
          <t>iPad Air 5 (Wi-fi 64GB)</t>
        </is>
      </c>
      <c r="B12" s="3" t="n">
        <v>14390000</v>
      </c>
      <c r="C12" s="20" t="n">
        <v>14390000</v>
      </c>
      <c r="D12" s="3" t="n">
        <v>14190000</v>
      </c>
      <c r="E12" s="3" t="n">
        <v>14290000</v>
      </c>
      <c r="F12" s="3" t="n">
        <v>13990000</v>
      </c>
      <c r="G12" s="4" t="n">
        <v>13790000</v>
      </c>
      <c r="H12" s="4" t="n">
        <v>13790000</v>
      </c>
    </row>
    <row r="13">
      <c r="A13" t="inlineStr">
        <is>
          <t>iPad Mini 6 (Wi-fi 64GB)</t>
        </is>
      </c>
      <c r="B13" s="4" t="n">
        <v>12390000</v>
      </c>
      <c r="C13" s="21" t="n">
        <v>12390000</v>
      </c>
      <c r="D13" s="3" t="n">
        <v>11890000</v>
      </c>
      <c r="E13" s="4" t="n">
        <v>11990000</v>
      </c>
      <c r="F13" s="3" t="n">
        <v>11690000</v>
      </c>
      <c r="G13" s="4" t="n">
        <v>11190000</v>
      </c>
      <c r="H13" s="4" t="inlineStr">
        <is>
          <t>12,190,000</t>
        </is>
      </c>
    </row>
    <row r="14">
      <c r="A14" t="inlineStr">
        <is>
          <t>iPad Gen 10th (Wi-fi 64GB)</t>
        </is>
      </c>
      <c r="B14" s="3" t="n">
        <v>10590000</v>
      </c>
      <c r="C14" s="20" t="n">
        <v>10590000</v>
      </c>
      <c r="D14" s="3" t="n">
        <v>9940000</v>
      </c>
      <c r="E14" s="24" t="n">
        <v>9790000</v>
      </c>
      <c r="F14" s="3" t="n">
        <v>9790000</v>
      </c>
      <c r="G14" s="4" t="n">
        <v>9890000</v>
      </c>
      <c r="H14" s="4" t="n">
        <v>9890000</v>
      </c>
    </row>
    <row r="15">
      <c r="A15" t="inlineStr">
        <is>
          <t>iPad 9th  (Wi-fi 64GB)</t>
        </is>
      </c>
      <c r="B15" s="3" t="n">
        <v>7090000</v>
      </c>
      <c r="C15" s="20" t="n">
        <v>6990000</v>
      </c>
      <c r="D15" s="3" t="n">
        <v>7040000</v>
      </c>
      <c r="E15" s="23" t="n">
        <v>6990000</v>
      </c>
      <c r="F15" s="3" t="n">
        <v>6890000</v>
      </c>
      <c r="G15" s="4" t="n">
        <v>6990000</v>
      </c>
      <c r="H15" s="4" t="n">
        <v>7090000</v>
      </c>
    </row>
    <row r="16">
      <c r="A16" t="inlineStr">
        <is>
          <t>Watch S9 (41mm LTE)</t>
        </is>
      </c>
      <c r="B16" s="4" t="n">
        <v>12690000</v>
      </c>
      <c r="C16" s="21" t="n">
        <v>12290000</v>
      </c>
      <c r="D16" s="3" t="n">
        <v>12290000</v>
      </c>
      <c r="E16" s="4" t="n">
        <v>12290000</v>
      </c>
      <c r="F16" s="4" t="n">
        <v>11890000</v>
      </c>
      <c r="G16" s="3" t="n">
        <v>11540000</v>
      </c>
      <c r="H16" s="4" t="n">
        <v>11690000</v>
      </c>
    </row>
    <row r="17">
      <c r="A17" t="inlineStr">
        <is>
          <t>Watch S9 (41mm GPS)</t>
        </is>
      </c>
      <c r="B17" s="3" t="n">
        <v>9390000</v>
      </c>
      <c r="C17" s="20" t="n">
        <v>9390000</v>
      </c>
      <c r="D17" s="3" t="n">
        <v>9440000</v>
      </c>
      <c r="E17" s="3" t="n">
        <v>8990000</v>
      </c>
      <c r="F17" s="4" t="n">
        <v>8690000</v>
      </c>
      <c r="G17" s="3" t="n">
        <v>8740000</v>
      </c>
      <c r="H17" s="4" t="n">
        <v>8890000</v>
      </c>
    </row>
    <row r="18">
      <c r="A18" t="inlineStr">
        <is>
          <t>Watch Ultra 2 ( 49mm)</t>
        </is>
      </c>
      <c r="B18" s="3" t="n">
        <v>20990000</v>
      </c>
      <c r="C18" s="21" t="n">
        <v>20990000</v>
      </c>
      <c r="D18" s="3" t="n">
        <v>20890000</v>
      </c>
      <c r="E18" s="4" t="n">
        <v>20990000</v>
      </c>
      <c r="F18" s="4" t="n">
        <v>20890000</v>
      </c>
      <c r="G18" s="4" t="n">
        <v>20890000</v>
      </c>
      <c r="H18" s="4" t="n">
        <v>19690000</v>
      </c>
    </row>
    <row r="19">
      <c r="A19" t="inlineStr">
        <is>
          <t>Watch SE 2023 (40mm GPS)</t>
        </is>
      </c>
      <c r="B19" s="4" t="n">
        <v>5890000</v>
      </c>
      <c r="C19" s="21" t="n">
        <v>5990000</v>
      </c>
      <c r="D19" s="4" t="n">
        <v>5940000</v>
      </c>
      <c r="E19" s="3" t="n">
        <v>5690000</v>
      </c>
      <c r="F19" s="4" t="n">
        <v>5690000</v>
      </c>
      <c r="G19" s="4" t="n">
        <v>5790000</v>
      </c>
      <c r="H19" s="4" t="n">
        <v>5690000</v>
      </c>
    </row>
    <row r="20">
      <c r="A20" t="inlineStr">
        <is>
          <t>Watch Ultra ( 49mm)</t>
        </is>
      </c>
      <c r="B20" s="4" t="inlineStr">
        <is>
          <t>OOS</t>
        </is>
      </c>
      <c r="C20" s="21" t="inlineStr">
        <is>
          <t>OOS</t>
        </is>
      </c>
      <c r="D20" s="3" t="n">
        <v>17390000</v>
      </c>
      <c r="E20" s="4" t="n">
        <v>15990000</v>
      </c>
      <c r="F20" s="4" t="n">
        <v>14990000</v>
      </c>
      <c r="G20" s="21" t="inlineStr">
        <is>
          <t>OOS</t>
        </is>
      </c>
      <c r="H20" s="4" t="n">
        <v>14790000</v>
      </c>
    </row>
    <row r="21">
      <c r="A21" t="inlineStr">
        <is>
          <t>AirPods Pro 2</t>
        </is>
      </c>
      <c r="B21" s="3" t="n">
        <v>5390000</v>
      </c>
      <c r="C21" s="20" t="n">
        <v>5650000</v>
      </c>
      <c r="D21" s="4" t="n">
        <v>5640000</v>
      </c>
      <c r="E21" s="4" t="n">
        <v>5590000</v>
      </c>
      <c r="F21" s="4" t="n">
        <v>5450000</v>
      </c>
      <c r="G21" s="4" t="n">
        <v>4990000</v>
      </c>
      <c r="H21" s="4" t="n">
        <v>5390000</v>
      </c>
    </row>
    <row r="22">
      <c r="A22" t="inlineStr">
        <is>
          <t>AirPods 3</t>
        </is>
      </c>
      <c r="B22" s="3" t="n">
        <v>4190000</v>
      </c>
      <c r="C22" s="20" t="n">
        <v>4199000</v>
      </c>
      <c r="D22" s="3" t="n">
        <v>4190000</v>
      </c>
      <c r="E22" s="3" t="n">
        <v>3990000</v>
      </c>
      <c r="F22" s="3" t="n">
        <v>3850000</v>
      </c>
      <c r="G22" s="4" t="n">
        <v>3950000</v>
      </c>
      <c r="H22" s="4" t="n">
        <v>3990000</v>
      </c>
    </row>
    <row r="23">
      <c r="A23" t="inlineStr">
        <is>
          <t>AirPods with charging case</t>
        </is>
      </c>
      <c r="B23" s="3" t="n">
        <v>2700000</v>
      </c>
      <c r="C23" s="20" t="n">
        <v>2700000</v>
      </c>
      <c r="D23" s="3" t="n">
        <v>2690000</v>
      </c>
      <c r="E23" s="3" t="n">
        <v>2690000</v>
      </c>
      <c r="F23" s="3" t="n">
        <v>2590000</v>
      </c>
      <c r="G23" s="4" t="n">
        <v>2750000</v>
      </c>
      <c r="H23" s="4" t="inlineStr">
        <is>
          <t>2,790,000</t>
        </is>
      </c>
    </row>
    <row r="24">
      <c r="A24" t="inlineStr">
        <is>
          <t>MacBook Air M3 13' 256Gb</t>
        </is>
      </c>
      <c r="B24" s="3" t="n">
        <v>27290000</v>
      </c>
      <c r="C24" s="20" t="n">
        <v>27290000</v>
      </c>
      <c r="D24" s="5" t="n">
        <v>27890000</v>
      </c>
      <c r="E24" s="3" t="n">
        <v>27590000</v>
      </c>
      <c r="F24" s="4" t="n">
        <v>26890000</v>
      </c>
      <c r="G24" s="4" t="n">
        <v>26840000</v>
      </c>
    </row>
    <row r="25">
      <c r="A25" t="inlineStr">
        <is>
          <t>MacBook Air M3 15' 256Gb</t>
        </is>
      </c>
      <c r="B25" s="3" t="n">
        <v>31690000</v>
      </c>
      <c r="C25" s="20" t="n">
        <v>31690000</v>
      </c>
      <c r="D25" s="3" t="n">
        <v>31390000</v>
      </c>
      <c r="E25" s="4" t="n">
        <v>31990000</v>
      </c>
      <c r="F25" s="4" t="n">
        <v>31990000</v>
      </c>
      <c r="G25" s="4" t="n">
        <v>31490000</v>
      </c>
    </row>
    <row r="26">
      <c r="A26" t="inlineStr">
        <is>
          <t>MacBook Pro  M3 14' 256Gb</t>
        </is>
      </c>
      <c r="B26" s="4" t="inlineStr">
        <is>
          <t>OOS</t>
        </is>
      </c>
      <c r="C26" s="20" t="n">
        <v>38490000</v>
      </c>
      <c r="D26" s="4" t="inlineStr">
        <is>
          <t>OOS</t>
        </is>
      </c>
      <c r="E26" s="3" t="n">
        <v>38290000</v>
      </c>
      <c r="F26" s="4" t="n">
        <v>36990000</v>
      </c>
      <c r="G26" s="4" t="n">
        <v>37490000</v>
      </c>
    </row>
    <row r="27">
      <c r="A27" t="inlineStr">
        <is>
          <t>MacBook Air M1 13' 256Gb</t>
        </is>
      </c>
      <c r="B27" s="3" t="n">
        <v>18190000</v>
      </c>
      <c r="C27" s="20" t="n">
        <v>18190000</v>
      </c>
      <c r="D27" s="3" t="n">
        <v>18090000</v>
      </c>
      <c r="E27" s="3" t="n">
        <v>18390000</v>
      </c>
      <c r="F27" s="3" t="n">
        <v>18190000</v>
      </c>
      <c r="G27" s="4" t="n">
        <v>18240000</v>
      </c>
    </row>
    <row r="28">
      <c r="A28" t="inlineStr">
        <is>
          <t>MacBook Air M2 13' 256Gb</t>
        </is>
      </c>
      <c r="B28" s="3" t="n">
        <v>24590000</v>
      </c>
      <c r="C28" s="20" t="n">
        <v>24590000</v>
      </c>
      <c r="D28" s="4" t="inlineStr">
        <is>
          <t>OOS</t>
        </is>
      </c>
      <c r="E28" s="3" t="n">
        <v>24590000</v>
      </c>
      <c r="F28" s="4" t="n">
        <v>24590000</v>
      </c>
      <c r="G28" s="4" t="n">
        <v>24590000</v>
      </c>
    </row>
    <row r="29">
      <c r="A29" t="inlineStr">
        <is>
          <t>MacBook Pro M2 14' 256Gb</t>
        </is>
      </c>
      <c r="B29" s="4" t="inlineStr">
        <is>
          <t>OOS</t>
        </is>
      </c>
      <c r="C29" s="21" t="inlineStr">
        <is>
          <t>OOS</t>
        </is>
      </c>
      <c r="D29" s="4" t="inlineStr">
        <is>
          <t>OOS</t>
        </is>
      </c>
      <c r="E29" s="4" t="inlineStr">
        <is>
          <t>N/A</t>
        </is>
      </c>
      <c r="F29" s="4" t="inlineStr">
        <is>
          <t>N/A</t>
        </is>
      </c>
      <c r="G29" s="4" t="inlineStr">
        <is>
          <t>OOS</t>
        </is>
      </c>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codeName="Sheet4">
    <outlinePr summaryBelow="1" summaryRight="1"/>
    <pageSetUpPr/>
  </sheetPr>
  <dimension ref="A1:I32"/>
  <sheetViews>
    <sheetView workbookViewId="0">
      <selection activeCell="E2" sqref="E2"/>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19190000</v>
      </c>
      <c r="C2" s="3" t="n">
        <v>19190000</v>
      </c>
      <c r="D2" s="3" t="n">
        <v>19090000</v>
      </c>
      <c r="E2" s="4" t="n">
        <v>18490000</v>
      </c>
      <c r="F2" s="4" t="n">
        <v>18690000</v>
      </c>
      <c r="G2" s="4" t="n">
        <v>18690000</v>
      </c>
      <c r="H2" s="3" t="n">
        <v>18740000</v>
      </c>
      <c r="I2" s="3" t="n">
        <v>18415000</v>
      </c>
    </row>
    <row r="3">
      <c r="A3" t="inlineStr">
        <is>
          <t>iPhone 15  Plus 128GB</t>
        </is>
      </c>
      <c r="B3" s="3" t="n">
        <v>22190000</v>
      </c>
      <c r="C3" s="3" t="n">
        <v>22190000</v>
      </c>
      <c r="D3" s="3" t="n">
        <v>22090000</v>
      </c>
      <c r="E3" s="4" t="n">
        <v>21990000</v>
      </c>
      <c r="F3" s="4" t="n">
        <v>21790000</v>
      </c>
      <c r="G3" s="4" t="n">
        <v>21890000</v>
      </c>
      <c r="H3" s="4" t="n">
        <v>21890000</v>
      </c>
      <c r="I3" s="3" t="n">
        <v>21517000</v>
      </c>
    </row>
    <row r="4">
      <c r="A4" t="inlineStr">
        <is>
          <t>iPhone 15 Pro  128GB</t>
        </is>
      </c>
      <c r="B4" s="3" t="n">
        <v>24690000</v>
      </c>
      <c r="C4" s="3" t="n">
        <v>24690000</v>
      </c>
      <c r="D4" s="3" t="n">
        <v>24590000</v>
      </c>
      <c r="E4" s="4" t="n">
        <v>23990000</v>
      </c>
      <c r="F4" s="4" t="n">
        <v>24190000</v>
      </c>
      <c r="G4" s="4" t="n">
        <v>23890000</v>
      </c>
      <c r="H4" s="4" t="n">
        <v>24590000</v>
      </c>
      <c r="I4" s="3" t="n">
        <v>24337000</v>
      </c>
    </row>
    <row r="5">
      <c r="A5" t="inlineStr">
        <is>
          <t>iPhone 15 Pro Max 256GB</t>
        </is>
      </c>
      <c r="B5" s="4" t="n">
        <v>29590000</v>
      </c>
      <c r="C5" s="25" t="n">
        <v>29590000</v>
      </c>
      <c r="D5" s="3" t="n">
        <v>29390000</v>
      </c>
      <c r="E5" s="4" t="n">
        <v>28990000</v>
      </c>
      <c r="F5" s="4" t="n">
        <v>28690000</v>
      </c>
      <c r="G5" s="4" t="n">
        <v>28690000</v>
      </c>
      <c r="H5" s="3" t="n">
        <v>28590000</v>
      </c>
      <c r="I5" s="4" t="n">
        <v>29037000</v>
      </c>
    </row>
    <row r="6">
      <c r="A6" t="inlineStr">
        <is>
          <t>iPhone 14 Plus 128GB</t>
        </is>
      </c>
      <c r="B6" s="3" t="n">
        <v>19390000</v>
      </c>
      <c r="C6" s="25" t="n">
        <v>19390000</v>
      </c>
      <c r="D6" s="3" t="n">
        <v>19290000</v>
      </c>
      <c r="E6" s="3" t="n">
        <v>19290000</v>
      </c>
      <c r="F6" s="4" t="n">
        <v>19190000</v>
      </c>
      <c r="G6" s="4" t="n">
        <v>18990000</v>
      </c>
      <c r="H6" s="4" t="n">
        <v>19690000</v>
      </c>
      <c r="I6" s="4" t="n">
        <v>23021000</v>
      </c>
    </row>
    <row r="7">
      <c r="A7" t="inlineStr">
        <is>
          <t>iPhone 14 128GB</t>
        </is>
      </c>
      <c r="B7" s="4" t="n">
        <v>16490000</v>
      </c>
      <c r="C7" s="25" t="n">
        <v>16490000</v>
      </c>
      <c r="D7" s="3" t="n">
        <v>16390000</v>
      </c>
      <c r="E7" s="3" t="n">
        <v>16390000</v>
      </c>
      <c r="F7" s="4" t="n">
        <v>16390000</v>
      </c>
      <c r="G7" s="4" t="n">
        <v>16590000</v>
      </c>
      <c r="H7" s="4" t="n">
        <v>16990000</v>
      </c>
      <c r="I7" s="4" t="n">
        <v>16065000</v>
      </c>
    </row>
    <row r="8">
      <c r="A8" t="inlineStr">
        <is>
          <t>iPhone 13  128GB</t>
        </is>
      </c>
      <c r="B8" s="3" t="n">
        <v>13690000</v>
      </c>
      <c r="C8" s="3" t="n">
        <v>13690000</v>
      </c>
      <c r="D8" s="3" t="n">
        <v>13590000</v>
      </c>
      <c r="E8" s="4" t="n">
        <v>13190000</v>
      </c>
      <c r="F8" s="4" t="n">
        <v>13390000</v>
      </c>
      <c r="G8" s="4" t="n">
        <v>13390000</v>
      </c>
      <c r="H8" s="4" t="n">
        <v>13390000</v>
      </c>
      <c r="I8" s="3" t="n">
        <v>12775000</v>
      </c>
    </row>
    <row r="9">
      <c r="A9" t="inlineStr">
        <is>
          <t>iPhone 12 64GB</t>
        </is>
      </c>
      <c r="B9" s="4" t="n">
        <v>11990000</v>
      </c>
      <c r="C9" s="25" t="n">
        <v>11990000</v>
      </c>
      <c r="D9" s="3" t="n">
        <v>11890000</v>
      </c>
      <c r="E9" s="4" t="n">
        <v>11990000</v>
      </c>
      <c r="F9" s="4" t="inlineStr">
        <is>
          <t>OOS</t>
        </is>
      </c>
      <c r="G9" s="4" t="n">
        <v>11790000</v>
      </c>
      <c r="H9" s="4" t="n">
        <v>12290000</v>
      </c>
      <c r="I9" s="4" t="inlineStr">
        <is>
          <t>OOS</t>
        </is>
      </c>
    </row>
    <row r="10">
      <c r="A10" t="inlineStr">
        <is>
          <t>iPhone 11 64GB</t>
        </is>
      </c>
      <c r="B10" s="3" t="n">
        <v>8690000</v>
      </c>
      <c r="C10" s="3" t="n">
        <v>8690000</v>
      </c>
      <c r="D10" s="3" t="n">
        <v>8640000</v>
      </c>
      <c r="E10" s="4" t="n">
        <v>8590000</v>
      </c>
      <c r="F10" s="4" t="n">
        <v>8550000</v>
      </c>
      <c r="G10" s="4" t="n">
        <v>8590000</v>
      </c>
      <c r="H10" s="3" t="n">
        <v>8690000</v>
      </c>
      <c r="I10" s="4" t="inlineStr">
        <is>
          <t>OOS</t>
        </is>
      </c>
    </row>
    <row r="11">
      <c r="A11" t="inlineStr">
        <is>
          <t>iPad Pro 11" M2 128GB Wifi</t>
        </is>
      </c>
      <c r="B11" s="3" t="n">
        <v>21190000</v>
      </c>
      <c r="C11" s="3" t="n">
        <v>21190000</v>
      </c>
      <c r="D11" s="4" t="n">
        <v>20890000</v>
      </c>
      <c r="E11" s="4" t="n">
        <v>19790000</v>
      </c>
      <c r="F11" s="4" t="inlineStr">
        <is>
          <t>OOS</t>
        </is>
      </c>
      <c r="G11" s="4" t="n">
        <v>19990000</v>
      </c>
      <c r="H11" s="4" t="n">
        <v>20790000</v>
      </c>
      <c r="I11" s="4" t="n">
        <v>21799000</v>
      </c>
    </row>
    <row r="12">
      <c r="A12" t="inlineStr">
        <is>
          <t>iPad Air 5 M1 64GB Wifi</t>
        </is>
      </c>
      <c r="B12" s="3" t="n">
        <v>14090000</v>
      </c>
      <c r="C12" s="3" t="n">
        <v>14090000</v>
      </c>
      <c r="D12" s="3" t="n">
        <v>13990000</v>
      </c>
      <c r="E12" s="3" t="n">
        <v>14490000</v>
      </c>
      <c r="F12" s="4" t="n">
        <v>14090000</v>
      </c>
      <c r="G12" s="4" t="n">
        <v>13990000</v>
      </c>
      <c r="H12" s="4" t="n">
        <v>13790000</v>
      </c>
      <c r="I12" s="4" t="n">
        <v>13991000</v>
      </c>
    </row>
    <row r="13">
      <c r="A13" t="inlineStr">
        <is>
          <t>iPad Mini 6 64GB Wifi</t>
        </is>
      </c>
      <c r="B13" s="4" t="n">
        <v>12390000</v>
      </c>
      <c r="C13" s="4" t="n">
        <v>12390000</v>
      </c>
      <c r="D13" s="5" t="n">
        <v>11890000</v>
      </c>
      <c r="E13" s="4" t="inlineStr">
        <is>
          <t>12,190,000</t>
        </is>
      </c>
      <c r="F13" s="4" t="n">
        <v>11790000</v>
      </c>
      <c r="G13" s="4" t="n">
        <v>11690000</v>
      </c>
      <c r="H13" s="4" t="n">
        <v>11190000</v>
      </c>
      <c r="I13" s="4" t="n">
        <v>11271000</v>
      </c>
    </row>
    <row r="14">
      <c r="A14" t="inlineStr">
        <is>
          <t>iPad Gen 10th 64GB Wifi</t>
        </is>
      </c>
      <c r="B14" s="4" t="n">
        <v>10590000</v>
      </c>
      <c r="C14" s="25" t="n">
        <v>10590000</v>
      </c>
      <c r="D14" s="5" t="n">
        <v>9940000</v>
      </c>
      <c r="E14" s="3" t="n">
        <v>10790000</v>
      </c>
      <c r="F14" s="4" t="n">
        <v>9590000</v>
      </c>
      <c r="G14" s="4" t="n">
        <v>9790000</v>
      </c>
      <c r="H14" s="4" t="n">
        <v>9890000</v>
      </c>
      <c r="I14" s="4" t="n">
        <v>9673000</v>
      </c>
    </row>
    <row r="15">
      <c r="A15" t="inlineStr">
        <is>
          <t>iPad Gen 9th  64GB Wifi</t>
        </is>
      </c>
      <c r="B15" s="4" t="n">
        <v>7090000</v>
      </c>
      <c r="C15" s="3" t="n">
        <v>7090000</v>
      </c>
      <c r="D15" s="5" t="n">
        <v>7040000</v>
      </c>
      <c r="E15" s="3" t="n">
        <v>6990000</v>
      </c>
      <c r="F15" s="4" t="n">
        <v>6890000</v>
      </c>
      <c r="G15" s="4" t="n">
        <v>6890000</v>
      </c>
      <c r="H15" s="3" t="n">
        <v>6890000</v>
      </c>
      <c r="I15" s="4" t="n">
        <v>6853000</v>
      </c>
    </row>
    <row r="16">
      <c r="A16" t="inlineStr">
        <is>
          <t>AW SE 2023 (40mm GPS)</t>
        </is>
      </c>
      <c r="B16" s="3" t="n">
        <v>6090000</v>
      </c>
      <c r="C16" s="4" t="n">
        <v>5990000</v>
      </c>
      <c r="D16" s="3" t="n">
        <v>5740000</v>
      </c>
      <c r="E16" s="4" t="n">
        <v>5690000</v>
      </c>
      <c r="F16" s="4" t="n">
        <v>5590000</v>
      </c>
      <c r="G16" s="4" t="n">
        <v>5690000</v>
      </c>
      <c r="H16" s="4" t="n">
        <v>5790000</v>
      </c>
      <c r="I16" s="4" t="n">
        <v>5631000</v>
      </c>
    </row>
    <row r="17">
      <c r="A17" t="inlineStr">
        <is>
          <t>AW SE 2023 (40mm LTE)</t>
        </is>
      </c>
      <c r="B17" s="4" t="n">
        <v>7390000</v>
      </c>
      <c r="C17" s="4" t="n">
        <v>7390000</v>
      </c>
      <c r="D17" s="4" t="n">
        <v>7240000</v>
      </c>
      <c r="E17" s="4" t="n">
        <v>7190000</v>
      </c>
      <c r="F17" s="4" t="n">
        <v>7190000</v>
      </c>
      <c r="G17" s="4" t="n">
        <v>7190000</v>
      </c>
      <c r="H17" s="4" t="n">
        <v>7390000</v>
      </c>
      <c r="I17" s="4" t="inlineStr">
        <is>
          <t>OOS</t>
        </is>
      </c>
    </row>
    <row r="18">
      <c r="A18" t="inlineStr">
        <is>
          <t>AW SE 2023 (44mm GPS)</t>
        </is>
      </c>
      <c r="B18" s="4" t="n">
        <v>6990000</v>
      </c>
      <c r="C18" s="4" t="n">
        <v>6890000</v>
      </c>
      <c r="D18" s="4" t="n">
        <v>6240000</v>
      </c>
      <c r="E18" s="4" t="n">
        <v>6590000</v>
      </c>
      <c r="F18" s="4" t="n">
        <v>6490000</v>
      </c>
      <c r="G18" s="4" t="n">
        <v>6590000</v>
      </c>
      <c r="H18" s="4" t="n">
        <v>6590000</v>
      </c>
      <c r="I18" s="4" t="inlineStr">
        <is>
          <t>OOS</t>
        </is>
      </c>
    </row>
    <row r="19">
      <c r="A19" t="inlineStr">
        <is>
          <t>AW SE 2023 (44mm LTE)</t>
        </is>
      </c>
      <c r="B19" s="4" t="n">
        <v>8390000</v>
      </c>
      <c r="C19" s="4" t="n">
        <v>8190000</v>
      </c>
      <c r="D19" s="4" t="n">
        <v>7940000</v>
      </c>
      <c r="E19" s="4" t="n">
        <v>7990000</v>
      </c>
      <c r="F19" s="4" t="n">
        <v>7990000</v>
      </c>
      <c r="G19" s="4" t="n">
        <v>7890000</v>
      </c>
      <c r="H19" s="4" t="n">
        <v>7890000</v>
      </c>
      <c r="I19" s="4" t="inlineStr">
        <is>
          <t>OOS</t>
        </is>
      </c>
    </row>
    <row r="20">
      <c r="A20" t="inlineStr">
        <is>
          <t>AW S9 (41mm GPS)</t>
        </is>
      </c>
      <c r="B20" s="4" t="n">
        <v>9390000</v>
      </c>
      <c r="C20" s="3" t="n">
        <v>9390000</v>
      </c>
      <c r="D20" s="3" t="n">
        <v>9340000</v>
      </c>
      <c r="E20" s="4" t="n">
        <v>8890000</v>
      </c>
      <c r="F20" s="4" t="n">
        <v>8890000</v>
      </c>
      <c r="G20" s="4" t="n">
        <v>8690000</v>
      </c>
      <c r="H20" s="4" t="n">
        <v>8740000</v>
      </c>
      <c r="I20" s="4" t="n">
        <v>9079000</v>
      </c>
    </row>
    <row r="21">
      <c r="A21" t="inlineStr">
        <is>
          <t>AW S9 (41mm CEL)</t>
        </is>
      </c>
      <c r="B21" s="3" t="n">
        <v>12590000</v>
      </c>
      <c r="C21" s="3" t="n">
        <v>12590000</v>
      </c>
      <c r="D21" s="3" t="n">
        <v>12290000</v>
      </c>
      <c r="E21" s="4" t="n">
        <v>11690000</v>
      </c>
      <c r="F21" s="4" t="n">
        <v>12090000</v>
      </c>
      <c r="G21" s="4" t="n">
        <v>11890000</v>
      </c>
      <c r="H21" s="4" t="n">
        <v>11540000</v>
      </c>
      <c r="I21" s="4" t="inlineStr">
        <is>
          <t>OOS</t>
        </is>
      </c>
    </row>
    <row r="22">
      <c r="A22" t="inlineStr">
        <is>
          <t>AW S9 (45mm GPS)</t>
        </is>
      </c>
      <c r="B22" s="4" t="n">
        <v>10790000</v>
      </c>
      <c r="C22" s="4" t="n">
        <v>10790000</v>
      </c>
      <c r="D22" s="4" t="n">
        <v>10490000</v>
      </c>
      <c r="E22" s="4" t="n">
        <v>10290000</v>
      </c>
      <c r="F22" s="4" t="n">
        <v>10490000</v>
      </c>
      <c r="G22" s="4" t="n">
        <v>9990000</v>
      </c>
      <c r="H22" s="4" t="n">
        <v>9940000</v>
      </c>
      <c r="I22" s="4" t="inlineStr">
        <is>
          <t>OOS</t>
        </is>
      </c>
    </row>
    <row r="23">
      <c r="A23" t="inlineStr">
        <is>
          <t>AW S9 (45mm CEL)</t>
        </is>
      </c>
      <c r="B23" s="4" t="n">
        <v>13690000</v>
      </c>
      <c r="C23" s="4" t="n">
        <v>13690000</v>
      </c>
      <c r="D23" s="4" t="n">
        <v>13390000</v>
      </c>
      <c r="E23" s="4" t="n">
        <v>12190000</v>
      </c>
      <c r="F23" s="4" t="n">
        <v>13290000</v>
      </c>
      <c r="G23" s="4" t="n">
        <v>12890000</v>
      </c>
      <c r="H23" s="4" t="n">
        <v>12640000</v>
      </c>
      <c r="I23" s="4" t="inlineStr">
        <is>
          <t>OOS</t>
        </is>
      </c>
    </row>
    <row r="24">
      <c r="A24" t="inlineStr">
        <is>
          <t>AW Ultra 2 (49mm)</t>
        </is>
      </c>
      <c r="B24" s="4" t="n">
        <v>20990000</v>
      </c>
      <c r="C24" s="3" t="n">
        <v>21190000</v>
      </c>
      <c r="D24" s="5" t="n">
        <v>20890000</v>
      </c>
      <c r="E24" s="4" t="n">
        <v>19690000</v>
      </c>
      <c r="F24" s="4" t="n">
        <v>20790000</v>
      </c>
      <c r="G24" s="4" t="n">
        <v>20890000</v>
      </c>
      <c r="H24" s="4" t="n">
        <v>20890000</v>
      </c>
      <c r="I24" s="4" t="inlineStr">
        <is>
          <t>OOS</t>
        </is>
      </c>
    </row>
    <row r="25">
      <c r="A25" t="inlineStr">
        <is>
          <t>AirPods Pro 2 - 2023 (C-Type)</t>
        </is>
      </c>
      <c r="B25" s="4" t="n">
        <v>5390000</v>
      </c>
      <c r="C25" s="25" t="n">
        <v>5650000</v>
      </c>
      <c r="D25" s="4" t="n">
        <v>5640000</v>
      </c>
      <c r="E25" s="4" t="n">
        <v>5490000</v>
      </c>
      <c r="F25" s="4" t="n">
        <v>5450000</v>
      </c>
      <c r="G25" s="4" t="n">
        <v>5450000</v>
      </c>
      <c r="H25" s="4" t="n">
        <v>5450000</v>
      </c>
      <c r="I25" s="4" t="inlineStr">
        <is>
          <t>OOS</t>
        </is>
      </c>
    </row>
    <row r="26">
      <c r="A26" t="inlineStr">
        <is>
          <t>AirPods 3 with charging case</t>
        </is>
      </c>
      <c r="B26" s="3" t="n">
        <v>4090000</v>
      </c>
      <c r="C26" s="3" t="n">
        <v>4090000</v>
      </c>
      <c r="D26" s="5" t="n">
        <v>4190000</v>
      </c>
      <c r="E26" s="4" t="n">
        <v>3990000</v>
      </c>
      <c r="F26" s="4" t="n">
        <v>3990000</v>
      </c>
      <c r="G26" s="4" t="n">
        <v>3850000</v>
      </c>
      <c r="H26" s="4" t="n">
        <v>3950000</v>
      </c>
      <c r="I26" s="4" t="inlineStr">
        <is>
          <t>OOS</t>
        </is>
      </c>
    </row>
    <row r="27">
      <c r="A27" t="inlineStr">
        <is>
          <t>AirPods 2 with charging case</t>
        </is>
      </c>
      <c r="B27" s="4" t="n">
        <v>2700000</v>
      </c>
      <c r="C27" s="25" t="n">
        <v>2700000</v>
      </c>
      <c r="D27" s="5" t="n">
        <v>2690000</v>
      </c>
      <c r="E27" s="4" t="inlineStr">
        <is>
          <t>2,790,000</t>
        </is>
      </c>
      <c r="F27" s="4" t="n">
        <v>2690000</v>
      </c>
      <c r="G27" s="4" t="n">
        <v>2590000</v>
      </c>
      <c r="H27" s="4" t="n">
        <v>2750000</v>
      </c>
      <c r="I27" s="3" t="n">
        <v>2567000</v>
      </c>
    </row>
    <row r="28">
      <c r="A28" t="inlineStr">
        <is>
          <t>MacBook Air 13" M1 8/256Gb</t>
        </is>
      </c>
      <c r="B28" s="4" t="n">
        <v>18190000</v>
      </c>
      <c r="C28" s="25" t="n">
        <v>18190000</v>
      </c>
      <c r="D28" s="5" t="n">
        <v>18090000</v>
      </c>
      <c r="F28" s="4" t="n">
        <v>17990000</v>
      </c>
      <c r="G28" s="4" t="n">
        <v>18190000</v>
      </c>
      <c r="H28" s="3" t="n">
        <v>18140000</v>
      </c>
      <c r="I28" s="4" t="n">
        <v>17663000</v>
      </c>
    </row>
    <row r="29">
      <c r="A29" t="inlineStr">
        <is>
          <t>MacBook Air 13" M2 8/256GB</t>
        </is>
      </c>
      <c r="B29" s="3" t="n">
        <v>24190000</v>
      </c>
      <c r="C29" s="3" t="n">
        <v>24190000</v>
      </c>
      <c r="D29" s="4" t="inlineStr">
        <is>
          <t>OOS</t>
        </is>
      </c>
      <c r="F29" s="4" t="n">
        <v>24090000</v>
      </c>
      <c r="G29" s="4" t="n">
        <v>24590000</v>
      </c>
      <c r="H29" s="3" t="n">
        <v>23790000</v>
      </c>
      <c r="I29" s="4" t="n">
        <v>24807000</v>
      </c>
    </row>
    <row r="30">
      <c r="A30" t="inlineStr">
        <is>
          <t>MacBook Air 13" M3 8/256GB</t>
        </is>
      </c>
      <c r="B30" s="4" t="n">
        <v>27290000</v>
      </c>
      <c r="C30" s="25" t="n">
        <v>27290000</v>
      </c>
      <c r="D30" s="3" t="n">
        <v>27190000</v>
      </c>
      <c r="F30" s="4" t="n">
        <v>26290000</v>
      </c>
      <c r="G30" s="4" t="n">
        <v>26890000</v>
      </c>
      <c r="H30" s="4" t="n">
        <v>26840000</v>
      </c>
      <c r="I30" s="4" t="inlineStr">
        <is>
          <t>OOS</t>
        </is>
      </c>
    </row>
    <row r="31">
      <c r="A31" t="inlineStr">
        <is>
          <t>MacBook Air 15" M3 8/256GB</t>
        </is>
      </c>
      <c r="B31" s="3" t="n">
        <v>31490000</v>
      </c>
      <c r="C31" s="3" t="n">
        <v>31490000</v>
      </c>
      <c r="D31" s="3" t="n">
        <v>31190000</v>
      </c>
      <c r="F31" s="4" t="n">
        <v>30790000</v>
      </c>
      <c r="G31" s="4" t="n">
        <v>31990000</v>
      </c>
      <c r="H31" s="4" t="n">
        <v>31490000</v>
      </c>
      <c r="I31" s="4" t="inlineStr">
        <is>
          <t>OOS</t>
        </is>
      </c>
    </row>
    <row r="32">
      <c r="A32" t="inlineStr">
        <is>
          <t>MacBook Pro 14" M3 8/512GB</t>
        </is>
      </c>
      <c r="B32" s="4" t="inlineStr">
        <is>
          <t>N/A</t>
        </is>
      </c>
      <c r="C32" s="25" t="n">
        <v>38490000</v>
      </c>
      <c r="D32" s="4" t="n">
        <v>38190000</v>
      </c>
      <c r="F32" s="4" t="n">
        <v>37290000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codeName="Sheet5">
    <outlinePr summaryBelow="1" summaryRight="1"/>
    <pageSetUpPr/>
  </sheetPr>
  <dimension ref="A1:L32"/>
  <sheetViews>
    <sheetView workbookViewId="0">
      <selection activeCell="E2" sqref="E2"/>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18990000</v>
      </c>
      <c r="C2" s="3" t="n">
        <v>18990000</v>
      </c>
      <c r="D2" s="3" t="n">
        <v>18890000</v>
      </c>
      <c r="E2" s="4" t="n">
        <v>18490000</v>
      </c>
      <c r="F2" s="4" t="n">
        <v>18590000</v>
      </c>
      <c r="G2" s="4" t="n">
        <v>18690000</v>
      </c>
      <c r="H2" s="4" t="n">
        <v>18740000</v>
      </c>
      <c r="I2" s="3" t="n">
        <v>18023000</v>
      </c>
      <c r="L2" s="26" t="n"/>
    </row>
    <row r="3">
      <c r="A3" t="inlineStr">
        <is>
          <t>iPhone 15  Plus 128GB</t>
        </is>
      </c>
      <c r="B3" s="4" t="n">
        <v>22190000</v>
      </c>
      <c r="C3" s="25" t="n">
        <v>22190000</v>
      </c>
      <c r="D3" s="5" t="n">
        <v>22090000</v>
      </c>
      <c r="E3" s="4" t="n">
        <v>21990000</v>
      </c>
      <c r="F3" s="4" t="n">
        <v>21590000</v>
      </c>
      <c r="G3" s="3" t="n">
        <v>21690000</v>
      </c>
      <c r="H3" s="3" t="n">
        <v>21740000</v>
      </c>
      <c r="I3" s="3" t="n">
        <v>20783000</v>
      </c>
      <c r="L3" s="26" t="n"/>
    </row>
    <row r="4">
      <c r="A4" t="inlineStr">
        <is>
          <t>iPhone 15 Pro  128GB</t>
        </is>
      </c>
      <c r="B4" s="3" t="n">
        <v>24590000</v>
      </c>
      <c r="C4" s="3" t="n">
        <v>24590000</v>
      </c>
      <c r="D4" s="3" t="n">
        <v>24490000</v>
      </c>
      <c r="E4" s="4" t="n">
        <v>23990000</v>
      </c>
      <c r="F4" s="4" t="n">
        <v>24190000</v>
      </c>
      <c r="G4" s="4" t="n">
        <v>23890000</v>
      </c>
      <c r="H4" s="3" t="n">
        <v>23740000</v>
      </c>
      <c r="I4" s="3" t="n">
        <v>23819000</v>
      </c>
      <c r="L4" s="26" t="n"/>
    </row>
    <row r="5">
      <c r="A5" t="inlineStr">
        <is>
          <t>iPhone 15 Pro Max 256GB</t>
        </is>
      </c>
      <c r="B5" s="3" t="n">
        <v>29290000</v>
      </c>
      <c r="C5" s="3" t="n">
        <v>29290000</v>
      </c>
      <c r="D5" s="5" t="n">
        <v>29390000</v>
      </c>
      <c r="E5" s="4" t="n">
        <v>28990000</v>
      </c>
      <c r="F5" s="4" t="n">
        <v>28590000</v>
      </c>
      <c r="G5" s="3" t="n">
        <v>28590000</v>
      </c>
      <c r="H5" s="4" t="n">
        <v>28690000</v>
      </c>
      <c r="I5" s="3" t="n">
        <v>28443000</v>
      </c>
      <c r="L5" s="26" t="n"/>
    </row>
    <row r="6">
      <c r="A6" t="inlineStr">
        <is>
          <t>iPhone 14 Plus 128GB</t>
        </is>
      </c>
      <c r="B6" s="4" t="n">
        <v>19390000</v>
      </c>
      <c r="C6" s="25" t="n">
        <v>19390000</v>
      </c>
      <c r="D6" s="5" t="n">
        <v>19290000</v>
      </c>
      <c r="E6" s="4" t="n">
        <v>19290000</v>
      </c>
      <c r="F6" s="4" t="n">
        <v>19190000</v>
      </c>
      <c r="G6" s="4" t="n">
        <v>18990000</v>
      </c>
      <c r="H6" s="4" t="n">
        <v>19690000</v>
      </c>
      <c r="I6" s="4" t="n">
        <v>23021000</v>
      </c>
      <c r="L6" s="26" t="n"/>
    </row>
    <row r="7">
      <c r="A7" t="inlineStr">
        <is>
          <t>iPhone 14 128GB</t>
        </is>
      </c>
      <c r="B7" s="4" t="n">
        <v>16490000</v>
      </c>
      <c r="C7" s="25" t="n">
        <v>16490000</v>
      </c>
      <c r="D7" s="5" t="n">
        <v>16390000</v>
      </c>
      <c r="E7" s="4" t="n">
        <v>16390000</v>
      </c>
      <c r="F7" s="4" t="n">
        <v>16390000</v>
      </c>
      <c r="G7" s="3" t="n">
        <v>16290000</v>
      </c>
      <c r="H7" s="4" t="n">
        <v>16990000</v>
      </c>
      <c r="I7" s="3" t="n">
        <v>15539000</v>
      </c>
      <c r="L7" s="26" t="n"/>
    </row>
    <row r="8">
      <c r="A8" t="inlineStr">
        <is>
          <t>iPhone 13  128GB</t>
        </is>
      </c>
      <c r="B8" s="4" t="n">
        <v>13690000</v>
      </c>
      <c r="C8" s="25" t="n">
        <v>13690000</v>
      </c>
      <c r="D8" s="5" t="n">
        <v>13590000</v>
      </c>
      <c r="E8" s="4" t="n">
        <v>13190000</v>
      </c>
      <c r="F8" s="4" t="n">
        <v>13390000</v>
      </c>
      <c r="G8" s="4" t="n">
        <v>13390000</v>
      </c>
      <c r="H8" s="4" t="n">
        <v>13390000</v>
      </c>
      <c r="I8" s="3" t="n">
        <v>12779000</v>
      </c>
      <c r="L8" s="26" t="n"/>
    </row>
    <row r="9">
      <c r="A9" t="inlineStr">
        <is>
          <t>iPhone 12 64GB</t>
        </is>
      </c>
      <c r="B9" s="3" t="n">
        <v>11590000</v>
      </c>
      <c r="C9" s="3" t="n">
        <v>11590000</v>
      </c>
      <c r="D9" s="3" t="n">
        <v>11490000</v>
      </c>
      <c r="E9" s="4" t="n">
        <v>11990000</v>
      </c>
      <c r="F9" s="4" t="inlineStr">
        <is>
          <t>OOS</t>
        </is>
      </c>
      <c r="G9" s="4" t="n">
        <v>11790000</v>
      </c>
      <c r="H9" s="4" t="n">
        <v>12290000</v>
      </c>
      <c r="I9" s="4" t="inlineStr">
        <is>
          <t>OOS</t>
        </is>
      </c>
      <c r="L9" s="26" t="n"/>
    </row>
    <row r="10">
      <c r="A10" t="inlineStr">
        <is>
          <t>iPhone 11 64GB</t>
        </is>
      </c>
      <c r="B10" s="4" t="n">
        <v>8690000</v>
      </c>
      <c r="C10" s="25" t="n">
        <v>8690000</v>
      </c>
      <c r="D10" s="5" t="n">
        <v>8640000</v>
      </c>
      <c r="E10" s="4" t="n">
        <v>8590000</v>
      </c>
      <c r="F10" s="4" t="n">
        <v>8550000</v>
      </c>
      <c r="G10" s="3" t="n">
        <v>8490000</v>
      </c>
      <c r="H10" s="3" t="n">
        <v>8490000</v>
      </c>
      <c r="I10" s="4" t="inlineStr">
        <is>
          <t>OOS</t>
        </is>
      </c>
      <c r="L10" s="26" t="n"/>
    </row>
    <row r="11">
      <c r="A11" t="inlineStr">
        <is>
          <t>iPad Pro 11" M2 128GB Wifi</t>
        </is>
      </c>
      <c r="B11" s="3" t="n">
        <v>21790000</v>
      </c>
      <c r="C11" s="3" t="n">
        <v>21190000</v>
      </c>
      <c r="D11" s="5" t="n">
        <v>20890000</v>
      </c>
      <c r="E11" s="4" t="n">
        <v>19790000</v>
      </c>
      <c r="F11" s="4" t="inlineStr">
        <is>
          <t>OOS</t>
        </is>
      </c>
      <c r="G11" s="4" t="n">
        <v>19990000</v>
      </c>
      <c r="H11" s="4" t="n">
        <v>20790000</v>
      </c>
      <c r="I11" s="4" t="inlineStr">
        <is>
          <t>OOS</t>
        </is>
      </c>
      <c r="L11" s="26" t="n"/>
    </row>
    <row r="12">
      <c r="A12" t="inlineStr">
        <is>
          <t>iPad Air 5 M1 64GB Wifi</t>
        </is>
      </c>
      <c r="B12" s="3" t="n">
        <v>13890000</v>
      </c>
      <c r="C12" s="3" t="n">
        <v>13890000</v>
      </c>
      <c r="D12" s="5" t="n">
        <v>13990000</v>
      </c>
      <c r="E12" s="4" t="n">
        <v>14490000</v>
      </c>
      <c r="F12" s="4" t="n">
        <v>14090000</v>
      </c>
      <c r="G12" s="4" t="n">
        <v>13990000</v>
      </c>
      <c r="H12" s="4" t="n">
        <v>13790000</v>
      </c>
      <c r="I12" s="3" t="n">
        <v>13607000</v>
      </c>
      <c r="L12" s="26" t="n"/>
    </row>
    <row r="13">
      <c r="A13" t="inlineStr">
        <is>
          <t>iPad Mini 6 64GB Wifi</t>
        </is>
      </c>
      <c r="B13" s="3" t="n">
        <v>12890000</v>
      </c>
      <c r="C13" s="4" t="n">
        <v>12390000</v>
      </c>
      <c r="D13" s="3" t="n">
        <v>12290000</v>
      </c>
      <c r="E13" s="4" t="inlineStr">
        <is>
          <t>12,190,000</t>
        </is>
      </c>
      <c r="F13" s="4" t="n">
        <v>11990000</v>
      </c>
      <c r="G13" s="4" t="n">
        <v>11690000</v>
      </c>
      <c r="H13" s="4" t="n">
        <v>11190000</v>
      </c>
      <c r="I13" s="3" t="n">
        <v>10939000</v>
      </c>
      <c r="L13" s="26" t="n"/>
    </row>
    <row r="14">
      <c r="A14" t="inlineStr">
        <is>
          <t>iPad Gen 10th 64GB Wifi</t>
        </is>
      </c>
      <c r="B14" s="4" t="n">
        <v>10590000</v>
      </c>
      <c r="C14" s="25" t="n">
        <v>10590000</v>
      </c>
      <c r="D14" s="5" t="n">
        <v>9940000</v>
      </c>
      <c r="E14" s="3" t="n">
        <v>9690000</v>
      </c>
      <c r="F14" s="4" t="n">
        <v>9590000</v>
      </c>
      <c r="G14" s="4" t="n">
        <v>9790000</v>
      </c>
      <c r="H14" s="4" t="n">
        <v>9890000</v>
      </c>
      <c r="I14" s="3" t="n">
        <v>9191000</v>
      </c>
      <c r="L14" s="26" t="n"/>
    </row>
    <row r="15">
      <c r="A15" t="inlineStr">
        <is>
          <t>iPad Gen 9th  64GB Wifi</t>
        </is>
      </c>
      <c r="B15" s="4" t="n">
        <v>7090000</v>
      </c>
      <c r="C15" s="25" t="n">
        <v>7090000</v>
      </c>
      <c r="D15" s="5" t="n">
        <v>7040000</v>
      </c>
      <c r="E15" s="4" t="n">
        <v>6990000</v>
      </c>
      <c r="F15" s="4" t="n">
        <v>6890000</v>
      </c>
      <c r="G15" s="3" t="n">
        <v>6690000</v>
      </c>
      <c r="H15" s="4" t="n">
        <v>6890000</v>
      </c>
      <c r="I15" s="3" t="n">
        <v>6707000</v>
      </c>
      <c r="L15" s="26" t="n"/>
    </row>
    <row r="16">
      <c r="A16" t="inlineStr">
        <is>
          <t>AW SE 2023 (40mm GPS)</t>
        </is>
      </c>
      <c r="B16" s="3" t="n">
        <v>5990000</v>
      </c>
      <c r="C16" s="4" t="n">
        <v>5990000</v>
      </c>
      <c r="D16" s="3" t="n">
        <v>5940000</v>
      </c>
      <c r="E16" s="4" t="n">
        <v>5690000</v>
      </c>
      <c r="F16" s="4" t="n">
        <v>5590000</v>
      </c>
      <c r="G16" s="4" t="n">
        <v>5690000</v>
      </c>
      <c r="H16" s="4" t="n">
        <v>5790000</v>
      </c>
      <c r="I16" s="3" t="n">
        <v>5511000</v>
      </c>
      <c r="L16" s="26" t="n"/>
    </row>
    <row r="17">
      <c r="A17" t="inlineStr">
        <is>
          <t>AW SE 2023 (40mm LTE)</t>
        </is>
      </c>
      <c r="B17" s="4" t="n">
        <v>7390000</v>
      </c>
      <c r="C17" s="4" t="n">
        <v>7390000</v>
      </c>
      <c r="D17" s="5" t="n">
        <v>7240000</v>
      </c>
      <c r="E17" s="4" t="n">
        <v>7190000</v>
      </c>
      <c r="F17" s="4" t="n">
        <v>7190000</v>
      </c>
      <c r="G17" s="4" t="n">
        <v>7190000</v>
      </c>
      <c r="H17" s="4" t="n">
        <v>7390000</v>
      </c>
      <c r="I17" s="4" t="inlineStr">
        <is>
          <t>OOS</t>
        </is>
      </c>
      <c r="L17" s="26" t="n"/>
    </row>
    <row r="18">
      <c r="A18" t="inlineStr">
        <is>
          <t>AW SE 2023 (44mm GPS)</t>
        </is>
      </c>
      <c r="B18" s="4" t="n">
        <v>6990000</v>
      </c>
      <c r="C18" s="3" t="n">
        <v>6990000</v>
      </c>
      <c r="D18" s="3" t="n">
        <v>6740000</v>
      </c>
      <c r="E18" s="4" t="n">
        <v>6590000</v>
      </c>
      <c r="F18" s="4" t="n">
        <v>6490000</v>
      </c>
      <c r="G18" s="4" t="n">
        <v>6590000</v>
      </c>
      <c r="H18" s="4" t="n">
        <v>6590000</v>
      </c>
      <c r="I18" s="4" t="inlineStr">
        <is>
          <t>OOS</t>
        </is>
      </c>
      <c r="L18" s="26" t="n"/>
    </row>
    <row r="19">
      <c r="A19" t="inlineStr">
        <is>
          <t>AW SE 2023 (44mm LTE)</t>
        </is>
      </c>
      <c r="B19" s="3" t="n">
        <v>7990000</v>
      </c>
      <c r="C19" s="4" t="n">
        <v>8190000</v>
      </c>
      <c r="D19" s="4" t="n">
        <v>7940000</v>
      </c>
      <c r="E19" s="4" t="n">
        <v>7990000</v>
      </c>
      <c r="F19" s="4" t="n">
        <v>7990000</v>
      </c>
      <c r="G19" s="4" t="n">
        <v>7890000</v>
      </c>
      <c r="H19" s="4" t="n">
        <v>7890000</v>
      </c>
      <c r="I19" s="4" t="inlineStr">
        <is>
          <t>OOS</t>
        </is>
      </c>
      <c r="L19" s="26" t="n"/>
    </row>
    <row r="20">
      <c r="A20" t="inlineStr">
        <is>
          <t>AW S9 (41mm GPS)</t>
        </is>
      </c>
      <c r="B20" s="4" t="n">
        <v>9390000</v>
      </c>
      <c r="C20" s="25" t="n">
        <v>9390000</v>
      </c>
      <c r="D20" s="5" t="n">
        <v>9340000</v>
      </c>
      <c r="E20" s="3" t="n">
        <v>8690000</v>
      </c>
      <c r="F20" s="4" t="n">
        <v>8490000</v>
      </c>
      <c r="G20" s="4" t="n">
        <v>8690000</v>
      </c>
      <c r="H20" s="4" t="n">
        <v>8740000</v>
      </c>
      <c r="I20" s="3" t="n">
        <v>9099000</v>
      </c>
      <c r="L20" s="26" t="n"/>
    </row>
    <row r="21">
      <c r="A21" t="inlineStr">
        <is>
          <t>AW S9 (41mm CEL)</t>
        </is>
      </c>
      <c r="B21" s="3" t="n">
        <v>12390000</v>
      </c>
      <c r="C21" s="3" t="n">
        <v>12390000</v>
      </c>
      <c r="D21" s="5" t="n">
        <v>12290000</v>
      </c>
      <c r="E21" s="4" t="n">
        <v>11690000</v>
      </c>
      <c r="F21" s="4" t="n">
        <v>11790000</v>
      </c>
      <c r="G21" s="4" t="n">
        <v>11890000</v>
      </c>
      <c r="H21" s="4" t="n">
        <v>11540000</v>
      </c>
      <c r="I21" s="4" t="n">
        <v>12690000</v>
      </c>
      <c r="L21" s="26" t="n"/>
    </row>
    <row r="22">
      <c r="A22" t="inlineStr">
        <is>
          <t>AW S9 (45mm GPS)</t>
        </is>
      </c>
      <c r="B22" s="4" t="n">
        <v>10790000</v>
      </c>
      <c r="C22" s="4" t="n">
        <v>10790000</v>
      </c>
      <c r="D22" s="4" t="n">
        <v>10490000</v>
      </c>
      <c r="E22" s="3" t="n">
        <v>9890000</v>
      </c>
      <c r="F22" s="4" t="n">
        <v>10190000</v>
      </c>
      <c r="G22" s="4" t="n">
        <v>9990000</v>
      </c>
      <c r="H22" s="4" t="n">
        <v>9940000</v>
      </c>
      <c r="I22" s="4" t="inlineStr">
        <is>
          <t>OOS</t>
        </is>
      </c>
      <c r="L22" s="26" t="n"/>
    </row>
    <row r="23">
      <c r="A23" t="inlineStr">
        <is>
          <t>AW S9 (45mm CEL)</t>
        </is>
      </c>
      <c r="B23" s="4" t="n">
        <v>13690000</v>
      </c>
      <c r="C23" s="4" t="n">
        <v>13690000</v>
      </c>
      <c r="D23" s="4" t="n">
        <v>13390000</v>
      </c>
      <c r="E23" s="4" t="n">
        <v>12190000</v>
      </c>
      <c r="F23" s="4" t="n">
        <v>12990000</v>
      </c>
      <c r="G23" s="4" t="n">
        <v>12890000</v>
      </c>
      <c r="H23" s="4" t="n">
        <v>12640000</v>
      </c>
      <c r="I23" s="4" t="inlineStr">
        <is>
          <t>OOS</t>
        </is>
      </c>
      <c r="L23" s="26" t="n"/>
    </row>
    <row r="24">
      <c r="A24" t="inlineStr">
        <is>
          <t>AW Ultra 2 (49mm)</t>
        </is>
      </c>
      <c r="B24" s="4" t="n">
        <v>20990000</v>
      </c>
      <c r="C24" s="25" t="n">
        <v>21190000</v>
      </c>
      <c r="D24" s="5" t="n">
        <v>20890000</v>
      </c>
      <c r="E24" s="4" t="n">
        <v>19690000</v>
      </c>
      <c r="F24" s="4" t="n">
        <v>19990000</v>
      </c>
      <c r="G24" s="4" t="n">
        <v>20890000</v>
      </c>
      <c r="H24" s="4" t="n">
        <v>20890000</v>
      </c>
      <c r="I24" s="4" t="inlineStr">
        <is>
          <t>OOS</t>
        </is>
      </c>
      <c r="L24" s="26" t="n"/>
    </row>
    <row r="25">
      <c r="A25" t="inlineStr">
        <is>
          <t>AirPods Pro 2 - 2023 (C-Type)</t>
        </is>
      </c>
      <c r="B25" s="4" t="n">
        <v>5390000</v>
      </c>
      <c r="C25" s="3" t="n">
        <v>5590000</v>
      </c>
      <c r="D25" s="3" t="n">
        <v>5540000</v>
      </c>
      <c r="E25" s="4" t="n">
        <v>5490000</v>
      </c>
      <c r="F25" s="4" t="n">
        <v>5450000</v>
      </c>
      <c r="G25" s="4" t="n">
        <v>5450000</v>
      </c>
      <c r="H25" s="4" t="n">
        <v>5450000</v>
      </c>
      <c r="I25" s="4" t="inlineStr">
        <is>
          <t>OOS</t>
        </is>
      </c>
      <c r="L25" s="26" t="n"/>
    </row>
    <row r="26">
      <c r="A26" t="inlineStr">
        <is>
          <t>AirPods 3 with charging case</t>
        </is>
      </c>
      <c r="B26" s="3" t="n">
        <v>3990000</v>
      </c>
      <c r="C26" s="3" t="n">
        <v>3990000</v>
      </c>
      <c r="D26" s="3" t="n">
        <v>3990000</v>
      </c>
      <c r="E26" s="4" t="n">
        <v>3990000</v>
      </c>
      <c r="F26" s="4" t="n">
        <v>3990000</v>
      </c>
      <c r="G26" s="3" t="n">
        <v>3790000</v>
      </c>
      <c r="H26" s="4" t="n">
        <v>3950000</v>
      </c>
      <c r="I26" s="3" t="n">
        <v>3763000</v>
      </c>
      <c r="L26" s="26" t="n"/>
    </row>
    <row r="27">
      <c r="A27" t="inlineStr">
        <is>
          <t>AirPods 2 with charging case</t>
        </is>
      </c>
      <c r="B27" s="3" t="n">
        <v>2690000</v>
      </c>
      <c r="C27" s="3" t="n">
        <v>2690000</v>
      </c>
      <c r="D27" s="5" t="n">
        <v>2690000</v>
      </c>
      <c r="E27" s="3" t="inlineStr">
        <is>
          <t>2,690,000</t>
        </is>
      </c>
      <c r="F27" s="4" t="n">
        <v>2690000</v>
      </c>
      <c r="G27" s="4" t="n">
        <v>2590000</v>
      </c>
      <c r="H27" s="4" t="n">
        <v>2750000</v>
      </c>
      <c r="I27" s="3" t="n">
        <v>2623000</v>
      </c>
      <c r="L27" s="26" t="n"/>
    </row>
    <row r="28">
      <c r="A28" t="inlineStr">
        <is>
          <t>MacBook Air 13" M1 8/256Gb</t>
        </is>
      </c>
      <c r="B28" s="3" t="n">
        <v>18490000</v>
      </c>
      <c r="C28" s="3" t="n">
        <v>18490000</v>
      </c>
      <c r="D28" s="3" t="n">
        <v>18390000</v>
      </c>
      <c r="F28" s="4" t="n">
        <v>18290000</v>
      </c>
      <c r="G28" s="3" t="n">
        <v>17990000</v>
      </c>
      <c r="H28" s="3" t="n">
        <v>17940000</v>
      </c>
      <c r="I28" s="3" t="n">
        <v>17287000</v>
      </c>
      <c r="L28" s="26" t="n"/>
    </row>
    <row r="29">
      <c r="A29" t="inlineStr">
        <is>
          <t>MacBook Air 13" M2 8/256GB</t>
        </is>
      </c>
      <c r="B29" s="3" t="n">
        <v>23990000</v>
      </c>
      <c r="C29" s="3" t="n">
        <v>24090000</v>
      </c>
      <c r="D29" s="4" t="n">
        <v>23990000</v>
      </c>
      <c r="F29" s="4" t="n">
        <v>23790000</v>
      </c>
      <c r="G29" s="3" t="n">
        <v>23990000</v>
      </c>
      <c r="H29" s="4" t="n">
        <v>23790000</v>
      </c>
      <c r="I29" s="3" t="n">
        <v>23435000</v>
      </c>
      <c r="L29" s="26" t="n"/>
    </row>
    <row r="30">
      <c r="A30" t="inlineStr">
        <is>
          <t>MacBook Air 13" M3 8/256GB</t>
        </is>
      </c>
      <c r="B30" s="4" t="n">
        <v>27290000</v>
      </c>
      <c r="C30" s="3" t="n">
        <v>27890000</v>
      </c>
      <c r="D30" s="5" t="n">
        <v>27190000</v>
      </c>
      <c r="F30" s="4" t="n">
        <v>26190000</v>
      </c>
      <c r="G30" s="4" t="n">
        <v>26890000</v>
      </c>
      <c r="H30" s="4" t="n">
        <v>26840000</v>
      </c>
      <c r="I30" s="4" t="inlineStr">
        <is>
          <t>OOS</t>
        </is>
      </c>
      <c r="L30" s="26" t="n"/>
    </row>
    <row r="31">
      <c r="A31" t="inlineStr">
        <is>
          <t>MacBook Air 15" M3 8/256GB</t>
        </is>
      </c>
      <c r="B31" s="4" t="n">
        <v>31490000</v>
      </c>
      <c r="C31" s="25" t="n">
        <v>31490000</v>
      </c>
      <c r="D31" s="5" t="n">
        <v>31190000</v>
      </c>
      <c r="F31" s="4" t="n">
        <v>30790000</v>
      </c>
      <c r="G31" s="4" t="n">
        <v>31990000</v>
      </c>
      <c r="H31" s="4" t="n">
        <v>31490000</v>
      </c>
      <c r="I31" s="4" t="inlineStr">
        <is>
          <t>OOS</t>
        </is>
      </c>
      <c r="L31" s="26" t="n"/>
    </row>
    <row r="32">
      <c r="A32" t="inlineStr">
        <is>
          <t>MacBook Pro 14" M3 8/512GB</t>
        </is>
      </c>
      <c r="B32" s="4" t="inlineStr">
        <is>
          <t>N/A</t>
        </is>
      </c>
      <c r="C32" s="3" t="n">
        <v>38790000</v>
      </c>
      <c r="D32" s="4" t="n">
        <v>38190000</v>
      </c>
      <c r="F32" s="4" t="n">
        <v>37290000</v>
      </c>
      <c r="G32" s="4" t="n">
        <v>36990000</v>
      </c>
      <c r="H32" s="4" t="n">
        <v>37490000</v>
      </c>
      <c r="I32" s="3" t="inlineStr">
        <is>
          <t>OOS</t>
        </is>
      </c>
      <c r="L32" s="26" t="n"/>
    </row>
  </sheetData>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codeName="Sheet6">
    <outlinePr summaryBelow="1" summaryRight="1"/>
    <pageSetUpPr/>
  </sheetPr>
  <dimension ref="A1:I32"/>
  <sheetViews>
    <sheetView workbookViewId="0">
      <selection activeCell="E2" sqref="E2"/>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18800000</v>
      </c>
      <c r="C2" s="25" t="n">
        <v>18990000</v>
      </c>
      <c r="D2" s="3" t="n">
        <v>18990000</v>
      </c>
      <c r="E2" s="4" t="n">
        <v>18490000</v>
      </c>
      <c r="F2" s="4" t="n">
        <v>18590000</v>
      </c>
      <c r="G2" s="4" t="n">
        <v>18690000</v>
      </c>
      <c r="H2" s="4" t="n">
        <v>18740000</v>
      </c>
      <c r="I2" s="3" t="n">
        <v>17890000</v>
      </c>
    </row>
    <row r="3">
      <c r="A3" t="inlineStr">
        <is>
          <t>iPhone 15  Plus 128GB</t>
        </is>
      </c>
      <c r="B3" s="3" t="n">
        <v>21990000</v>
      </c>
      <c r="C3" s="25" t="n">
        <v>22190000</v>
      </c>
      <c r="D3" s="5" t="n">
        <v>22090000</v>
      </c>
      <c r="E3" s="4" t="n">
        <v>21990000</v>
      </c>
      <c r="F3" s="4" t="n">
        <v>21590000</v>
      </c>
      <c r="G3" s="4" t="n">
        <v>21690000</v>
      </c>
      <c r="H3" s="4" t="n">
        <v>21740000</v>
      </c>
      <c r="I3" s="3" t="n">
        <v>21059000</v>
      </c>
    </row>
    <row r="4">
      <c r="A4" t="inlineStr">
        <is>
          <t>iPhone 15 Pro  128GB</t>
        </is>
      </c>
      <c r="B4" s="3" t="n">
        <v>25490000</v>
      </c>
      <c r="C4" s="3" t="n">
        <v>25690000</v>
      </c>
      <c r="D4" s="3" t="n">
        <v>24690000</v>
      </c>
      <c r="E4" s="4" t="n">
        <v>23990000</v>
      </c>
      <c r="F4" s="4" t="n">
        <v>24390000</v>
      </c>
      <c r="G4" s="4" t="n">
        <v>23890000</v>
      </c>
      <c r="H4" s="4" t="n">
        <v>23740000</v>
      </c>
      <c r="I4" s="4" t="n">
        <v>23819000</v>
      </c>
    </row>
    <row r="5">
      <c r="A5" t="inlineStr">
        <is>
          <t>iPhone 15 Pro Max 256GB</t>
        </is>
      </c>
      <c r="B5" s="3" t="n">
        <v>29390000</v>
      </c>
      <c r="C5" s="3" t="n">
        <v>29590000</v>
      </c>
      <c r="D5" s="5" t="n">
        <v>29390000</v>
      </c>
      <c r="E5" s="4" t="n">
        <v>28990000</v>
      </c>
      <c r="F5" s="4" t="n">
        <v>28590000</v>
      </c>
      <c r="G5" s="4" t="n">
        <v>28590000</v>
      </c>
      <c r="H5" s="4" t="n">
        <v>28690000</v>
      </c>
      <c r="I5" s="3" t="n">
        <v>28419000</v>
      </c>
    </row>
    <row r="6">
      <c r="A6" t="inlineStr">
        <is>
          <t>iPhone 14 Plus 128GB</t>
        </is>
      </c>
      <c r="B6" s="3" t="n">
        <v>19196000</v>
      </c>
      <c r="C6" s="25" t="n">
        <v>19390000</v>
      </c>
      <c r="D6" s="5" t="n">
        <v>19290000</v>
      </c>
      <c r="E6" s="4" t="n">
        <v>19290000</v>
      </c>
      <c r="F6" s="4" t="n">
        <v>19190000</v>
      </c>
      <c r="G6" s="4" t="n">
        <v>18990000</v>
      </c>
      <c r="H6" s="4" t="n">
        <v>19690000</v>
      </c>
      <c r="I6" s="4" t="inlineStr">
        <is>
          <t>OOS</t>
        </is>
      </c>
    </row>
    <row r="7">
      <c r="A7" t="inlineStr">
        <is>
          <t>iPhone 14 128GB</t>
        </is>
      </c>
      <c r="B7" s="3" t="n">
        <v>16226000</v>
      </c>
      <c r="C7" s="3" t="n">
        <v>16390000</v>
      </c>
      <c r="D7" s="3" t="n">
        <v>16290000</v>
      </c>
      <c r="E7" s="4" t="n">
        <v>16390000</v>
      </c>
      <c r="F7" s="4" t="n">
        <v>16390000</v>
      </c>
      <c r="G7" s="4" t="n">
        <v>16290000</v>
      </c>
      <c r="H7" s="4" t="n">
        <v>16990000</v>
      </c>
      <c r="I7" s="3" t="n">
        <v>15723000</v>
      </c>
    </row>
    <row r="8">
      <c r="A8" t="inlineStr">
        <is>
          <t>iPhone 13  128GB</t>
        </is>
      </c>
      <c r="B8" s="3" t="n">
        <v>13553000</v>
      </c>
      <c r="C8" s="25" t="n">
        <v>13690000</v>
      </c>
      <c r="D8" s="5" t="n">
        <v>13590000</v>
      </c>
      <c r="E8" s="4" t="n">
        <v>13190000</v>
      </c>
      <c r="F8" s="4" t="n">
        <v>13190000</v>
      </c>
      <c r="G8" s="3" t="n">
        <v>13190000</v>
      </c>
      <c r="H8" s="3" t="n">
        <v>13190000</v>
      </c>
      <c r="I8" s="4" t="n">
        <v>12779000</v>
      </c>
    </row>
    <row r="9">
      <c r="A9" t="inlineStr">
        <is>
          <t>iPhone 12 64GB</t>
        </is>
      </c>
      <c r="B9" s="3" t="n">
        <v>11474000</v>
      </c>
      <c r="C9" s="25" t="n">
        <v>11590000</v>
      </c>
      <c r="D9" s="3" t="n">
        <v>11490000</v>
      </c>
      <c r="E9" s="4" t="n">
        <v>11990000</v>
      </c>
      <c r="F9" s="4" t="inlineStr">
        <is>
          <t>OOS</t>
        </is>
      </c>
      <c r="G9" s="4" t="n">
        <v>11790000</v>
      </c>
      <c r="H9" s="4" t="n">
        <v>12290000</v>
      </c>
      <c r="I9" s="4" t="inlineStr">
        <is>
          <t>OOS</t>
        </is>
      </c>
    </row>
    <row r="10">
      <c r="A10" t="inlineStr">
        <is>
          <t>iPhone 11 64GB</t>
        </is>
      </c>
      <c r="B10" s="3" t="n">
        <v>8603000</v>
      </c>
      <c r="C10" s="25" t="n">
        <v>8690000</v>
      </c>
      <c r="D10" s="5" t="n">
        <v>8640000</v>
      </c>
      <c r="E10" s="4" t="n">
        <v>8590000</v>
      </c>
      <c r="F10" s="4" t="n">
        <v>8550000</v>
      </c>
      <c r="G10" s="4" t="n">
        <v>8490000</v>
      </c>
      <c r="H10" s="4" t="n">
        <v>8490000</v>
      </c>
      <c r="I10" s="4" t="inlineStr">
        <is>
          <t>OOS</t>
        </is>
      </c>
    </row>
    <row r="11">
      <c r="A11" t="inlineStr">
        <is>
          <t>iPad Pro 11" M2 128GB Wifi</t>
        </is>
      </c>
      <c r="B11" s="3" t="inlineStr">
        <is>
          <t>OOS</t>
        </is>
      </c>
      <c r="C11" s="3" t="n">
        <v>21990000</v>
      </c>
      <c r="D11" s="5" t="n">
        <v>20890000</v>
      </c>
      <c r="E11" s="4" t="n">
        <v>19790000</v>
      </c>
      <c r="F11" s="4" t="inlineStr">
        <is>
          <t>OOS</t>
        </is>
      </c>
      <c r="G11" s="4" t="n">
        <v>19990000</v>
      </c>
      <c r="H11" s="4" t="n">
        <v>20790000</v>
      </c>
      <c r="I11" s="4" t="inlineStr">
        <is>
          <t>OOS</t>
        </is>
      </c>
    </row>
    <row r="12">
      <c r="A12" t="inlineStr">
        <is>
          <t>iPad Air 5 M1 64GB Wifi</t>
        </is>
      </c>
      <c r="B12" s="3" t="n">
        <v>13949000</v>
      </c>
      <c r="C12" s="3" t="n">
        <v>14090000</v>
      </c>
      <c r="D12" s="3" t="n">
        <v>13790000</v>
      </c>
      <c r="E12" s="4" t="n">
        <v>14490000</v>
      </c>
      <c r="F12" s="4" t="n">
        <v>14490000</v>
      </c>
      <c r="G12" s="4" t="n">
        <v>13990000</v>
      </c>
      <c r="H12" s="4" t="n">
        <v>13790000</v>
      </c>
      <c r="I12" s="3" t="n">
        <v>13699000</v>
      </c>
    </row>
    <row r="13">
      <c r="A13" t="inlineStr">
        <is>
          <t>iPad Mini 6 64GB Wifi</t>
        </is>
      </c>
      <c r="B13" s="3" t="n">
        <v>12266000</v>
      </c>
      <c r="C13" s="25" t="n">
        <v>12390000</v>
      </c>
      <c r="D13" s="3" t="n">
        <v>12290000</v>
      </c>
      <c r="E13" s="4" t="inlineStr">
        <is>
          <t>12,190,000</t>
        </is>
      </c>
      <c r="F13" s="4" t="n">
        <v>11990000</v>
      </c>
      <c r="G13" s="4" t="n">
        <v>11690000</v>
      </c>
      <c r="H13" s="4" t="n">
        <v>11190000</v>
      </c>
      <c r="I13" s="3" t="n">
        <v>11031000</v>
      </c>
    </row>
    <row r="14">
      <c r="A14" t="inlineStr">
        <is>
          <t>iPad Gen 10th 64GB Wifi</t>
        </is>
      </c>
      <c r="B14" s="3" t="n">
        <v>10484000</v>
      </c>
      <c r="C14" s="25" t="n">
        <v>10590000</v>
      </c>
      <c r="D14" s="5" t="n">
        <v>9940000</v>
      </c>
      <c r="E14" s="3" t="n">
        <v>9490000</v>
      </c>
      <c r="F14" s="4" t="n">
        <v>9590000</v>
      </c>
      <c r="G14" s="4" t="n">
        <v>9790000</v>
      </c>
      <c r="H14" s="3" t="n">
        <v>9690000</v>
      </c>
      <c r="I14" s="3" t="n">
        <v>9283000</v>
      </c>
    </row>
    <row r="15">
      <c r="A15" t="inlineStr">
        <is>
          <t>iPad Gen 9th  64GB Wifi</t>
        </is>
      </c>
      <c r="B15" s="3" t="n">
        <v>7118000</v>
      </c>
      <c r="C15" s="3" t="n">
        <v>7190000</v>
      </c>
      <c r="D15" s="5" t="n">
        <v>7040000</v>
      </c>
      <c r="E15" s="3" t="n">
        <v>6790000</v>
      </c>
      <c r="F15" s="4" t="n">
        <v>6790000</v>
      </c>
      <c r="G15" s="3" t="n">
        <v>6890000</v>
      </c>
      <c r="H15" s="4" t="n">
        <v>6890000</v>
      </c>
      <c r="I15" s="4" t="n">
        <v>6707000</v>
      </c>
    </row>
    <row r="16">
      <c r="A16" t="inlineStr">
        <is>
          <t>AW SE 2023 (40mm GPS)</t>
        </is>
      </c>
      <c r="B16" s="3" t="n">
        <v>5930000</v>
      </c>
      <c r="C16" s="3" t="n">
        <v>5790000</v>
      </c>
      <c r="D16" s="3" t="n">
        <v>5740000</v>
      </c>
      <c r="E16" s="5" t="n">
        <v>5690000</v>
      </c>
      <c r="F16" s="4" t="n">
        <v>5590000</v>
      </c>
      <c r="G16" s="4" t="n">
        <v>5690000</v>
      </c>
      <c r="H16" s="4" t="n">
        <v>5790000</v>
      </c>
      <c r="I16" s="3" t="n">
        <v>5503000</v>
      </c>
    </row>
    <row r="17">
      <c r="A17" t="inlineStr">
        <is>
          <t>AW SE 2023 (40mm LTE)</t>
        </is>
      </c>
      <c r="B17" s="3" t="n">
        <v>7217000</v>
      </c>
      <c r="C17" s="3" t="n">
        <v>7290000</v>
      </c>
      <c r="D17" s="5" t="n">
        <v>7240000</v>
      </c>
      <c r="E17" s="5" t="n">
        <v>7190000</v>
      </c>
      <c r="F17" s="4" t="n">
        <v>7190000</v>
      </c>
      <c r="G17" s="4" t="n">
        <v>7190000</v>
      </c>
      <c r="H17" s="4" t="n">
        <v>7390000</v>
      </c>
      <c r="I17" s="4" t="inlineStr">
        <is>
          <t>OOS</t>
        </is>
      </c>
    </row>
    <row r="18">
      <c r="A18" t="inlineStr">
        <is>
          <t>AW SE 2023 (44mm GPS)</t>
        </is>
      </c>
      <c r="B18" s="3" t="n">
        <v>6821000</v>
      </c>
      <c r="C18" s="3" t="n">
        <v>6890000</v>
      </c>
      <c r="D18" s="3" t="n">
        <v>6740000</v>
      </c>
      <c r="E18" s="5" t="n">
        <v>6590000</v>
      </c>
      <c r="F18" s="4" t="n">
        <v>6490000</v>
      </c>
      <c r="G18" s="4" t="n">
        <v>6590000</v>
      </c>
      <c r="H18" s="4" t="n">
        <v>6590000</v>
      </c>
      <c r="I18" s="4" t="n">
        <v>6891000</v>
      </c>
    </row>
    <row r="19">
      <c r="A19" t="inlineStr">
        <is>
          <t>AW SE 2023 (44mm LTE)</t>
        </is>
      </c>
      <c r="B19" s="3" t="n">
        <v>8009000</v>
      </c>
      <c r="C19" s="3" t="n">
        <v>7890000</v>
      </c>
      <c r="D19" s="4" t="n">
        <v>7940000</v>
      </c>
      <c r="E19" s="5" t="n">
        <v>7990000</v>
      </c>
      <c r="F19" s="4" t="n">
        <v>7990000</v>
      </c>
      <c r="G19" s="4" t="n">
        <v>7890000</v>
      </c>
      <c r="H19" s="4" t="n">
        <v>7890000</v>
      </c>
      <c r="I19" s="4" t="inlineStr">
        <is>
          <t>OOS</t>
        </is>
      </c>
    </row>
    <row r="20">
      <c r="A20" t="inlineStr">
        <is>
          <t>AW S9 (41mm GPS)</t>
        </is>
      </c>
      <c r="B20" s="3" t="n">
        <v>9593000</v>
      </c>
      <c r="C20" s="3" t="n">
        <v>9190000</v>
      </c>
      <c r="D20" s="3" t="n">
        <v>9040000</v>
      </c>
      <c r="E20" s="5" t="n">
        <v>8690000</v>
      </c>
      <c r="F20" s="4" t="n">
        <v>8490000</v>
      </c>
      <c r="G20" s="4" t="n">
        <v>8690000</v>
      </c>
      <c r="H20" s="3" t="n">
        <v>8640000</v>
      </c>
      <c r="I20" s="4" t="n">
        <v>9099000</v>
      </c>
    </row>
    <row r="21">
      <c r="A21" t="inlineStr">
        <is>
          <t>AW S9 (41mm CEL)</t>
        </is>
      </c>
      <c r="B21" s="3" t="n">
        <v>11969000</v>
      </c>
      <c r="C21" s="3" t="n">
        <v>12790000</v>
      </c>
      <c r="D21" s="3" t="n">
        <v>11990000</v>
      </c>
      <c r="E21" s="5" t="n">
        <v>11690000</v>
      </c>
      <c r="F21" s="4" t="n">
        <v>11790000</v>
      </c>
      <c r="G21" s="4" t="n">
        <v>11890000</v>
      </c>
      <c r="H21" s="4" t="n">
        <v>11540000</v>
      </c>
      <c r="I21" s="4" t="inlineStr">
        <is>
          <t>OOS</t>
        </is>
      </c>
    </row>
    <row r="22">
      <c r="A22" t="inlineStr">
        <is>
          <t>AW S9 (45mm GPS)</t>
        </is>
      </c>
      <c r="B22" s="3" t="n">
        <v>10583000</v>
      </c>
      <c r="C22" s="3" t="n">
        <v>10690000</v>
      </c>
      <c r="D22" s="4" t="n">
        <v>10490000</v>
      </c>
      <c r="E22" s="5" t="n">
        <v>9890000</v>
      </c>
      <c r="F22" s="4" t="n">
        <v>10190000</v>
      </c>
      <c r="G22" s="4" t="n">
        <v>9990000</v>
      </c>
      <c r="H22" s="4" t="n">
        <v>9940000</v>
      </c>
      <c r="I22" s="4" t="inlineStr">
        <is>
          <t>OOS</t>
        </is>
      </c>
    </row>
    <row r="23">
      <c r="A23" t="inlineStr">
        <is>
          <t>AW S9 (45mm CEL)</t>
        </is>
      </c>
      <c r="B23" s="4" t="n">
        <v>13690000</v>
      </c>
      <c r="C23" s="4" t="n">
        <v>13690000</v>
      </c>
      <c r="D23" s="4" t="n">
        <v>13390000</v>
      </c>
      <c r="E23" s="5" t="n">
        <v>12190000</v>
      </c>
      <c r="F23" s="4" t="n">
        <v>12990000</v>
      </c>
      <c r="G23" s="4" t="n">
        <v>12890000</v>
      </c>
      <c r="H23" s="4" t="n">
        <v>12640000</v>
      </c>
      <c r="I23" s="4" t="inlineStr">
        <is>
          <t>OOS</t>
        </is>
      </c>
    </row>
    <row r="24">
      <c r="A24" t="inlineStr">
        <is>
          <t>AW Ultra 2 (49mm)</t>
        </is>
      </c>
      <c r="B24" s="3" t="n">
        <v>20590000</v>
      </c>
      <c r="C24" s="3" t="n">
        <v>21090000</v>
      </c>
      <c r="D24" s="5" t="n">
        <v>20890000</v>
      </c>
      <c r="E24" s="5" t="n">
        <v>19690000</v>
      </c>
      <c r="F24" s="4" t="n">
        <v>19990000</v>
      </c>
      <c r="G24" s="4" t="n">
        <v>20890000</v>
      </c>
      <c r="H24" s="4" t="n">
        <v>20890000</v>
      </c>
      <c r="I24" s="4" t="inlineStr">
        <is>
          <t>OOS</t>
        </is>
      </c>
    </row>
    <row r="25">
      <c r="A25" t="inlineStr">
        <is>
          <t>AirPods Pro 2 - 2023 (C-Type)</t>
        </is>
      </c>
      <c r="B25" s="27" t="n">
        <v>5390000</v>
      </c>
      <c r="C25" s="25" t="n">
        <v>5590000</v>
      </c>
      <c r="D25" s="5" t="n">
        <v>5540000</v>
      </c>
      <c r="E25" s="5" t="n">
        <v>5490000</v>
      </c>
      <c r="F25" s="4" t="n">
        <v>5450000</v>
      </c>
      <c r="G25" s="4" t="n">
        <v>5450000</v>
      </c>
      <c r="H25" s="4" t="n">
        <v>5450000</v>
      </c>
      <c r="I25" s="4" t="inlineStr">
        <is>
          <t>OOS</t>
        </is>
      </c>
    </row>
    <row r="26">
      <c r="A26" t="inlineStr">
        <is>
          <t>AirPods 3 with charging case</t>
        </is>
      </c>
      <c r="B26" s="3" t="n">
        <v>3890000</v>
      </c>
      <c r="C26" s="3" t="n">
        <v>3890000</v>
      </c>
      <c r="D26" s="5" t="n">
        <v>3990000</v>
      </c>
      <c r="E26" s="5" t="n">
        <v>3990000</v>
      </c>
      <c r="F26" s="4" t="n">
        <v>3990000</v>
      </c>
      <c r="G26" s="4" t="n">
        <v>3790000</v>
      </c>
      <c r="H26" s="4" t="n">
        <v>3950000</v>
      </c>
      <c r="I26" s="4" t="inlineStr">
        <is>
          <t>OOS</t>
        </is>
      </c>
    </row>
    <row r="27">
      <c r="A27" t="inlineStr">
        <is>
          <t>AirPods 2 with charging case</t>
        </is>
      </c>
      <c r="B27" s="28" t="n">
        <v>2690000</v>
      </c>
      <c r="C27" s="25" t="n">
        <v>2690000</v>
      </c>
      <c r="D27" s="5" t="n">
        <v>2690000</v>
      </c>
      <c r="E27" s="5" t="inlineStr">
        <is>
          <t>2,690,000</t>
        </is>
      </c>
      <c r="F27" s="4" t="n">
        <v>2690000</v>
      </c>
      <c r="G27" s="4" t="n">
        <v>2590000</v>
      </c>
      <c r="H27" s="3" t="n">
        <v>2690000</v>
      </c>
      <c r="I27" s="3" t="n">
        <v>2790000</v>
      </c>
    </row>
    <row r="28">
      <c r="A28" t="inlineStr">
        <is>
          <t>MacBook Air 13" M1 8/256Gb</t>
        </is>
      </c>
      <c r="B28" s="28" t="n">
        <v>18490000</v>
      </c>
      <c r="C28" s="25" t="n">
        <v>18490000</v>
      </c>
      <c r="D28" s="5" t="n">
        <v>18390000</v>
      </c>
      <c r="F28" s="4" t="n">
        <v>18290000</v>
      </c>
      <c r="G28" s="3" t="n">
        <v>18190000</v>
      </c>
      <c r="H28" s="4" t="n">
        <v>17940000</v>
      </c>
      <c r="I28" s="4" t="n">
        <v>17287000</v>
      </c>
    </row>
    <row r="29">
      <c r="A29" t="inlineStr">
        <is>
          <t>MacBook Air 13" M2 8/256GB</t>
        </is>
      </c>
      <c r="B29" s="3" t="n">
        <v>23790000</v>
      </c>
      <c r="C29" s="3" t="n">
        <v>23990000</v>
      </c>
      <c r="D29" s="4" t="n">
        <v>23890000</v>
      </c>
      <c r="F29" s="4" t="n">
        <v>23690000</v>
      </c>
      <c r="G29" s="4" t="n">
        <v>23990000</v>
      </c>
      <c r="H29" s="3" t="n">
        <v>23490000</v>
      </c>
      <c r="I29" s="3" t="n">
        <v>23635000</v>
      </c>
    </row>
    <row r="30">
      <c r="A30" t="inlineStr">
        <is>
          <t>MacBook Air 13" M3 8/256GB</t>
        </is>
      </c>
      <c r="B30" s="3" t="n">
        <v>27090000</v>
      </c>
      <c r="C30" s="3" t="n">
        <v>27290000</v>
      </c>
      <c r="D30" s="5" t="n">
        <v>27190000</v>
      </c>
      <c r="F30" s="4" t="n">
        <v>26190000</v>
      </c>
      <c r="G30" s="4" t="n">
        <v>26890000</v>
      </c>
      <c r="H30" s="4" t="n">
        <v>26840000</v>
      </c>
      <c r="I30" s="4" t="inlineStr">
        <is>
          <t>OOS</t>
        </is>
      </c>
    </row>
    <row r="31">
      <c r="A31" t="inlineStr">
        <is>
          <t>MacBook Air 15" M3 8/256GB</t>
        </is>
      </c>
      <c r="B31" s="3" t="n">
        <v>31290000</v>
      </c>
      <c r="C31" s="25" t="n">
        <v>31490000</v>
      </c>
      <c r="D31" s="5" t="n">
        <v>31190000</v>
      </c>
      <c r="F31" s="4" t="n">
        <v>30790000</v>
      </c>
      <c r="G31" s="4" t="n">
        <v>31990000</v>
      </c>
      <c r="H31" s="4" t="n">
        <v>31490000</v>
      </c>
      <c r="I31" s="4" t="inlineStr">
        <is>
          <t>OOS</t>
        </is>
      </c>
    </row>
    <row r="32">
      <c r="A32" t="inlineStr">
        <is>
          <t>MacBook Pro 14" M3 8/512GB</t>
        </is>
      </c>
      <c r="B32" s="4" t="inlineStr">
        <is>
          <t>N/A</t>
        </is>
      </c>
      <c r="C32" s="3" t="n">
        <v>38490000</v>
      </c>
      <c r="D32" s="4" t="n">
        <v>38190000</v>
      </c>
      <c r="F32" s="4" t="n">
        <v>37290000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codeName="Sheet7">
    <outlinePr summaryBelow="1" summaryRight="1"/>
    <pageSetUpPr/>
  </sheetPr>
  <dimension ref="A1:N32"/>
  <sheetViews>
    <sheetView workbookViewId="0">
      <selection activeCell="E2" sqref="E2"/>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18998000</v>
      </c>
      <c r="C2" s="3" t="n">
        <v>19190000</v>
      </c>
      <c r="D2" s="3" t="n">
        <v>19090000</v>
      </c>
      <c r="E2" s="3" t="n">
        <v>18990000</v>
      </c>
      <c r="F2" s="3" t="n">
        <v>18790000</v>
      </c>
      <c r="G2" s="4" t="n">
        <v>18690000</v>
      </c>
      <c r="H2" s="4" t="n">
        <v>18740000</v>
      </c>
      <c r="I2" s="3" t="n">
        <v>18023000</v>
      </c>
    </row>
    <row r="3">
      <c r="A3" t="inlineStr">
        <is>
          <t>iPhone 15  Plus 128GB</t>
        </is>
      </c>
      <c r="B3" s="3" t="n">
        <v>21790000</v>
      </c>
      <c r="C3" s="3" t="n">
        <v>21990000</v>
      </c>
      <c r="D3" s="3" t="n">
        <v>21990000</v>
      </c>
      <c r="E3" s="4" t="n">
        <v>21990000</v>
      </c>
      <c r="F3" s="3" t="n">
        <v>21490000</v>
      </c>
      <c r="G3" s="3" t="n">
        <v>21790000</v>
      </c>
      <c r="H3" s="4" t="n">
        <v>21740000</v>
      </c>
      <c r="I3" s="3" t="n">
        <v>20783000</v>
      </c>
    </row>
    <row r="4">
      <c r="A4" t="inlineStr">
        <is>
          <t>iPhone 15 Pro  128GB</t>
        </is>
      </c>
      <c r="B4" s="3" t="n">
        <v>25990000</v>
      </c>
      <c r="C4" s="3" t="n">
        <v>26190000</v>
      </c>
      <c r="D4" s="3" t="n">
        <v>25590000</v>
      </c>
      <c r="E4" s="3" t="n">
        <v>24490000</v>
      </c>
      <c r="F4" s="3" t="n">
        <v>24890000</v>
      </c>
      <c r="G4" s="3" t="n">
        <v>24090000</v>
      </c>
      <c r="H4" s="4" t="n">
        <v>24290000</v>
      </c>
      <c r="I4" s="3" t="n">
        <v>23490000</v>
      </c>
    </row>
    <row r="5">
      <c r="A5" t="inlineStr">
        <is>
          <t>iPhone 15 Pro Max 256GB</t>
        </is>
      </c>
      <c r="B5" s="3" t="n">
        <v>29590000</v>
      </c>
      <c r="C5" s="3" t="n">
        <v>29790000</v>
      </c>
      <c r="D5" s="5" t="n">
        <v>29390000</v>
      </c>
      <c r="E5" s="3" t="n">
        <v>29990000</v>
      </c>
      <c r="F5" s="3" t="n">
        <v>28890000</v>
      </c>
      <c r="G5" s="3" t="n">
        <v>28690000</v>
      </c>
      <c r="H5" s="4" t="n">
        <v>28890000</v>
      </c>
      <c r="I5" s="3" t="n">
        <v>28490000</v>
      </c>
    </row>
    <row r="6">
      <c r="A6" t="inlineStr">
        <is>
          <t>iPhone 14 Plus 128GB</t>
        </is>
      </c>
      <c r="B6" s="28" t="n">
        <v>19196000</v>
      </c>
      <c r="C6" s="3" t="n">
        <v>19390000</v>
      </c>
      <c r="D6" s="5" t="n">
        <v>19290000</v>
      </c>
      <c r="E6" s="3" t="n">
        <v>19490000</v>
      </c>
      <c r="F6" s="4" t="n">
        <v>19190000</v>
      </c>
      <c r="G6" s="4" t="n">
        <v>18990000</v>
      </c>
      <c r="H6" s="3" t="n">
        <v>18990000</v>
      </c>
      <c r="I6" s="4" t="n">
        <v>23031000</v>
      </c>
    </row>
    <row r="7">
      <c r="A7" t="inlineStr">
        <is>
          <t>iPhone 14 128GB</t>
        </is>
      </c>
      <c r="B7" s="3" t="n">
        <v>17414000</v>
      </c>
      <c r="C7" s="3" t="n">
        <v>17590000</v>
      </c>
      <c r="D7" s="3" t="n">
        <v>17090000</v>
      </c>
      <c r="E7" s="4" t="n">
        <v>16390000</v>
      </c>
      <c r="F7" s="3" t="n">
        <v>16590000</v>
      </c>
      <c r="G7" s="4" t="n">
        <v>16290000</v>
      </c>
      <c r="H7" s="4" t="n">
        <v>16290000</v>
      </c>
      <c r="I7" s="4" t="n">
        <v>15723000</v>
      </c>
    </row>
    <row r="8">
      <c r="A8" t="inlineStr">
        <is>
          <t>iPhone 13  128GB</t>
        </is>
      </c>
      <c r="B8" s="3" t="n">
        <v>13454000</v>
      </c>
      <c r="C8" s="3" t="n">
        <v>13590000</v>
      </c>
      <c r="D8" s="3" t="n">
        <v>13690000</v>
      </c>
      <c r="E8" s="3" t="n">
        <v>13490000</v>
      </c>
      <c r="F8" s="4" t="n">
        <v>13190000</v>
      </c>
      <c r="G8" s="4" t="n">
        <v>13190000</v>
      </c>
      <c r="H8" s="4" t="n">
        <v>13390000</v>
      </c>
      <c r="I8" s="3" t="n">
        <v>12687000</v>
      </c>
    </row>
    <row r="9">
      <c r="A9" t="inlineStr">
        <is>
          <t>iPhone 12 64GB</t>
        </is>
      </c>
      <c r="B9" s="4" t="n">
        <v>11474000</v>
      </c>
      <c r="C9" s="3" t="n">
        <v>11590000</v>
      </c>
      <c r="D9" s="5" t="n">
        <v>11490000</v>
      </c>
      <c r="E9" s="3" t="n">
        <v>11490000</v>
      </c>
      <c r="F9" s="4" t="inlineStr">
        <is>
          <t>OOS</t>
        </is>
      </c>
      <c r="G9" s="4" t="n">
        <v>11790000</v>
      </c>
      <c r="H9" s="4" t="n">
        <v>12290000</v>
      </c>
      <c r="I9" s="4" t="inlineStr">
        <is>
          <t>OOS</t>
        </is>
      </c>
    </row>
    <row r="10">
      <c r="A10" t="inlineStr">
        <is>
          <t>iPhone 11 64GB</t>
        </is>
      </c>
      <c r="B10" s="4" t="n">
        <v>8603000</v>
      </c>
      <c r="C10" s="3" t="n">
        <v>8680000</v>
      </c>
      <c r="D10" s="5" t="n">
        <v>8640000</v>
      </c>
      <c r="E10" s="3" t="n">
        <v>8790000</v>
      </c>
      <c r="F10" s="4" t="n">
        <v>8550000</v>
      </c>
      <c r="G10" s="3" t="n">
        <v>8590000</v>
      </c>
      <c r="H10" s="4" t="n">
        <v>8490000</v>
      </c>
      <c r="I10" s="4" t="inlineStr">
        <is>
          <t>OOS</t>
        </is>
      </c>
    </row>
    <row r="11">
      <c r="A11" t="inlineStr">
        <is>
          <t>iPad Pro 11" M2 128GB Wifi</t>
        </is>
      </c>
      <c r="B11" s="4" t="inlineStr">
        <is>
          <t>OOS</t>
        </is>
      </c>
      <c r="C11" s="3" t="inlineStr">
        <is>
          <t>OOS</t>
        </is>
      </c>
      <c r="D11" s="5" t="n">
        <v>20890000</v>
      </c>
      <c r="E11" s="4" t="inlineStr">
        <is>
          <t>N/A</t>
        </is>
      </c>
      <c r="F11" s="4" t="inlineStr">
        <is>
          <t>OOS</t>
        </is>
      </c>
      <c r="G11" s="4" t="n">
        <v>19990000</v>
      </c>
      <c r="H11" s="4" t="n">
        <v>20790000</v>
      </c>
      <c r="I11" s="4" t="inlineStr">
        <is>
          <t>OOS</t>
        </is>
      </c>
    </row>
    <row r="12">
      <c r="A12" t="inlineStr">
        <is>
          <t>iPad Air 5 M1 64GB Wifi</t>
        </is>
      </c>
      <c r="B12" s="4" t="n">
        <v>13949000</v>
      </c>
      <c r="C12" s="3" t="n">
        <v>14090000</v>
      </c>
      <c r="D12" s="3" t="n">
        <v>13990000</v>
      </c>
      <c r="E12" s="3" t="n">
        <v>14290000</v>
      </c>
      <c r="F12" s="4" t="n">
        <v>14490000</v>
      </c>
      <c r="G12" s="4" t="n">
        <v>13990000</v>
      </c>
      <c r="H12" s="4" t="n">
        <v>14290000</v>
      </c>
      <c r="I12" s="3" t="n">
        <v>13515000</v>
      </c>
    </row>
    <row r="13">
      <c r="A13" t="inlineStr">
        <is>
          <t>iPad Mini 6 64GB Wifi</t>
        </is>
      </c>
      <c r="B13" s="4" t="n">
        <v>12266000</v>
      </c>
      <c r="C13" s="3" t="n">
        <v>12390000</v>
      </c>
      <c r="D13" s="3" t="n">
        <v>12690000</v>
      </c>
      <c r="E13" s="4" t="inlineStr">
        <is>
          <t>12,190,000</t>
        </is>
      </c>
      <c r="F13" s="3" t="n">
        <v>12190000</v>
      </c>
      <c r="G13" s="4" t="n">
        <v>11690000</v>
      </c>
      <c r="H13" s="4" t="n">
        <v>12190000</v>
      </c>
      <c r="I13" s="4" t="n">
        <v>11031000</v>
      </c>
    </row>
    <row r="14">
      <c r="A14" t="inlineStr">
        <is>
          <t>iPad Gen 10th 64GB Wifi</t>
        </is>
      </c>
      <c r="B14" s="3" t="n">
        <v>10187000</v>
      </c>
      <c r="C14" s="3" t="n">
        <v>10290000</v>
      </c>
      <c r="D14" s="5" t="n">
        <v>9940000</v>
      </c>
      <c r="E14" s="3" t="n">
        <v>9690000</v>
      </c>
      <c r="F14" s="4" t="n">
        <v>9590000</v>
      </c>
      <c r="G14" s="3" t="n">
        <v>9490000</v>
      </c>
      <c r="H14" s="4" t="n">
        <v>9690000</v>
      </c>
      <c r="I14" s="3" t="n">
        <v>9391000</v>
      </c>
    </row>
    <row r="15" ht="17.1" customHeight="1" s="35">
      <c r="A15" t="inlineStr">
        <is>
          <t>iPad Gen 9th  64GB Wifi</t>
        </is>
      </c>
      <c r="B15" s="4" t="n">
        <v>7118000</v>
      </c>
      <c r="C15" s="3" t="n">
        <v>7190000</v>
      </c>
      <c r="D15" s="3" t="n">
        <v>7140000</v>
      </c>
      <c r="E15" s="3" t="n">
        <v>6990000</v>
      </c>
      <c r="F15" s="4" t="n">
        <v>6790000</v>
      </c>
      <c r="G15" s="4" t="n">
        <v>6890000</v>
      </c>
      <c r="H15" s="4" t="n">
        <v>6890000</v>
      </c>
      <c r="I15" s="3" t="n">
        <v>6561000</v>
      </c>
    </row>
    <row r="16">
      <c r="A16" t="inlineStr">
        <is>
          <t>AW SE 2023 (40mm GPS)</t>
        </is>
      </c>
      <c r="B16" s="4" t="n">
        <v>5930000</v>
      </c>
      <c r="C16" s="3" t="n">
        <v>5790000</v>
      </c>
      <c r="D16" s="5" t="n">
        <v>5740000</v>
      </c>
      <c r="E16" s="4" t="n">
        <v>5690000</v>
      </c>
      <c r="F16" s="3" t="n">
        <v>5690000</v>
      </c>
      <c r="G16" s="4" t="n">
        <v>5690000</v>
      </c>
      <c r="H16" s="4" t="n">
        <v>5790000</v>
      </c>
      <c r="I16" s="3" t="n">
        <v>5083000</v>
      </c>
    </row>
    <row r="17">
      <c r="A17" t="inlineStr">
        <is>
          <t>AW SE 2023 (40mm LTE)</t>
        </is>
      </c>
      <c r="B17" s="4" t="n">
        <v>7217000</v>
      </c>
      <c r="C17" s="3" t="n">
        <v>7290000</v>
      </c>
      <c r="D17" s="5" t="n">
        <v>7240000</v>
      </c>
      <c r="E17" s="4" t="n">
        <v>7190000</v>
      </c>
      <c r="F17" s="4" t="n">
        <v>7190000</v>
      </c>
      <c r="G17" s="4" t="n">
        <v>7190000</v>
      </c>
      <c r="H17" s="4" t="n">
        <v>7390000</v>
      </c>
      <c r="I17" s="4" t="inlineStr">
        <is>
          <t>OOS</t>
        </is>
      </c>
    </row>
    <row r="18">
      <c r="A18" t="inlineStr">
        <is>
          <t>AW SE 2023 (44mm GPS)</t>
        </is>
      </c>
      <c r="B18" s="4" t="n">
        <v>6821000</v>
      </c>
      <c r="C18" s="3" t="n">
        <v>6890000</v>
      </c>
      <c r="D18" s="5" t="n">
        <v>6740000</v>
      </c>
      <c r="E18" s="4" t="n">
        <v>6590000</v>
      </c>
      <c r="F18" s="4" t="n">
        <v>6490000</v>
      </c>
      <c r="G18" s="4" t="n">
        <v>6590000</v>
      </c>
      <c r="H18" s="4" t="n">
        <v>6590000</v>
      </c>
      <c r="I18" s="3" t="n">
        <v>6577000</v>
      </c>
    </row>
    <row r="19">
      <c r="A19" t="inlineStr">
        <is>
          <t>AW SE 2023 (44mm LTE)</t>
        </is>
      </c>
      <c r="B19" s="4" t="n">
        <v>8009000</v>
      </c>
      <c r="C19" s="3" t="n">
        <v>8090000</v>
      </c>
      <c r="D19" s="4" t="n">
        <v>7940000</v>
      </c>
      <c r="E19" s="4" t="n">
        <v>7990000</v>
      </c>
      <c r="F19" s="4" t="n">
        <v>7990000</v>
      </c>
      <c r="G19" s="4" t="n">
        <v>7890000</v>
      </c>
      <c r="H19" s="4" t="n">
        <v>7890000</v>
      </c>
      <c r="I19" s="4" t="inlineStr">
        <is>
          <t>OOS</t>
        </is>
      </c>
    </row>
    <row r="20">
      <c r="A20" t="inlineStr">
        <is>
          <t>AW S9 (41mm GPS)</t>
        </is>
      </c>
      <c r="B20" s="4" t="n">
        <v>9593000</v>
      </c>
      <c r="C20" s="3" t="n">
        <v>9190000</v>
      </c>
      <c r="D20" s="5" t="n">
        <v>9040000</v>
      </c>
      <c r="E20" s="4" t="n">
        <v>8690000</v>
      </c>
      <c r="F20" s="4" t="n">
        <v>8490000</v>
      </c>
      <c r="G20" s="4" t="n">
        <v>8690000</v>
      </c>
      <c r="H20" s="4" t="n">
        <v>8890000</v>
      </c>
      <c r="I20" s="3" t="n">
        <v>9209000</v>
      </c>
      <c r="N20" s="29" t="n"/>
    </row>
    <row r="21">
      <c r="A21" t="inlineStr">
        <is>
          <t>AW S9 (41mm CEL)</t>
        </is>
      </c>
      <c r="B21" s="4" t="n">
        <v>11969000</v>
      </c>
      <c r="C21" s="3" t="n">
        <v>12090000</v>
      </c>
      <c r="D21" s="5" t="n">
        <v>11990000</v>
      </c>
      <c r="E21" s="4" t="n">
        <v>11690000</v>
      </c>
      <c r="F21" s="4" t="n">
        <v>11790000</v>
      </c>
      <c r="G21" s="4" t="n">
        <v>11890000</v>
      </c>
      <c r="H21" s="4" t="n">
        <v>11540000</v>
      </c>
      <c r="I21" s="4" t="inlineStr">
        <is>
          <t>OOS</t>
        </is>
      </c>
    </row>
    <row r="22">
      <c r="A22" t="inlineStr">
        <is>
          <t>AW S9 (45mm GPS)</t>
        </is>
      </c>
      <c r="B22" s="4" t="n">
        <v>10583000</v>
      </c>
      <c r="C22" s="3" t="n">
        <v>10490000</v>
      </c>
      <c r="D22" s="4" t="n">
        <v>10490000</v>
      </c>
      <c r="E22" s="4" t="n">
        <v>9890000</v>
      </c>
      <c r="F22" s="4" t="n">
        <v>10190000</v>
      </c>
      <c r="G22" s="4" t="n">
        <v>9990000</v>
      </c>
      <c r="H22" s="4" t="n">
        <v>9940000</v>
      </c>
      <c r="I22" s="4" t="inlineStr">
        <is>
          <t>OOS</t>
        </is>
      </c>
    </row>
    <row r="23">
      <c r="A23" t="inlineStr">
        <is>
          <t>AW S9 (45mm CEL)</t>
        </is>
      </c>
      <c r="B23" s="4" t="n">
        <v>13690000</v>
      </c>
      <c r="C23" s="3" t="n">
        <v>13690000</v>
      </c>
      <c r="D23" s="4" t="n">
        <v>13390000</v>
      </c>
      <c r="E23" s="4" t="n">
        <v>12190000</v>
      </c>
      <c r="F23" s="4" t="n">
        <v>12990000</v>
      </c>
      <c r="G23" s="4" t="n">
        <v>12890000</v>
      </c>
      <c r="H23" s="4" t="n">
        <v>12640000</v>
      </c>
      <c r="I23" s="4" t="inlineStr">
        <is>
          <t>OOS</t>
        </is>
      </c>
    </row>
    <row r="24">
      <c r="A24" t="inlineStr">
        <is>
          <t>AW Ultra 2 (49mm)</t>
        </is>
      </c>
      <c r="B24" s="3" t="n">
        <v>20790000</v>
      </c>
      <c r="C24" s="3" t="n">
        <v>20990000</v>
      </c>
      <c r="D24" s="5" t="n">
        <v>20890000</v>
      </c>
      <c r="E24" s="4" t="n">
        <v>19990000</v>
      </c>
      <c r="F24" s="4" t="n">
        <v>19990000</v>
      </c>
      <c r="G24" s="4" t="n">
        <v>20890000</v>
      </c>
      <c r="H24" s="4" t="n">
        <v>20890000</v>
      </c>
      <c r="I24" s="4" t="inlineStr">
        <is>
          <t>OOS</t>
        </is>
      </c>
    </row>
    <row r="25">
      <c r="A25" t="inlineStr">
        <is>
          <t>AirPods Pro 2 - 2023 (C-Type)</t>
        </is>
      </c>
      <c r="B25" s="27" t="n">
        <v>5390000</v>
      </c>
      <c r="C25" s="25" t="n">
        <v>5590000</v>
      </c>
      <c r="D25" s="5" t="n">
        <v>5540000</v>
      </c>
      <c r="E25" s="3" t="n">
        <v>5290000</v>
      </c>
      <c r="F25" s="4" t="n">
        <v>5450000</v>
      </c>
      <c r="G25" s="4" t="n">
        <v>5450000</v>
      </c>
      <c r="H25" s="4" t="n">
        <v>5450000</v>
      </c>
      <c r="I25" s="4" t="inlineStr">
        <is>
          <t>OOS</t>
        </is>
      </c>
    </row>
    <row r="26">
      <c r="A26" t="inlineStr">
        <is>
          <t>AirPods 3 with charging case</t>
        </is>
      </c>
      <c r="B26" s="3" t="n">
        <v>4090000</v>
      </c>
      <c r="C26" s="3" t="n">
        <v>4090000</v>
      </c>
      <c r="D26" s="3" t="n">
        <v>4090000</v>
      </c>
      <c r="E26" s="3" t="n">
        <v>3790000</v>
      </c>
      <c r="F26" s="3" t="n">
        <v>3850000</v>
      </c>
      <c r="G26" s="4" t="n">
        <v>3790000</v>
      </c>
      <c r="H26" s="4" t="n">
        <v>3950000</v>
      </c>
      <c r="I26" s="4" t="inlineStr">
        <is>
          <t>OOS</t>
        </is>
      </c>
    </row>
    <row r="27">
      <c r="A27" t="inlineStr">
        <is>
          <t>AirPods 2 with charging case</t>
        </is>
      </c>
      <c r="B27" s="4" t="n">
        <v>2690000</v>
      </c>
      <c r="C27" s="25" t="n">
        <v>2690000</v>
      </c>
      <c r="D27" s="5" t="n">
        <v>2690000</v>
      </c>
      <c r="E27" s="4" t="inlineStr">
        <is>
          <t>2,690,000</t>
        </is>
      </c>
      <c r="F27" s="4" t="n">
        <v>2690000</v>
      </c>
      <c r="G27" s="4" t="n">
        <v>2590000</v>
      </c>
      <c r="H27" s="4" t="n">
        <v>2690000</v>
      </c>
      <c r="I27" s="3" t="n">
        <v>2511000</v>
      </c>
    </row>
    <row r="28">
      <c r="A28" t="inlineStr">
        <is>
          <t>MacBook Air 13" M1 8/256Gb</t>
        </is>
      </c>
      <c r="B28" s="3" t="n">
        <v>18800000</v>
      </c>
      <c r="C28" s="3" t="n">
        <v>18990000</v>
      </c>
      <c r="D28" s="3" t="n">
        <v>18690000</v>
      </c>
      <c r="F28" s="3" t="n">
        <v>18490000</v>
      </c>
      <c r="G28" s="4" t="n">
        <v>18190000</v>
      </c>
      <c r="H28" s="4" t="n">
        <v>17940000</v>
      </c>
      <c r="I28" s="4" t="n">
        <v>17287000</v>
      </c>
    </row>
    <row r="29">
      <c r="A29" t="inlineStr">
        <is>
          <t>MacBook Air 13" M2 8/256GB</t>
        </is>
      </c>
      <c r="B29" s="4" t="n">
        <v>2379000</v>
      </c>
      <c r="C29" s="3" t="n">
        <v>23890000</v>
      </c>
      <c r="D29" s="3" t="n">
        <v>23990000</v>
      </c>
      <c r="F29" s="3" t="n">
        <v>23890000</v>
      </c>
      <c r="G29" s="4" t="n">
        <v>23990000</v>
      </c>
      <c r="H29" s="4" t="n">
        <v>23990000</v>
      </c>
      <c r="I29" s="3" t="n">
        <v>23490000</v>
      </c>
    </row>
    <row r="30">
      <c r="A30" t="inlineStr">
        <is>
          <t>MacBook Air 13" M3 8/256GB</t>
        </is>
      </c>
      <c r="B30" s="3" t="n">
        <v>26918000</v>
      </c>
      <c r="C30" s="3" t="n">
        <v>27190000</v>
      </c>
      <c r="D30" s="5" t="n">
        <v>27190000</v>
      </c>
      <c r="F30" s="3" t="n">
        <v>26390000</v>
      </c>
      <c r="G30" s="4" t="n">
        <v>26890000</v>
      </c>
      <c r="H30" s="4" t="n">
        <v>26840000</v>
      </c>
      <c r="I30" s="4" t="inlineStr">
        <is>
          <t>OOS</t>
        </is>
      </c>
    </row>
    <row r="31">
      <c r="A31" t="inlineStr">
        <is>
          <t>MacBook Air 15" M3 8/256GB</t>
        </is>
      </c>
      <c r="B31" s="4" t="n">
        <v>31290000</v>
      </c>
      <c r="C31" s="3" t="n">
        <v>31490000</v>
      </c>
      <c r="D31" s="5" t="n">
        <v>31190000</v>
      </c>
      <c r="F31" s="4" t="n">
        <v>30790000</v>
      </c>
      <c r="G31" s="4" t="n">
        <v>31990000</v>
      </c>
      <c r="H31" s="4" t="n">
        <v>31490000</v>
      </c>
      <c r="I31" s="4" t="inlineStr">
        <is>
          <t>OOS</t>
        </is>
      </c>
    </row>
    <row r="32">
      <c r="A32" t="inlineStr">
        <is>
          <t>MacBook Pro 14" M3 8/512GB</t>
        </is>
      </c>
      <c r="B32" s="4" t="inlineStr">
        <is>
          <t>N/A</t>
        </is>
      </c>
      <c r="C32" s="3" t="n">
        <v>38490000</v>
      </c>
      <c r="D32" s="4" t="n">
        <v>38190000</v>
      </c>
      <c r="F32" s="3" t="n">
        <v>37490000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codeName="Sheet8">
    <outlinePr summaryBelow="1" summaryRight="1"/>
    <pageSetUpPr/>
  </sheetPr>
  <dimension ref="A1:I32"/>
  <sheetViews>
    <sheetView workbookViewId="0">
      <selection activeCell="E2" sqref="E2"/>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19493000</v>
      </c>
      <c r="C2" s="3" t="n">
        <v>19690000</v>
      </c>
      <c r="D2" s="3" t="n">
        <v>19590000</v>
      </c>
      <c r="E2" s="4" t="n">
        <v>18990000</v>
      </c>
      <c r="F2" s="3" t="n">
        <v>21790000</v>
      </c>
      <c r="G2" s="4" t="n">
        <v>18690000</v>
      </c>
      <c r="H2" s="4" t="n">
        <v>18740000</v>
      </c>
      <c r="I2" s="3" t="n">
        <v>18697000</v>
      </c>
    </row>
    <row r="3">
      <c r="A3" t="inlineStr">
        <is>
          <t>iPhone 15  Plus 128GB</t>
        </is>
      </c>
      <c r="B3" s="3" t="n">
        <v>22190000</v>
      </c>
      <c r="C3" s="3" t="n">
        <v>22390000</v>
      </c>
      <c r="D3" s="3" t="n">
        <v>22290000</v>
      </c>
      <c r="E3" s="4" t="n">
        <v>21990000</v>
      </c>
      <c r="F3" s="3" t="n">
        <v>21790000</v>
      </c>
      <c r="G3" s="4" t="n">
        <v>21790000</v>
      </c>
      <c r="H3" s="4" t="n">
        <v>21740000</v>
      </c>
      <c r="I3" s="3" t="n">
        <v>21329000</v>
      </c>
    </row>
    <row r="4">
      <c r="A4" t="inlineStr">
        <is>
          <t>iPhone 15 Pro  128GB</t>
        </is>
      </c>
      <c r="B4" s="3" t="n">
        <v>25690000</v>
      </c>
      <c r="C4" s="3" t="n">
        <v>25890000</v>
      </c>
      <c r="D4" s="5" t="n">
        <v>25590000</v>
      </c>
      <c r="E4" s="4" t="n">
        <v>24490000</v>
      </c>
      <c r="F4" s="3" t="n">
        <v>24690000</v>
      </c>
      <c r="G4" s="4" t="n">
        <v>24090000</v>
      </c>
      <c r="H4" s="4" t="n">
        <v>24290000</v>
      </c>
      <c r="I4" s="3" t="n">
        <v>24337000</v>
      </c>
    </row>
    <row r="5">
      <c r="A5" t="inlineStr">
        <is>
          <t>iPhone 15 Pro Max 256GB</t>
        </is>
      </c>
      <c r="B5" s="3" t="n">
        <v>29790000</v>
      </c>
      <c r="C5" s="3" t="n">
        <v>29990000</v>
      </c>
      <c r="D5" s="3" t="n">
        <v>29690000</v>
      </c>
      <c r="E5" s="4" t="n">
        <v>29990000</v>
      </c>
      <c r="F5" s="3" t="n">
        <v>28990000</v>
      </c>
      <c r="G5" s="3" t="n">
        <v>28890000</v>
      </c>
      <c r="H5" s="4" t="n">
        <v>28890000</v>
      </c>
      <c r="I5" s="3" t="n">
        <v>28943000</v>
      </c>
    </row>
    <row r="6">
      <c r="A6" t="inlineStr">
        <is>
          <t>iPhone 14 Plus 128GB</t>
        </is>
      </c>
      <c r="B6" s="3" t="n">
        <v>19592000</v>
      </c>
      <c r="C6" s="3" t="n">
        <v>19590000</v>
      </c>
      <c r="D6" s="3" t="n">
        <v>19490000</v>
      </c>
      <c r="E6" s="4" t="n">
        <v>19490000</v>
      </c>
      <c r="F6" s="4" t="n">
        <v>19190000</v>
      </c>
      <c r="G6" s="4" t="n">
        <v>18990000</v>
      </c>
      <c r="H6" s="4" t="n">
        <v>18990000</v>
      </c>
      <c r="I6" s="4" t="inlineStr">
        <is>
          <t>OOS</t>
        </is>
      </c>
    </row>
    <row r="7">
      <c r="A7" t="inlineStr">
        <is>
          <t>iPhone 14 128GB</t>
        </is>
      </c>
      <c r="B7" s="3" t="n">
        <v>17513000</v>
      </c>
      <c r="C7" s="3" t="n">
        <v>17690000</v>
      </c>
      <c r="D7" s="3" t="n">
        <v>17590000</v>
      </c>
      <c r="E7" s="4" t="n">
        <v>16390000</v>
      </c>
      <c r="F7" s="3" t="n">
        <v>16890000</v>
      </c>
      <c r="G7" s="4" t="n">
        <v>16290000</v>
      </c>
      <c r="H7" s="4" t="n">
        <v>16290000</v>
      </c>
      <c r="I7" s="4" t="inlineStr">
        <is>
          <t>OOS</t>
        </is>
      </c>
    </row>
    <row r="8">
      <c r="A8" t="inlineStr">
        <is>
          <t>iPhone 13  128GB</t>
        </is>
      </c>
      <c r="B8" s="3" t="n">
        <v>13949000</v>
      </c>
      <c r="C8" s="3" t="n">
        <v>14090000</v>
      </c>
      <c r="D8" s="3" t="n">
        <v>13990000</v>
      </c>
      <c r="E8" s="4" t="n">
        <v>13490000</v>
      </c>
      <c r="F8" s="3" t="n">
        <v>13390000</v>
      </c>
      <c r="G8" s="4" t="n">
        <v>13190000</v>
      </c>
      <c r="H8" s="4" t="n">
        <v>13390000</v>
      </c>
      <c r="I8" s="3" t="n">
        <v>13057000</v>
      </c>
    </row>
    <row r="9">
      <c r="A9" t="inlineStr">
        <is>
          <t>iPhone 12 64GB</t>
        </is>
      </c>
      <c r="B9" s="3" t="n">
        <v>11870000</v>
      </c>
      <c r="C9" s="3" t="n">
        <v>11990000</v>
      </c>
      <c r="D9" s="3" t="n">
        <v>11990000</v>
      </c>
      <c r="E9" s="4" t="n">
        <v>11490000</v>
      </c>
      <c r="F9" s="4" t="inlineStr">
        <is>
          <t>OOS</t>
        </is>
      </c>
      <c r="G9" s="4" t="n">
        <v>11790000</v>
      </c>
      <c r="H9" s="4" t="n">
        <v>12290000</v>
      </c>
      <c r="I9" s="4" t="inlineStr">
        <is>
          <t>OOS</t>
        </is>
      </c>
    </row>
    <row r="10">
      <c r="A10" t="inlineStr">
        <is>
          <t>iPhone 11 64GB</t>
        </is>
      </c>
      <c r="B10" s="3" t="n">
        <v>8504000</v>
      </c>
      <c r="C10" s="3" t="n">
        <v>8590000</v>
      </c>
      <c r="D10" s="3" t="n">
        <v>8590000</v>
      </c>
      <c r="E10" s="4" t="n">
        <v>8790000</v>
      </c>
      <c r="F10" s="3" t="n">
        <v>8490000</v>
      </c>
      <c r="G10" s="3" t="n">
        <v>8390000</v>
      </c>
      <c r="H10" s="4" t="n">
        <v>8490000</v>
      </c>
      <c r="I10" s="4" t="inlineStr">
        <is>
          <t>OOS</t>
        </is>
      </c>
    </row>
    <row r="11">
      <c r="A11" t="inlineStr">
        <is>
          <t>iPad Pro 11" M2 128GB Wifi</t>
        </is>
      </c>
      <c r="B11" s="4" t="inlineStr">
        <is>
          <t>OOS</t>
        </is>
      </c>
      <c r="C11" s="25" t="inlineStr">
        <is>
          <t>OOS</t>
        </is>
      </c>
      <c r="D11" s="5" t="n">
        <v>20990000</v>
      </c>
      <c r="E11" s="4" t="inlineStr">
        <is>
          <t>N/A</t>
        </is>
      </c>
      <c r="F11" s="4" t="inlineStr">
        <is>
          <t>OOS</t>
        </is>
      </c>
      <c r="G11" s="4" t="n">
        <v>19990000</v>
      </c>
      <c r="H11" s="4" t="n">
        <v>20790000</v>
      </c>
      <c r="I11" s="4" t="inlineStr">
        <is>
          <t>OOS</t>
        </is>
      </c>
    </row>
    <row r="12">
      <c r="A12" t="inlineStr">
        <is>
          <t>iPad Air 5 M1 64GB Wifi</t>
        </is>
      </c>
      <c r="B12" s="4" t="n">
        <v>13949000</v>
      </c>
      <c r="C12" s="25" t="n">
        <v>14090000</v>
      </c>
      <c r="D12" s="3" t="n">
        <v>14090000</v>
      </c>
      <c r="E12" s="4" t="n">
        <v>14290000</v>
      </c>
      <c r="F12" s="3" t="n">
        <v>14790000</v>
      </c>
      <c r="G12" s="4" t="n">
        <v>13990000</v>
      </c>
      <c r="H12" s="4" t="n">
        <v>14290000</v>
      </c>
      <c r="I12" s="3" t="n">
        <v>13903000</v>
      </c>
    </row>
    <row r="13">
      <c r="A13" t="inlineStr">
        <is>
          <t>iPad Mini 6 64GB Wifi</t>
        </is>
      </c>
      <c r="B13" s="3" t="inlineStr">
        <is>
          <t>OOS</t>
        </is>
      </c>
      <c r="C13" s="25" t="n">
        <v>12390000</v>
      </c>
      <c r="D13" s="3" t="n">
        <v>12790000</v>
      </c>
      <c r="E13" s="4" t="inlineStr">
        <is>
          <t>12,190,000</t>
        </is>
      </c>
      <c r="F13" s="3" t="n">
        <v>12490000</v>
      </c>
      <c r="G13" s="4" t="n">
        <v>11690000</v>
      </c>
      <c r="H13" s="4" t="n">
        <v>12190000</v>
      </c>
      <c r="I13" s="4" t="inlineStr">
        <is>
          <t>OOS</t>
        </is>
      </c>
    </row>
    <row r="14">
      <c r="A14" t="inlineStr">
        <is>
          <t>iPad Gen 10th 64GB Wifi</t>
        </is>
      </c>
      <c r="B14" s="3" t="n">
        <v>9890000</v>
      </c>
      <c r="C14" s="3" t="n">
        <v>9990000</v>
      </c>
      <c r="D14" s="3" t="n">
        <v>9990000</v>
      </c>
      <c r="E14" s="4" t="n">
        <v>9690000</v>
      </c>
      <c r="F14" s="4" t="n">
        <v>9590000</v>
      </c>
      <c r="G14" s="4" t="n">
        <v>9490000</v>
      </c>
      <c r="H14" s="4" t="n">
        <v>9690000</v>
      </c>
      <c r="I14" s="3" t="n">
        <v>9485000</v>
      </c>
    </row>
    <row r="15">
      <c r="A15" t="inlineStr">
        <is>
          <t>iPad Gen 9th  64GB Wifi</t>
        </is>
      </c>
      <c r="B15" s="3" t="n">
        <v>7019000</v>
      </c>
      <c r="C15" s="3" t="n">
        <v>7090000</v>
      </c>
      <c r="D15" s="3" t="n">
        <v>7140000</v>
      </c>
      <c r="E15" s="4" t="n">
        <v>6990000</v>
      </c>
      <c r="F15" s="3" t="n">
        <v>6750000</v>
      </c>
      <c r="G15" s="4" t="n">
        <v>6890000</v>
      </c>
      <c r="H15" s="4" t="n">
        <v>6890000</v>
      </c>
      <c r="I15" s="3" t="n">
        <v>6853000</v>
      </c>
    </row>
    <row r="16">
      <c r="A16" t="inlineStr">
        <is>
          <t>AW SE 2023 (40mm GPS)</t>
        </is>
      </c>
      <c r="B16" s="3" t="n">
        <v>6128000</v>
      </c>
      <c r="C16" s="3" t="n">
        <v>5990000</v>
      </c>
      <c r="D16" s="3" t="n">
        <v>5790000</v>
      </c>
      <c r="E16" s="3" t="n">
        <v>5990000</v>
      </c>
      <c r="F16" s="3" t="n">
        <v>5790000</v>
      </c>
      <c r="G16" s="4" t="n">
        <v>5690000</v>
      </c>
      <c r="H16" s="4" t="n">
        <v>5790000</v>
      </c>
      <c r="I16" s="4" t="n">
        <v>5083000</v>
      </c>
    </row>
    <row r="17">
      <c r="A17" t="inlineStr">
        <is>
          <t>AW SE 2023 (40mm LTE)</t>
        </is>
      </c>
      <c r="B17" s="3" t="n">
        <v>7415000</v>
      </c>
      <c r="C17" s="3" t="n">
        <v>7490000</v>
      </c>
      <c r="D17" s="3" t="n">
        <v>7290000</v>
      </c>
      <c r="E17" s="3" t="n">
        <v>7490000</v>
      </c>
      <c r="F17" s="4" t="n">
        <v>7190000</v>
      </c>
      <c r="G17" s="4" t="n">
        <v>7190000</v>
      </c>
      <c r="H17" s="4" t="n">
        <v>7390000</v>
      </c>
      <c r="I17" s="4" t="inlineStr">
        <is>
          <t>OOS</t>
        </is>
      </c>
    </row>
    <row r="18">
      <c r="A18" t="inlineStr">
        <is>
          <t>AW SE 2023 (44mm GPS)</t>
        </is>
      </c>
      <c r="B18" s="3" t="n">
        <v>7019000</v>
      </c>
      <c r="C18" s="25" t="n">
        <v>6890000</v>
      </c>
      <c r="D18" s="3" t="n">
        <v>6790000</v>
      </c>
      <c r="E18" s="3" t="n">
        <v>6790000</v>
      </c>
      <c r="F18" s="3" t="n">
        <v>6690000</v>
      </c>
      <c r="G18" s="4" t="n">
        <v>6590000</v>
      </c>
      <c r="H18" s="4" t="n">
        <v>6590000</v>
      </c>
      <c r="I18" s="3" t="n">
        <v>6665000</v>
      </c>
    </row>
    <row r="19">
      <c r="A19" t="inlineStr">
        <is>
          <t>AW SE 2023 (44mm LTE)</t>
        </is>
      </c>
      <c r="B19" s="3" t="n">
        <v>8207000</v>
      </c>
      <c r="C19" s="3" t="n">
        <v>7990000</v>
      </c>
      <c r="D19" s="3" t="n">
        <v>7990000</v>
      </c>
      <c r="E19" s="3" t="n">
        <v>8190000</v>
      </c>
      <c r="F19" s="3" t="n">
        <v>8090000</v>
      </c>
      <c r="G19" s="4" t="n">
        <v>7890000</v>
      </c>
      <c r="H19" s="4" t="n">
        <v>7890000</v>
      </c>
      <c r="I19" s="4" t="inlineStr">
        <is>
          <t>OOS</t>
        </is>
      </c>
    </row>
    <row r="20">
      <c r="A20" t="inlineStr">
        <is>
          <t>AW S9 (41mm GPS)</t>
        </is>
      </c>
      <c r="B20" s="3" t="n">
        <v>9692000</v>
      </c>
      <c r="C20" s="3" t="n">
        <v>9890000</v>
      </c>
      <c r="D20" s="3" t="n">
        <v>9090000</v>
      </c>
      <c r="E20" s="3" t="n">
        <v>9790000</v>
      </c>
      <c r="F20" s="3" t="n">
        <v>8690000</v>
      </c>
      <c r="G20" s="4" t="n">
        <v>8690000</v>
      </c>
      <c r="H20" s="4" t="n">
        <v>8890000</v>
      </c>
      <c r="I20" s="3" t="n">
        <v>8899000</v>
      </c>
    </row>
    <row r="21">
      <c r="A21" t="inlineStr">
        <is>
          <t>AW S9 (41mm CEL)</t>
        </is>
      </c>
      <c r="B21" s="3" t="n">
        <v>12167000</v>
      </c>
      <c r="C21" s="3" t="n">
        <v>12290000</v>
      </c>
      <c r="D21" s="3" t="n">
        <v>12090000</v>
      </c>
      <c r="E21" s="3" t="n">
        <v>12490000</v>
      </c>
      <c r="F21" s="3" t="n">
        <v>11890000</v>
      </c>
      <c r="G21" s="4" t="n">
        <v>11890000</v>
      </c>
      <c r="H21" s="4" t="n">
        <v>11540000</v>
      </c>
      <c r="I21" s="4" t="inlineStr">
        <is>
          <t>OOS</t>
        </is>
      </c>
    </row>
    <row r="22">
      <c r="A22" t="inlineStr">
        <is>
          <t>AW S9 (45mm GPS)</t>
        </is>
      </c>
      <c r="B22" s="3" t="n">
        <v>10781000</v>
      </c>
      <c r="C22" s="3" t="n">
        <v>10890000</v>
      </c>
      <c r="D22" s="3" t="n">
        <v>10590000</v>
      </c>
      <c r="E22" s="3" t="n">
        <v>10590000</v>
      </c>
      <c r="F22" s="4" t="n">
        <v>10190000</v>
      </c>
      <c r="G22" s="4" t="n">
        <v>9990000</v>
      </c>
      <c r="H22" s="4" t="n">
        <v>9940000</v>
      </c>
      <c r="I22" s="4" t="inlineStr">
        <is>
          <t>OOS</t>
        </is>
      </c>
    </row>
    <row r="23">
      <c r="A23" t="inlineStr">
        <is>
          <t>AW S9 (45mm CEL)</t>
        </is>
      </c>
      <c r="B23" s="4" t="n">
        <v>13690000</v>
      </c>
      <c r="C23" s="3" t="n">
        <v>13790000</v>
      </c>
      <c r="D23" s="3" t="n">
        <v>13490000</v>
      </c>
      <c r="E23" s="3" t="n">
        <v>13190000</v>
      </c>
      <c r="F23" s="4" t="n">
        <v>12990000</v>
      </c>
      <c r="G23" s="4" t="n">
        <v>12890000</v>
      </c>
      <c r="H23" s="4" t="n">
        <v>12640000</v>
      </c>
      <c r="I23" s="4" t="inlineStr">
        <is>
          <t>OOS</t>
        </is>
      </c>
    </row>
    <row r="24">
      <c r="A24" t="inlineStr">
        <is>
          <t>AW Ultra 2 (49mm)</t>
        </is>
      </c>
      <c r="B24" s="3" t="n">
        <v>21090000</v>
      </c>
      <c r="C24" s="3" t="n">
        <v>21190000</v>
      </c>
      <c r="D24" s="3" t="n">
        <v>20990000</v>
      </c>
      <c r="E24" s="4" t="n">
        <v>19990000</v>
      </c>
      <c r="F24" s="4" t="n">
        <v>19990000</v>
      </c>
      <c r="G24" s="4" t="n">
        <v>20890000</v>
      </c>
      <c r="H24" s="4" t="n">
        <v>20890000</v>
      </c>
      <c r="I24" s="4" t="inlineStr">
        <is>
          <t>OOS</t>
        </is>
      </c>
    </row>
    <row r="25">
      <c r="A25" t="inlineStr">
        <is>
          <t>AirPods Pro 2 - 2023 (C-Type)</t>
        </is>
      </c>
      <c r="B25" s="3" t="n">
        <v>5435000</v>
      </c>
      <c r="C25" s="3" t="n">
        <v>5690000</v>
      </c>
      <c r="D25" s="3" t="n">
        <v>5690000</v>
      </c>
      <c r="E25" s="3" t="n">
        <v>5690000</v>
      </c>
      <c r="F25" s="4" t="n">
        <v>5450000</v>
      </c>
      <c r="G25" s="4" t="n">
        <v>5450000</v>
      </c>
      <c r="H25" s="4" t="n">
        <v>5450000</v>
      </c>
      <c r="I25" s="4" t="inlineStr">
        <is>
          <t>OOS</t>
        </is>
      </c>
    </row>
    <row r="26">
      <c r="A26" t="inlineStr">
        <is>
          <t>AirPods 3 with charging case</t>
        </is>
      </c>
      <c r="B26" s="4" t="n">
        <v>4090000</v>
      </c>
      <c r="C26" s="3" t="n">
        <v>4090000</v>
      </c>
      <c r="D26" s="5" t="n">
        <v>4090000</v>
      </c>
      <c r="E26" s="3" t="n">
        <v>4090000</v>
      </c>
      <c r="F26" s="4" t="n">
        <v>3850000</v>
      </c>
      <c r="G26" s="4" t="n">
        <v>3790000</v>
      </c>
      <c r="H26" s="4" t="n">
        <v>3950000</v>
      </c>
      <c r="I26" s="4" t="inlineStr">
        <is>
          <t>OOS</t>
        </is>
      </c>
    </row>
    <row r="27">
      <c r="A27" t="inlineStr">
        <is>
          <t>AirPods 2 with charging case</t>
        </is>
      </c>
      <c r="B27" s="3" t="n">
        <v>2790000</v>
      </c>
      <c r="C27" s="3" t="n">
        <v>2790000</v>
      </c>
      <c r="D27" s="3" t="n">
        <v>2790000</v>
      </c>
      <c r="E27" s="4" t="inlineStr">
        <is>
          <t>2,690,000</t>
        </is>
      </c>
      <c r="F27" s="4" t="n">
        <v>2690000</v>
      </c>
      <c r="G27" s="4" t="n">
        <v>2590000</v>
      </c>
      <c r="H27" s="4" t="n">
        <v>2690000</v>
      </c>
      <c r="I27" s="3" t="n">
        <v>2623000</v>
      </c>
    </row>
    <row r="28">
      <c r="A28" t="inlineStr">
        <is>
          <t>MacBook Air 13" M1 8/256Gb</t>
        </is>
      </c>
      <c r="B28" s="3" t="n">
        <v>19097000</v>
      </c>
      <c r="C28" s="3" t="n">
        <v>19290000</v>
      </c>
      <c r="D28" s="3" t="n">
        <v>18990000</v>
      </c>
      <c r="F28" s="3" t="n">
        <v>18690000</v>
      </c>
      <c r="G28" s="4" t="n">
        <v>18190000</v>
      </c>
      <c r="H28" s="4" t="n">
        <v>18190000</v>
      </c>
      <c r="I28" s="4" t="n">
        <v>17851000</v>
      </c>
    </row>
    <row r="29">
      <c r="A29" t="inlineStr">
        <is>
          <t>MacBook Air 13" M2 8/256GB</t>
        </is>
      </c>
      <c r="B29" s="3" t="n">
        <v>24190000</v>
      </c>
      <c r="C29" s="3" t="n">
        <v>24390000</v>
      </c>
      <c r="D29" s="3" t="n">
        <v>24390000</v>
      </c>
      <c r="F29" s="3" t="n">
        <v>24190000</v>
      </c>
      <c r="G29" s="4" t="n">
        <v>23990000</v>
      </c>
      <c r="H29" s="4" t="n">
        <v>23990000</v>
      </c>
      <c r="I29" s="3" t="n">
        <v>23051000</v>
      </c>
    </row>
    <row r="30">
      <c r="A30" t="inlineStr">
        <is>
          <t>MacBook Air 13" M3 8/256GB</t>
        </is>
      </c>
      <c r="B30" s="3" t="n">
        <v>27590000</v>
      </c>
      <c r="C30" s="3" t="n">
        <v>27790000</v>
      </c>
      <c r="D30" s="3" t="n">
        <v>27490000</v>
      </c>
      <c r="F30" s="3" t="n">
        <v>26290000</v>
      </c>
      <c r="G30" s="4" t="n">
        <v>26890000</v>
      </c>
      <c r="H30" s="4" t="n">
        <v>26840000</v>
      </c>
      <c r="I30" s="4" t="inlineStr">
        <is>
          <t>OOS</t>
        </is>
      </c>
    </row>
    <row r="31">
      <c r="A31" t="inlineStr">
        <is>
          <t>MacBook Air 15" M3 8/256GB</t>
        </is>
      </c>
      <c r="B31" s="3" t="n">
        <v>31490000</v>
      </c>
      <c r="C31" s="3" t="n">
        <v>31690000</v>
      </c>
      <c r="D31" s="3" t="n">
        <v>31490000</v>
      </c>
      <c r="F31" s="4" t="n">
        <v>30790000</v>
      </c>
      <c r="G31" s="4" t="n">
        <v>31990000</v>
      </c>
      <c r="H31" s="4" t="n">
        <v>31490000</v>
      </c>
      <c r="I31" s="4" t="inlineStr">
        <is>
          <t>OOS</t>
        </is>
      </c>
    </row>
    <row r="32">
      <c r="A32" t="inlineStr">
        <is>
          <t>MacBook Pro 14" M3 8/512GB</t>
        </is>
      </c>
      <c r="B32" s="4" t="inlineStr">
        <is>
          <t>N/A</t>
        </is>
      </c>
      <c r="C32" s="3" t="n">
        <v>38890000</v>
      </c>
      <c r="D32" s="3" t="n">
        <v>38490000</v>
      </c>
      <c r="F32" s="3" t="n">
        <v>37690000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153"/>
  <sheetViews>
    <sheetView zoomScale="80" zoomScaleNormal="80" workbookViewId="0">
      <pane xSplit="2" ySplit="1" topLeftCell="C24"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3"/>
    <col width="11.125" bestFit="1" customWidth="1" style="35" min="4" max="4"/>
    <col width="10.125" bestFit="1" customWidth="1" style="35" min="5"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30990000</v>
      </c>
      <c r="D3" s="76" t="n">
        <v>30390000</v>
      </c>
      <c r="E3" s="25" t="n">
        <v>29990000</v>
      </c>
      <c r="F3" s="38" t="n">
        <v>30890000</v>
      </c>
      <c r="G3" s="38" t="n">
        <v>30290000</v>
      </c>
      <c r="H3" s="26" t="n">
        <v>-400</v>
      </c>
    </row>
    <row r="4">
      <c r="A4" t="inlineStr">
        <is>
          <t>iPhone 17 Pro 256GB</t>
        </is>
      </c>
      <c r="B4" s="83" t="n"/>
      <c r="C4" s="68" t="n">
        <v>34990000</v>
      </c>
      <c r="D4" s="76" t="n">
        <v>34790000</v>
      </c>
      <c r="E4" s="72" t="n">
        <v>33990000</v>
      </c>
      <c r="F4" s="38" t="n">
        <v>33990000</v>
      </c>
      <c r="G4" s="38" t="n">
        <v>34290000</v>
      </c>
      <c r="H4" s="26" t="n">
        <v>-200</v>
      </c>
    </row>
    <row r="5">
      <c r="A5" t="inlineStr">
        <is>
          <t>iPhone 17 Pro Max 256GB</t>
        </is>
      </c>
      <c r="B5" s="83" t="n"/>
      <c r="C5" s="68" t="n">
        <v>37990000</v>
      </c>
      <c r="D5" s="68" t="n">
        <v>37990000</v>
      </c>
      <c r="E5" s="72" t="n">
        <v>37490000</v>
      </c>
      <c r="F5" s="40" t="n">
        <v>37990000</v>
      </c>
      <c r="G5" s="38" t="n">
        <v>37490000</v>
      </c>
      <c r="H5" s="26" t="n">
        <v>-200</v>
      </c>
    </row>
    <row r="6">
      <c r="A6" t="inlineStr">
        <is>
          <t>iPhone 16e  128GB</t>
        </is>
      </c>
      <c r="B6" s="83" t="n"/>
      <c r="C6" s="67" t="n">
        <v>14990000</v>
      </c>
      <c r="D6" s="68" t="n">
        <v>14990000</v>
      </c>
      <c r="E6" s="72" t="n">
        <v>12490000</v>
      </c>
      <c r="F6" s="40" t="n">
        <v>16990000</v>
      </c>
      <c r="G6" s="40" t="n">
        <v>15190000</v>
      </c>
      <c r="H6" s="26" t="n"/>
    </row>
    <row r="7">
      <c r="A7" t="inlineStr">
        <is>
          <t>iPhone 16  128GB</t>
        </is>
      </c>
      <c r="B7" s="71" t="n"/>
      <c r="C7" s="69" t="n">
        <v>21290000</v>
      </c>
      <c r="D7" s="73" t="n">
        <v>20690000</v>
      </c>
      <c r="E7" s="25" t="n">
        <v>20990000</v>
      </c>
      <c r="F7" s="38" t="n">
        <v>20590000</v>
      </c>
      <c r="G7" s="40" t="n">
        <v>20990000</v>
      </c>
      <c r="H7" s="26" t="n"/>
    </row>
    <row r="8">
      <c r="A8" t="inlineStr">
        <is>
          <t>iPhone 16  Plus 128GB</t>
        </is>
      </c>
      <c r="B8" s="3" t="n"/>
      <c r="C8" s="53" t="n">
        <v>24990000</v>
      </c>
      <c r="D8" s="64" t="n">
        <v>24690000</v>
      </c>
      <c r="E8" s="25" t="n">
        <v>24190000</v>
      </c>
      <c r="F8" s="40" t="n">
        <v>24590000</v>
      </c>
      <c r="G8" s="38" t="n">
        <v>24490000</v>
      </c>
      <c r="H8" s="26" t="n">
        <v>500</v>
      </c>
    </row>
    <row r="9">
      <c r="A9" t="inlineStr">
        <is>
          <t>iPhone 16 Pro  128GB</t>
        </is>
      </c>
      <c r="B9" s="25" t="n"/>
      <c r="C9" s="40" t="inlineStr">
        <is>
          <t>OOS</t>
        </is>
      </c>
      <c r="D9" s="40" t="n">
        <v>25590000</v>
      </c>
      <c r="E9" s="25" t="n">
        <v>24990000</v>
      </c>
      <c r="F9" s="40" t="n">
        <v>25590000</v>
      </c>
      <c r="G9" s="40" t="n">
        <v>24990000</v>
      </c>
      <c r="H9" s="26" t="n"/>
    </row>
    <row r="10">
      <c r="A10" t="inlineStr">
        <is>
          <t>iPhone 16 Pro Max 256GB</t>
        </is>
      </c>
      <c r="B10" s="3" t="n"/>
      <c r="C10" s="53" t="n">
        <v>30590000</v>
      </c>
      <c r="D10" s="62" t="n">
        <v>29990000</v>
      </c>
      <c r="E10" s="25" t="n">
        <v>29690000</v>
      </c>
      <c r="F10" s="38" t="n">
        <v>29890000</v>
      </c>
      <c r="G10" s="38" t="n">
        <v>29690000</v>
      </c>
      <c r="H10" s="26" t="n">
        <v>-200</v>
      </c>
    </row>
    <row r="11">
      <c r="A11" t="inlineStr">
        <is>
          <t>iPhone 15  128GB</t>
        </is>
      </c>
      <c r="B11" s="25" t="n"/>
      <c r="C11" s="53" t="n">
        <v>17290000</v>
      </c>
      <c r="D11" s="62" t="n">
        <v>16090000</v>
      </c>
      <c r="E11" s="25" t="n">
        <v>16790000</v>
      </c>
      <c r="F11" s="38" t="n">
        <v>16890000</v>
      </c>
      <c r="G11" s="40" t="n">
        <v>16590000</v>
      </c>
      <c r="H11" s="26" t="n"/>
    </row>
    <row r="12">
      <c r="A12" t="inlineStr">
        <is>
          <t>iPhone 15  Plus 128GB</t>
        </is>
      </c>
      <c r="B12" s="25" t="n"/>
      <c r="C12" s="53" t="n">
        <v>19590000</v>
      </c>
      <c r="D12" s="64" t="inlineStr">
        <is>
          <t>OOS</t>
        </is>
      </c>
      <c r="E12" s="25" t="n">
        <v>18490000</v>
      </c>
      <c r="F12" s="40" t="n">
        <v>17690000</v>
      </c>
      <c r="G12" s="40" t="n">
        <v>18490000</v>
      </c>
      <c r="H12" s="26" t="n"/>
    </row>
    <row r="13">
      <c r="A13" t="inlineStr">
        <is>
          <t>iPhone 14 128GB</t>
        </is>
      </c>
      <c r="B13" s="25" t="n"/>
      <c r="C13" s="53" t="n">
        <v>13990000</v>
      </c>
      <c r="D13" s="62" t="n">
        <v>13490000</v>
      </c>
      <c r="E13" s="25" t="n">
        <v>13390000</v>
      </c>
      <c r="F13" s="38" t="n">
        <v>13390000</v>
      </c>
      <c r="G13" s="40" t="n">
        <v>13490000</v>
      </c>
      <c r="H13" s="26" t="n"/>
    </row>
    <row r="14">
      <c r="A14" t="inlineStr">
        <is>
          <t>iPhone 13  128GB</t>
        </is>
      </c>
      <c r="B14" s="3" t="n"/>
      <c r="C14" s="53" t="n">
        <v>12390000</v>
      </c>
      <c r="D14" s="54" t="n">
        <v>11990000</v>
      </c>
      <c r="E14" s="25" t="n">
        <v>11990000</v>
      </c>
      <c r="F14" s="38" t="n">
        <v>11990000</v>
      </c>
      <c r="G14" s="40" t="n">
        <v>11890000</v>
      </c>
      <c r="H14" s="26" t="n"/>
    </row>
    <row r="15">
      <c r="A15" t="inlineStr">
        <is>
          <t>iPad Mini 7 128GB Wifi</t>
        </is>
      </c>
      <c r="B15" s="25" t="n"/>
      <c r="C15" s="53" t="n">
        <v>11790000</v>
      </c>
      <c r="D15" s="64" t="n">
        <v>11790000</v>
      </c>
      <c r="E15" s="25" t="n">
        <v>11590000</v>
      </c>
      <c r="F15" s="40" t="n">
        <v>11790000</v>
      </c>
      <c r="G15" s="40" t="n">
        <v>11590000</v>
      </c>
      <c r="H15" s="26" t="n"/>
    </row>
    <row r="16">
      <c r="A16" t="inlineStr">
        <is>
          <t>iPad Gen 11th  128GB Wifi</t>
        </is>
      </c>
      <c r="B16" s="3" t="n"/>
      <c r="C16" s="54" t="n">
        <v>8490000</v>
      </c>
      <c r="D16" s="62" t="n">
        <v>8490000</v>
      </c>
      <c r="E16" s="34" t="n">
        <v>8390000</v>
      </c>
      <c r="F16" s="40" t="n">
        <v>8690000</v>
      </c>
      <c r="G16" s="38" t="n">
        <v>8390000</v>
      </c>
      <c r="H16" s="26" t="n">
        <v>-100</v>
      </c>
      <c r="J16" t="inlineStr">
        <is>
          <t xml:space="preserve">MW </t>
        </is>
      </c>
      <c r="K16" t="inlineStr">
        <is>
          <t>Duy</t>
        </is>
      </c>
      <c r="L16" t="b">
        <v>1</v>
      </c>
    </row>
    <row r="17">
      <c r="A17" t="inlineStr">
        <is>
          <t>iPad Air M3  11" 128 GB Wifi</t>
        </is>
      </c>
      <c r="B17" s="3" t="n"/>
      <c r="C17" s="54" t="n">
        <v>13190000</v>
      </c>
      <c r="D17" s="62" t="n">
        <v>13190000</v>
      </c>
      <c r="E17" s="34" t="n">
        <v>12790000</v>
      </c>
      <c r="F17" s="40" t="n">
        <v>13390000</v>
      </c>
      <c r="G17" s="38" t="n">
        <v>13190000</v>
      </c>
      <c r="H17" s="26" t="n">
        <v>-100</v>
      </c>
      <c r="J17" t="inlineStr">
        <is>
          <t>FPT</t>
        </is>
      </c>
      <c r="K17" t="inlineStr">
        <is>
          <t>Trang</t>
        </is>
      </c>
      <c r="L17" t="b">
        <v>1</v>
      </c>
    </row>
    <row r="18">
      <c r="A18" t="inlineStr">
        <is>
          <t>iPad Air M3  13" 128 GB Wifi</t>
        </is>
      </c>
      <c r="B18" s="25" t="n"/>
      <c r="C18" s="54" t="n">
        <v>18890000</v>
      </c>
      <c r="D18" s="64" t="n">
        <v>18890000</v>
      </c>
      <c r="E18" s="25" t="n">
        <v>20490000</v>
      </c>
      <c r="F18" s="40" t="n">
        <v>18890000</v>
      </c>
      <c r="G18" s="34" t="n">
        <v>18890000</v>
      </c>
      <c r="H18" s="79" t="n">
        <v>-100</v>
      </c>
      <c r="J18" t="inlineStr">
        <is>
          <t>Viettel</t>
        </is>
      </c>
      <c r="K18" t="inlineStr">
        <is>
          <t>Nghĩa</t>
        </is>
      </c>
      <c r="L18" t="b">
        <v>1</v>
      </c>
    </row>
    <row r="19">
      <c r="A19" t="inlineStr">
        <is>
          <t>iPad Pro  M4  11" 256 GB Wifi</t>
        </is>
      </c>
      <c r="B19" s="25" t="n"/>
      <c r="C19" s="25" t="inlineStr">
        <is>
          <t>OOS</t>
        </is>
      </c>
      <c r="D19" s="64" t="n">
        <v>27990000</v>
      </c>
      <c r="E19" s="25" t="inlineStr">
        <is>
          <t>OOS</t>
        </is>
      </c>
      <c r="F19" s="38" t="n">
        <v>28190000</v>
      </c>
      <c r="G19" s="39" t="n">
        <v>27990000</v>
      </c>
      <c r="H19" s="26" t="n"/>
      <c r="J19" t="inlineStr">
        <is>
          <t>CPS</t>
        </is>
      </c>
      <c r="K19" t="inlineStr">
        <is>
          <t>Hải</t>
        </is>
      </c>
      <c r="L19" t="b">
        <v>1</v>
      </c>
    </row>
    <row r="20">
      <c r="A20" t="inlineStr">
        <is>
          <t>iPad Pro  M4  13" 256 GB Wifi</t>
        </is>
      </c>
      <c r="B20" s="3" t="n"/>
      <c r="C20" s="25" t="inlineStr">
        <is>
          <t>OOS</t>
        </is>
      </c>
      <c r="D20" s="64" t="n">
        <v>36290000</v>
      </c>
      <c r="E20" s="25" t="n">
        <v>34490000</v>
      </c>
      <c r="F20" s="40" t="n">
        <v>36490000</v>
      </c>
      <c r="G20" s="40" t="n">
        <v>33690000</v>
      </c>
      <c r="H20" s="26" t="n"/>
      <c r="J20" t="inlineStr">
        <is>
          <t>ShopDunk</t>
        </is>
      </c>
      <c r="K20" t="inlineStr">
        <is>
          <t>Đạt</t>
        </is>
      </c>
      <c r="L20" t="b">
        <v>1</v>
      </c>
    </row>
    <row r="21">
      <c r="A21" t="inlineStr">
        <is>
          <t>iPad Pro M5 11” 256GB Wifi</t>
        </is>
      </c>
      <c r="B21" s="3" t="n"/>
      <c r="C21" s="64" t="n">
        <v>29990000</v>
      </c>
      <c r="D21" s="64" t="n">
        <v>29990000</v>
      </c>
      <c r="E21" s="25" t="n">
        <v>29490000</v>
      </c>
      <c r="F21" s="40" t="n">
        <v>29990000</v>
      </c>
      <c r="G21" s="40" t="n">
        <v>29590000</v>
      </c>
      <c r="H21" s="26" t="n"/>
    </row>
    <row r="22">
      <c r="A22" t="inlineStr">
        <is>
          <t>iPad Pro M5 13” 256GB Wifi</t>
        </is>
      </c>
      <c r="B22" s="3" t="n"/>
      <c r="C22" s="25" t="n">
        <v>39990000</v>
      </c>
      <c r="D22" s="25" t="n">
        <v>39990000</v>
      </c>
      <c r="E22" s="25" t="n">
        <v>39490000</v>
      </c>
      <c r="F22" s="40" t="n">
        <v>39990000</v>
      </c>
      <c r="G22" s="40" t="n">
        <v>39590000</v>
      </c>
      <c r="H22" s="26" t="n"/>
    </row>
    <row r="23">
      <c r="A23" t="inlineStr">
        <is>
          <t>AW SE 3 (40mm GPS)</t>
        </is>
      </c>
      <c r="B23" s="25" t="n"/>
      <c r="C23" s="62" t="n">
        <v>6390000</v>
      </c>
      <c r="D23" s="62" t="n">
        <v>6290000</v>
      </c>
      <c r="E23" s="34" t="n">
        <v>6590000</v>
      </c>
      <c r="F23" s="38" t="n">
        <v>5990000</v>
      </c>
      <c r="G23" s="39" t="n">
        <v>6690000</v>
      </c>
      <c r="H23" s="26" t="n"/>
    </row>
    <row r="24">
      <c r="A24" t="inlineStr">
        <is>
          <t>AW SE 3 (40mm LTE)</t>
        </is>
      </c>
      <c r="B24" s="25" t="n"/>
      <c r="C24" s="64" t="n">
        <v>8290000</v>
      </c>
      <c r="D24" s="62" t="n">
        <v>8290000</v>
      </c>
      <c r="E24" s="34" t="n">
        <v>7990000</v>
      </c>
      <c r="F24" s="38" t="n">
        <v>8190000</v>
      </c>
      <c r="G24" s="34" t="n">
        <v>8290000</v>
      </c>
      <c r="H24" s="26" t="n">
        <v>-200</v>
      </c>
    </row>
    <row r="25">
      <c r="A25" t="inlineStr">
        <is>
          <t>AW SE 3 (44mm GPS)</t>
        </is>
      </c>
      <c r="B25" s="25" t="n"/>
      <c r="C25" s="62" t="n">
        <v>7390000</v>
      </c>
      <c r="D25" s="62" t="n">
        <v>7390000</v>
      </c>
      <c r="E25" s="34" t="n">
        <v>7290000</v>
      </c>
      <c r="F25" s="38" t="n">
        <v>7290000</v>
      </c>
      <c r="G25" s="34" t="n">
        <v>7590000</v>
      </c>
      <c r="H25" s="26" t="n">
        <v>-100</v>
      </c>
    </row>
    <row r="26">
      <c r="A26" t="inlineStr">
        <is>
          <t>AW SE 3 (44mm LTE)</t>
        </is>
      </c>
      <c r="B26" s="25" t="n"/>
      <c r="C26" s="64" t="n">
        <v>9090000</v>
      </c>
      <c r="D26" s="64" t="n">
        <v>9350000</v>
      </c>
      <c r="E26" s="34" t="n">
        <v>8790000</v>
      </c>
      <c r="F26" s="40" t="n">
        <v>8990000</v>
      </c>
      <c r="G26" s="34" t="n">
        <v>8990000</v>
      </c>
      <c r="H26" s="26" t="n">
        <v>-300</v>
      </c>
    </row>
    <row r="27">
      <c r="A27" t="inlineStr">
        <is>
          <t>AW S11 (42mm GPS)</t>
        </is>
      </c>
      <c r="B27" s="3" t="n"/>
      <c r="C27" s="62" t="n">
        <v>10990000</v>
      </c>
      <c r="D27" s="62" t="n">
        <v>11890000</v>
      </c>
      <c r="E27" s="34" t="n">
        <v>10990000</v>
      </c>
      <c r="F27" s="38" t="n">
        <v>10790000</v>
      </c>
      <c r="G27" s="34" t="n">
        <v>11090000</v>
      </c>
      <c r="H27" s="26" t="n">
        <v>-200</v>
      </c>
    </row>
    <row r="28">
      <c r="A28" t="inlineStr">
        <is>
          <t>AW S11 (42mm CEL)</t>
        </is>
      </c>
      <c r="B28" s="3" t="n"/>
      <c r="C28" s="64" t="n">
        <v>14490000</v>
      </c>
      <c r="D28" s="62" t="n">
        <v>14290000</v>
      </c>
      <c r="E28" s="34" t="n">
        <v>13590000</v>
      </c>
      <c r="F28" s="40" t="n">
        <v>14290000</v>
      </c>
      <c r="G28" s="34" t="n">
        <v>14290000</v>
      </c>
      <c r="H28" s="26" t="n">
        <v>-100</v>
      </c>
    </row>
    <row r="29">
      <c r="A29" t="inlineStr">
        <is>
          <t>AW S11 (46mm GPS)</t>
        </is>
      </c>
      <c r="B29" s="3" t="n"/>
      <c r="C29" s="64" t="n">
        <v>12090000</v>
      </c>
      <c r="D29" s="62" t="n">
        <v>11790000</v>
      </c>
      <c r="E29" s="34" t="n">
        <v>11490000</v>
      </c>
      <c r="F29" s="38" t="n">
        <v>11790000</v>
      </c>
      <c r="G29" s="39" t="n">
        <v>11990000</v>
      </c>
      <c r="H29" s="26" t="n"/>
    </row>
    <row r="30">
      <c r="A30" t="inlineStr">
        <is>
          <t>AW S11 (46mm CEL)</t>
        </is>
      </c>
      <c r="B30" s="3" t="n"/>
      <c r="C30" s="64" t="n">
        <v>15350000</v>
      </c>
      <c r="D30" s="64" t="n">
        <v>15350000</v>
      </c>
      <c r="E30" s="34" t="n">
        <v>14390000</v>
      </c>
      <c r="F30" s="38" t="n">
        <v>15290000</v>
      </c>
      <c r="G30" s="39" t="n">
        <v>15290000</v>
      </c>
      <c r="H30" s="26" t="n"/>
    </row>
    <row r="31">
      <c r="A31" t="inlineStr">
        <is>
          <t>AW Ultra 3 (49mm)</t>
        </is>
      </c>
      <c r="B31" s="25" t="n"/>
      <c r="C31" s="64" t="n">
        <v>23990000</v>
      </c>
      <c r="D31" s="62" t="n">
        <v>23990000</v>
      </c>
      <c r="E31" s="25" t="n">
        <v>23490000</v>
      </c>
      <c r="F31" s="40" t="n">
        <v>23990000</v>
      </c>
      <c r="G31" s="39" t="n">
        <v>23990000</v>
      </c>
      <c r="H31" s="26" t="n"/>
    </row>
    <row r="32">
      <c r="A32" t="inlineStr">
        <is>
          <t>AirPods Pro 2 - 2023 (C-Type)</t>
        </is>
      </c>
      <c r="B32" s="3" t="n"/>
      <c r="C32" s="54" t="n">
        <v>4790000</v>
      </c>
      <c r="D32" s="62" t="n">
        <v>5290000</v>
      </c>
      <c r="E32" s="25" t="n">
        <v>5590000</v>
      </c>
      <c r="F32" s="38" t="n">
        <v>4790000</v>
      </c>
      <c r="G32" s="39" t="n">
        <v>5590000</v>
      </c>
      <c r="H32" s="26" t="n"/>
    </row>
    <row r="33">
      <c r="A33" t="inlineStr">
        <is>
          <t>AirPods 4 ANC</t>
        </is>
      </c>
      <c r="B33" s="3" t="n"/>
      <c r="C33" s="54" t="n">
        <v>4290000</v>
      </c>
      <c r="D33" s="64" t="n">
        <v>4290000</v>
      </c>
      <c r="E33" s="34" t="n">
        <v>4190000</v>
      </c>
      <c r="F33" s="40" t="n">
        <v>4390000</v>
      </c>
      <c r="G33" s="39" t="n">
        <v>4390000</v>
      </c>
      <c r="H33" s="26" t="n"/>
    </row>
    <row r="34">
      <c r="A34" t="inlineStr">
        <is>
          <t>AirPods 4 with charging case</t>
        </is>
      </c>
      <c r="B34" s="3" t="n"/>
      <c r="C34" s="54" t="n">
        <v>3090000</v>
      </c>
      <c r="D34" s="62" t="n">
        <v>2990000</v>
      </c>
      <c r="E34" s="34" t="n">
        <v>2890000</v>
      </c>
      <c r="F34" s="39" t="n">
        <v>3090000</v>
      </c>
      <c r="G34" s="38" t="n">
        <v>2890000</v>
      </c>
      <c r="H34" s="26" t="n">
        <v>-100</v>
      </c>
    </row>
    <row r="35">
      <c r="A35" t="inlineStr">
        <is>
          <t>AirPods Pro 3</t>
        </is>
      </c>
      <c r="B35" s="3" t="n"/>
      <c r="C35" s="40" t="n">
        <v>6690000</v>
      </c>
      <c r="D35" s="62" t="n">
        <v>6690000</v>
      </c>
      <c r="E35" s="72" t="n">
        <v>6490000</v>
      </c>
      <c r="F35" s="40" t="n">
        <v>6790000</v>
      </c>
      <c r="G35" s="38" t="n">
        <v>6390000</v>
      </c>
      <c r="H35" s="26" t="n">
        <v>-200</v>
      </c>
    </row>
    <row r="36">
      <c r="A36" t="inlineStr">
        <is>
          <t>MacBook Air 13" M2 16/256GB</t>
        </is>
      </c>
      <c r="B36" s="25" t="n"/>
      <c r="C36" s="53" t="n">
        <v>19690000</v>
      </c>
      <c r="D36" s="64" t="n">
        <v>19690000</v>
      </c>
      <c r="E36" s="37" t="n"/>
      <c r="F36" s="40" t="n">
        <v>19690000</v>
      </c>
      <c r="G36" s="40" t="n">
        <v>18990000</v>
      </c>
      <c r="H36" s="26" t="n"/>
    </row>
    <row r="37">
      <c r="A37" t="inlineStr">
        <is>
          <t>MacBook Air 13" M4 16/256GB</t>
        </is>
      </c>
      <c r="B37" s="3" t="n"/>
      <c r="C37" s="53" t="n">
        <v>25290000</v>
      </c>
      <c r="D37" s="62" t="n">
        <v>24990000</v>
      </c>
      <c r="E37" s="37" t="n"/>
      <c r="F37" s="40" t="n">
        <v>24990000</v>
      </c>
      <c r="G37" s="40" t="n">
        <v>24290000</v>
      </c>
      <c r="H37" s="26" t="n"/>
    </row>
    <row r="38">
      <c r="A38" t="inlineStr">
        <is>
          <t>MacBook Air 15" M4 16/256GB</t>
        </is>
      </c>
      <c r="B38" s="25" t="n"/>
      <c r="C38" s="62" t="n">
        <v>29590000</v>
      </c>
      <c r="D38" s="62" t="n">
        <v>28990000</v>
      </c>
      <c r="E38" s="37" t="n"/>
      <c r="F38" s="40" t="n">
        <v>28990000</v>
      </c>
      <c r="G38" s="38" t="n">
        <v>28290000</v>
      </c>
      <c r="H38" s="26" t="n">
        <v>-1400</v>
      </c>
    </row>
    <row r="39">
      <c r="A39" t="inlineStr">
        <is>
          <t>MacBook Pro 14" M4 16/512GB</t>
        </is>
      </c>
      <c r="B39" s="25" t="n"/>
      <c r="C39" s="53" t="inlineStr">
        <is>
          <t>OOS</t>
        </is>
      </c>
      <c r="D39" s="64" t="n">
        <v>37990000</v>
      </c>
      <c r="E39" s="37" t="n"/>
      <c r="F39" s="40" t="n">
        <v>38590000</v>
      </c>
      <c r="G39" s="38" t="n">
        <v>38990000</v>
      </c>
      <c r="H39" s="26" t="n">
        <v>600</v>
      </c>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53" t="n"/>
      <c r="D41" s="64" t="n">
        <v>64990000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10.xml><?xml version="1.0" encoding="utf-8"?>
<worksheet xmlns="http://schemas.openxmlformats.org/spreadsheetml/2006/main">
  <sheetPr codeName="Sheet9">
    <outlinePr summaryBelow="1" summaryRight="1"/>
    <pageSetUpPr/>
  </sheetPr>
  <dimension ref="A1:I32"/>
  <sheetViews>
    <sheetView workbookViewId="0">
      <selection activeCell="K20" sqref="K20"/>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19590000</v>
      </c>
      <c r="C2" s="3" t="n">
        <v>19590000</v>
      </c>
      <c r="D2" s="3" t="n">
        <v>19490000</v>
      </c>
      <c r="E2" s="3" t="n">
        <v>18490000</v>
      </c>
      <c r="F2" s="3" t="n">
        <v>18890000</v>
      </c>
      <c r="G2" s="4" t="n">
        <v>18690000</v>
      </c>
      <c r="H2" s="4" t="n">
        <v>18740000</v>
      </c>
      <c r="I2" s="3" t="n">
        <v>21610000</v>
      </c>
    </row>
    <row r="3">
      <c r="A3" t="inlineStr">
        <is>
          <t>iPhone 15  Plus 128GB</t>
        </is>
      </c>
      <c r="B3" s="3" t="n">
        <v>22590000</v>
      </c>
      <c r="C3" s="3" t="n">
        <v>22590000</v>
      </c>
      <c r="D3" s="3" t="n">
        <v>22290000</v>
      </c>
      <c r="E3" s="3" t="n">
        <v>21790000</v>
      </c>
      <c r="F3" s="3" t="n">
        <v>21590000</v>
      </c>
      <c r="G3" s="4" t="n">
        <v>21790000</v>
      </c>
      <c r="H3" s="4" t="n">
        <v>21940000</v>
      </c>
      <c r="I3" s="3" t="n">
        <v>21242000</v>
      </c>
    </row>
    <row r="4">
      <c r="A4" t="inlineStr">
        <is>
          <t>iPhone 15 Pro  128GB</t>
        </is>
      </c>
      <c r="B4" s="3" t="n">
        <v>25490000</v>
      </c>
      <c r="C4" s="3" t="n">
        <v>25490000</v>
      </c>
      <c r="D4" s="3" t="n">
        <v>25190000</v>
      </c>
      <c r="E4" s="3" t="n">
        <v>23990000</v>
      </c>
      <c r="F4" s="3" t="n">
        <v>24690000</v>
      </c>
      <c r="G4" s="4" t="n">
        <v>24090000</v>
      </c>
      <c r="H4" s="4" t="n">
        <v>24290000</v>
      </c>
      <c r="I4" s="3" t="n">
        <v>23773000</v>
      </c>
    </row>
    <row r="5">
      <c r="A5" t="inlineStr">
        <is>
          <t>iPhone 15 Pro Max 256GB</t>
        </is>
      </c>
      <c r="B5" s="30" t="n">
        <v>29790000</v>
      </c>
      <c r="C5" s="3" t="n">
        <v>29790000</v>
      </c>
      <c r="D5" s="3" t="n">
        <v>29590000</v>
      </c>
      <c r="E5" s="3" t="n">
        <v>28790000</v>
      </c>
      <c r="F5" s="3" t="n">
        <v>29090000</v>
      </c>
      <c r="G5" s="4" t="n">
        <v>28890000</v>
      </c>
      <c r="H5" s="4" t="n">
        <v>28890000</v>
      </c>
      <c r="I5" s="3" t="n">
        <v>28755000</v>
      </c>
    </row>
    <row r="6">
      <c r="A6" t="inlineStr">
        <is>
          <t>iPhone 14 Plus 128GB</t>
        </is>
      </c>
      <c r="B6" s="3" t="n">
        <v>19890000</v>
      </c>
      <c r="C6" s="3" t="n">
        <v>19690000</v>
      </c>
      <c r="D6" s="3" t="n">
        <v>19390000</v>
      </c>
      <c r="E6" s="5" t="n">
        <v>19490000</v>
      </c>
      <c r="F6" s="3" t="n">
        <v>19190000</v>
      </c>
      <c r="G6" s="4" t="n">
        <v>18990000</v>
      </c>
      <c r="H6" s="4" t="n">
        <v>18990000</v>
      </c>
      <c r="I6" s="4" t="inlineStr">
        <is>
          <t>OOS</t>
        </is>
      </c>
    </row>
    <row r="7">
      <c r="A7" t="inlineStr">
        <is>
          <t>iPhone 14 128GB</t>
        </is>
      </c>
      <c r="B7" s="3" t="n">
        <v>17790000</v>
      </c>
      <c r="C7" s="3" t="n">
        <v>17790000</v>
      </c>
      <c r="D7" s="3" t="n">
        <v>17490000</v>
      </c>
      <c r="E7" s="5" t="n">
        <v>16390000</v>
      </c>
      <c r="F7" s="3" t="n">
        <v>16890000</v>
      </c>
      <c r="G7" s="4" t="n">
        <v>16290000</v>
      </c>
      <c r="H7" s="4" t="n">
        <v>16290000</v>
      </c>
      <c r="I7" s="4" t="n">
        <v>23491000</v>
      </c>
    </row>
    <row r="8">
      <c r="A8" t="inlineStr">
        <is>
          <t>iPhone 13  128GB</t>
        </is>
      </c>
      <c r="B8" s="3" t="n">
        <v>14290000</v>
      </c>
      <c r="C8" s="3" t="n">
        <v>14290000</v>
      </c>
      <c r="D8" s="3" t="n">
        <v>13890000</v>
      </c>
      <c r="E8" s="3" t="n">
        <v>13290000</v>
      </c>
      <c r="F8" s="3" t="n">
        <v>13590000</v>
      </c>
      <c r="G8" s="3" t="n">
        <v>13690000</v>
      </c>
      <c r="H8" s="4" t="n">
        <v>13690000</v>
      </c>
      <c r="I8" s="3" t="n">
        <v>23491000</v>
      </c>
    </row>
    <row r="9">
      <c r="A9" t="inlineStr">
        <is>
          <t>iPhone 12 64GB</t>
        </is>
      </c>
      <c r="B9" s="3" t="n">
        <v>11990000</v>
      </c>
      <c r="C9" s="25" t="n">
        <v>11990000</v>
      </c>
      <c r="D9" s="3" t="n">
        <v>11890000</v>
      </c>
      <c r="E9" s="5" t="n">
        <v>11490000</v>
      </c>
      <c r="F9" s="4" t="inlineStr">
        <is>
          <t>OOS</t>
        </is>
      </c>
      <c r="G9" s="4" t="n">
        <v>11790000</v>
      </c>
      <c r="H9" s="4" t="n">
        <v>12290000</v>
      </c>
      <c r="I9" s="4" t="inlineStr">
        <is>
          <t>OOS</t>
        </is>
      </c>
    </row>
    <row r="10">
      <c r="A10" t="inlineStr">
        <is>
          <t>iPhone 11 64GB</t>
        </is>
      </c>
      <c r="B10" s="3" t="n">
        <v>8590000</v>
      </c>
      <c r="C10" s="25" t="n">
        <v>8590000</v>
      </c>
      <c r="D10" s="3" t="n">
        <v>8540000</v>
      </c>
      <c r="E10" s="3" t="n">
        <v>8590000</v>
      </c>
      <c r="F10" s="3" t="n">
        <v>8490000</v>
      </c>
      <c r="G10" s="4" t="n">
        <v>8390000</v>
      </c>
      <c r="H10" s="4" t="n">
        <v>8490000</v>
      </c>
      <c r="I10" s="4" t="inlineStr">
        <is>
          <t>OOS</t>
        </is>
      </c>
    </row>
    <row r="11">
      <c r="A11" t="inlineStr">
        <is>
          <t>iPad Pro 11" M2 128GB Wifi</t>
        </is>
      </c>
      <c r="B11" s="4" t="inlineStr">
        <is>
          <t>OOS</t>
        </is>
      </c>
      <c r="C11" s="25" t="inlineStr">
        <is>
          <t>OOS</t>
        </is>
      </c>
      <c r="D11" s="5" t="n">
        <v>20990000</v>
      </c>
      <c r="E11" s="5" t="inlineStr">
        <is>
          <t>N/A</t>
        </is>
      </c>
      <c r="F11" s="4" t="inlineStr">
        <is>
          <t>OOS</t>
        </is>
      </c>
      <c r="G11" s="4" t="n">
        <v>19990000</v>
      </c>
      <c r="H11" s="4" t="n">
        <v>20790000</v>
      </c>
      <c r="I11" s="4" t="inlineStr">
        <is>
          <t>OOS</t>
        </is>
      </c>
    </row>
    <row r="12">
      <c r="A12" t="inlineStr">
        <is>
          <t>iPad Air 5 M1 64GB Wifi</t>
        </is>
      </c>
      <c r="B12" s="3" t="n">
        <v>14090000</v>
      </c>
      <c r="C12" s="25" t="n">
        <v>14090000</v>
      </c>
      <c r="D12" s="3" t="n">
        <v>13990000</v>
      </c>
      <c r="E12" s="5" t="n">
        <v>14290000</v>
      </c>
      <c r="F12" s="3" t="n">
        <v>14790000</v>
      </c>
      <c r="G12" s="4" t="n">
        <v>13990000</v>
      </c>
      <c r="H12" s="4" t="n">
        <v>14290000</v>
      </c>
      <c r="I12" s="3" t="n">
        <v>15971000</v>
      </c>
    </row>
    <row r="13">
      <c r="A13" t="inlineStr">
        <is>
          <t>iPad Mini 6 64GB Wifi</t>
        </is>
      </c>
      <c r="B13" s="4" t="inlineStr">
        <is>
          <t>OOS</t>
        </is>
      </c>
      <c r="C13" s="25" t="n">
        <v>12390000</v>
      </c>
      <c r="D13" s="3" t="n">
        <v>12690000</v>
      </c>
      <c r="E13" s="5" t="inlineStr">
        <is>
          <t>12,190,000</t>
        </is>
      </c>
      <c r="F13" s="3" t="n">
        <v>12490000</v>
      </c>
      <c r="G13" s="4" t="n">
        <v>11690000</v>
      </c>
      <c r="H13" s="4" t="n">
        <v>12190000</v>
      </c>
      <c r="I13" s="4" t="n">
        <v>16911000</v>
      </c>
    </row>
    <row r="14">
      <c r="A14" t="inlineStr">
        <is>
          <t>iPad Gen 10th 64GB Wifi</t>
        </is>
      </c>
      <c r="B14" s="3" t="n">
        <v>10290000</v>
      </c>
      <c r="C14" s="3" t="n">
        <v>10290000</v>
      </c>
      <c r="D14" s="3" t="n">
        <v>9940000</v>
      </c>
      <c r="E14" s="3" t="n">
        <v>9490000</v>
      </c>
      <c r="F14" s="3" t="n">
        <v>9590000</v>
      </c>
      <c r="G14" s="4" t="n">
        <v>9490000</v>
      </c>
      <c r="H14" s="4" t="n">
        <v>9690000</v>
      </c>
      <c r="I14" s="3" t="n">
        <v>10801000</v>
      </c>
    </row>
    <row r="15">
      <c r="A15" t="inlineStr">
        <is>
          <t>iPad Gen 9th  64GB Wifi</t>
        </is>
      </c>
      <c r="B15" s="3" t="n">
        <v>7190000</v>
      </c>
      <c r="C15" s="3" t="n">
        <v>7190000</v>
      </c>
      <c r="D15" s="3" t="n">
        <v>7040000</v>
      </c>
      <c r="E15" s="3" t="n">
        <v>6790000</v>
      </c>
      <c r="F15" s="3" t="n">
        <v>6750000</v>
      </c>
      <c r="G15" s="4" t="n">
        <v>6890000</v>
      </c>
      <c r="H15" s="4" t="n">
        <v>6890000</v>
      </c>
      <c r="I15" s="4" t="n">
        <v>6853000</v>
      </c>
    </row>
    <row r="16">
      <c r="A16" t="inlineStr">
        <is>
          <t>AW SE 2023 (40mm GPS)</t>
        </is>
      </c>
      <c r="B16" s="3" t="n">
        <v>6190000</v>
      </c>
      <c r="C16" s="25" t="n">
        <v>5990000</v>
      </c>
      <c r="D16" s="3" t="n">
        <v>5740000</v>
      </c>
      <c r="E16" s="3" t="n">
        <v>5890000</v>
      </c>
      <c r="F16" s="3" t="n">
        <v>5790000</v>
      </c>
      <c r="G16" s="3" t="n">
        <v>5790000</v>
      </c>
      <c r="H16" s="4" t="n">
        <v>5790000</v>
      </c>
      <c r="I16" s="3" t="n">
        <v>5083000</v>
      </c>
    </row>
    <row r="17">
      <c r="A17" t="inlineStr">
        <is>
          <t>AW SE 2023 (40mm LTE)</t>
        </is>
      </c>
      <c r="B17" s="3" t="n">
        <v>7490000</v>
      </c>
      <c r="C17" s="25" t="n">
        <v>7490000</v>
      </c>
      <c r="D17" s="3" t="n">
        <v>6790000</v>
      </c>
      <c r="E17" s="3" t="n">
        <v>7390000</v>
      </c>
      <c r="F17" s="3" t="n">
        <v>7190000</v>
      </c>
      <c r="G17" s="4" t="n">
        <v>7190000</v>
      </c>
      <c r="H17" s="4" t="n">
        <v>7390000</v>
      </c>
      <c r="I17" s="4" t="inlineStr">
        <is>
          <t>OOS</t>
        </is>
      </c>
    </row>
    <row r="18">
      <c r="A18" t="inlineStr">
        <is>
          <t>AW SE 2023 (44mm GPS)</t>
        </is>
      </c>
      <c r="B18" s="3" t="n">
        <v>7090000</v>
      </c>
      <c r="C18" s="25" t="n">
        <v>6890000</v>
      </c>
      <c r="D18" s="3" t="n">
        <v>6740000</v>
      </c>
      <c r="E18" s="3" t="n">
        <v>6690000</v>
      </c>
      <c r="F18" s="3" t="n">
        <v>6690000</v>
      </c>
      <c r="G18" s="4" t="n">
        <v>6590000</v>
      </c>
      <c r="H18" s="4" t="n">
        <v>6590000</v>
      </c>
      <c r="I18" s="3" t="n">
        <v>7041000</v>
      </c>
    </row>
    <row r="19">
      <c r="A19" t="inlineStr">
        <is>
          <t>AW SE 2023 (44mm LTE)</t>
        </is>
      </c>
      <c r="B19" s="3" t="n">
        <v>8290000</v>
      </c>
      <c r="C19" s="3" t="n">
        <v>8290000</v>
      </c>
      <c r="D19" s="3" t="n">
        <v>7540000</v>
      </c>
      <c r="E19" s="3" t="n">
        <v>8090000</v>
      </c>
      <c r="F19" s="3" t="n">
        <v>8090000</v>
      </c>
      <c r="G19" s="4" t="n">
        <v>7890000</v>
      </c>
      <c r="H19" s="4" t="n">
        <v>7890000</v>
      </c>
      <c r="I19" s="4" t="inlineStr">
        <is>
          <t>OOS</t>
        </is>
      </c>
    </row>
    <row r="20">
      <c r="A20" t="inlineStr">
        <is>
          <t>AW S9 (41mm GPS)</t>
        </is>
      </c>
      <c r="B20" s="3" t="n">
        <v>9790000</v>
      </c>
      <c r="C20" s="25" t="n">
        <v>9890000</v>
      </c>
      <c r="D20" s="3" t="n">
        <v>9390000</v>
      </c>
      <c r="E20" s="3" t="n">
        <v>9690000</v>
      </c>
      <c r="F20" s="3" t="n">
        <v>8690000</v>
      </c>
      <c r="G20" s="4" t="n">
        <v>8690000</v>
      </c>
      <c r="H20" s="3" t="n">
        <v>9040000</v>
      </c>
      <c r="I20" s="3" t="n">
        <v>9467000</v>
      </c>
    </row>
    <row r="21">
      <c r="A21" t="inlineStr">
        <is>
          <t>AW S9 (41mm CEL)</t>
        </is>
      </c>
      <c r="B21" s="3" t="n">
        <v>12290000</v>
      </c>
      <c r="C21" s="25" t="n">
        <v>12290000</v>
      </c>
      <c r="D21" s="3" t="n">
        <v>11990000</v>
      </c>
      <c r="E21" s="3" t="n">
        <v>12390000</v>
      </c>
      <c r="F21" s="3" t="n">
        <v>11890000</v>
      </c>
      <c r="G21" s="4" t="n">
        <v>11890000</v>
      </c>
      <c r="H21" s="4" t="n">
        <v>11540000</v>
      </c>
      <c r="I21" s="4" t="inlineStr">
        <is>
          <t>OOS</t>
        </is>
      </c>
    </row>
    <row r="22">
      <c r="A22" t="inlineStr">
        <is>
          <t>AW S9 (45mm GPS)</t>
        </is>
      </c>
      <c r="B22" s="3" t="n">
        <v>10890000</v>
      </c>
      <c r="C22" s="3" t="n">
        <v>10690000</v>
      </c>
      <c r="D22" s="3" t="n">
        <v>10490000</v>
      </c>
      <c r="E22" s="3" t="n">
        <v>10490000</v>
      </c>
      <c r="F22" s="3" t="n">
        <v>9990000</v>
      </c>
      <c r="G22" s="4" t="n">
        <v>9990000</v>
      </c>
      <c r="H22" s="4" t="n">
        <v>9940000</v>
      </c>
      <c r="I22" s="4" t="inlineStr">
        <is>
          <t>OOS</t>
        </is>
      </c>
    </row>
    <row r="23">
      <c r="A23" t="inlineStr">
        <is>
          <t>AW S9 (45mm CEL)</t>
        </is>
      </c>
      <c r="B23" s="4" t="n">
        <v>13690000</v>
      </c>
      <c r="C23" s="3" t="n">
        <v>13690000</v>
      </c>
      <c r="D23" s="3" t="n">
        <v>13390000</v>
      </c>
      <c r="E23" s="3" t="n">
        <v>13090000</v>
      </c>
      <c r="F23" s="3" t="inlineStr">
        <is>
          <t>OOS</t>
        </is>
      </c>
      <c r="G23" s="4" t="n">
        <v>12890000</v>
      </c>
      <c r="H23" s="4" t="n">
        <v>12640000</v>
      </c>
      <c r="I23" s="4" t="inlineStr">
        <is>
          <t>OOS</t>
        </is>
      </c>
    </row>
    <row r="24">
      <c r="A24" t="inlineStr">
        <is>
          <t>AW Ultra 2 (49mm)</t>
        </is>
      </c>
      <c r="B24" s="3" t="inlineStr">
        <is>
          <t>OOS</t>
        </is>
      </c>
      <c r="C24" s="3" t="n">
        <v>21290000</v>
      </c>
      <c r="D24" s="3" t="n">
        <v>20890000</v>
      </c>
      <c r="E24" s="5" t="n">
        <v>19990000</v>
      </c>
      <c r="F24" s="3" t="inlineStr">
        <is>
          <t>OOS</t>
        </is>
      </c>
      <c r="G24" s="4" t="n">
        <v>20890000</v>
      </c>
      <c r="H24" s="4" t="n">
        <v>20890000</v>
      </c>
      <c r="I24" s="4" t="inlineStr">
        <is>
          <t>OOS</t>
        </is>
      </c>
    </row>
    <row r="25">
      <c r="A25" t="inlineStr">
        <is>
          <t>AirPods Pro 2 - 2023 (C-Type)</t>
        </is>
      </c>
      <c r="B25" s="3" t="n">
        <v>5490000</v>
      </c>
      <c r="C25" s="25" t="n">
        <v>5690000</v>
      </c>
      <c r="D25" s="3" t="n">
        <v>5640000</v>
      </c>
      <c r="E25" s="5" t="n">
        <v>5690000</v>
      </c>
      <c r="F25" s="3" t="n">
        <v>5450000</v>
      </c>
      <c r="G25" s="3" t="n">
        <v>5590000</v>
      </c>
      <c r="H25" s="4" t="n">
        <v>5450000</v>
      </c>
      <c r="I25" s="4" t="inlineStr">
        <is>
          <t>OOS</t>
        </is>
      </c>
    </row>
    <row r="26">
      <c r="A26" t="inlineStr">
        <is>
          <t>AirPods 3 with charging case</t>
        </is>
      </c>
      <c r="B26" s="4" t="n">
        <v>4090000</v>
      </c>
      <c r="C26" s="25" t="n">
        <v>4090000</v>
      </c>
      <c r="D26" s="5" t="n">
        <v>4090000</v>
      </c>
      <c r="E26" s="5" t="n">
        <v>4090000</v>
      </c>
      <c r="F26" s="3" t="n">
        <v>3890000</v>
      </c>
      <c r="G26" s="3" t="n">
        <v>3890000</v>
      </c>
      <c r="H26" s="4" t="n">
        <v>3950000</v>
      </c>
      <c r="I26" s="4" t="inlineStr">
        <is>
          <t>OOS</t>
        </is>
      </c>
    </row>
    <row r="27">
      <c r="A27" t="inlineStr">
        <is>
          <t>AirPods 2 with charging case</t>
        </is>
      </c>
      <c r="B27" s="4" t="n">
        <v>2790000</v>
      </c>
      <c r="C27" s="25" t="n">
        <v>2790000</v>
      </c>
      <c r="D27" s="5" t="n">
        <v>2790000</v>
      </c>
      <c r="E27" s="5" t="inlineStr">
        <is>
          <t>2,690,000</t>
        </is>
      </c>
      <c r="F27" s="3" t="n">
        <v>2690000</v>
      </c>
      <c r="G27" s="4" t="n">
        <v>2590000</v>
      </c>
      <c r="H27" s="4" t="n">
        <v>2690000</v>
      </c>
      <c r="I27" s="3" t="n">
        <v>2790000</v>
      </c>
    </row>
    <row r="28">
      <c r="A28" t="inlineStr">
        <is>
          <t>MacBook Air 13" M1 8/256Gb</t>
        </is>
      </c>
      <c r="B28" s="3" t="n">
        <v>19090000</v>
      </c>
      <c r="C28" s="3" t="n">
        <v>19090000</v>
      </c>
      <c r="D28" s="3" t="n">
        <v>18890000</v>
      </c>
      <c r="F28" s="3" t="n">
        <v>18690000</v>
      </c>
      <c r="G28" s="3" t="n">
        <v>18390000</v>
      </c>
      <c r="H28" s="3" t="n">
        <v>18390000</v>
      </c>
      <c r="I28" s="4" t="n">
        <v>27251000</v>
      </c>
    </row>
    <row r="29">
      <c r="A29" t="inlineStr">
        <is>
          <t>MacBook Air 13" M2 8/256GB</t>
        </is>
      </c>
      <c r="B29" s="3" t="n">
        <v>24390000</v>
      </c>
      <c r="C29" s="25" t="n">
        <v>24390000</v>
      </c>
      <c r="D29" s="3" t="n">
        <v>24290000</v>
      </c>
      <c r="F29" s="3" t="n">
        <v>24090000</v>
      </c>
      <c r="G29" s="4" t="n">
        <v>23990000</v>
      </c>
      <c r="H29" s="4" t="n">
        <v>23990000</v>
      </c>
      <c r="I29" s="4" t="n">
        <v>23267000</v>
      </c>
    </row>
    <row r="30">
      <c r="A30" t="inlineStr">
        <is>
          <t>MacBook Air 13" M3 8/256GB</t>
        </is>
      </c>
      <c r="B30" s="3" t="n">
        <v>27690000</v>
      </c>
      <c r="C30" s="3" t="n">
        <v>27690000</v>
      </c>
      <c r="D30" s="3" t="n">
        <v>27390000</v>
      </c>
      <c r="F30" s="3" t="n">
        <v>26490000</v>
      </c>
      <c r="G30" s="4" t="n">
        <v>26890000</v>
      </c>
      <c r="H30" s="4" t="n">
        <v>26840000</v>
      </c>
      <c r="I30" s="4" t="inlineStr">
        <is>
          <t>OOS</t>
        </is>
      </c>
    </row>
    <row r="31">
      <c r="A31" t="inlineStr">
        <is>
          <t>MacBook Air 15" M3 8/256GB</t>
        </is>
      </c>
      <c r="B31" s="3" t="n">
        <v>31690000</v>
      </c>
      <c r="C31" s="25" t="n">
        <v>31690000</v>
      </c>
      <c r="D31" s="3" t="n">
        <v>31190000</v>
      </c>
      <c r="F31" s="3" t="n">
        <v>31290000</v>
      </c>
      <c r="G31" s="4" t="n">
        <v>31990000</v>
      </c>
      <c r="H31" s="4" t="n">
        <v>31490000</v>
      </c>
      <c r="I31" s="4" t="inlineStr">
        <is>
          <t>OOS</t>
        </is>
      </c>
    </row>
    <row r="32">
      <c r="A32" t="inlineStr">
        <is>
          <t>MacBook Pro 14" M3 8/512GB</t>
        </is>
      </c>
      <c r="B32" s="4" t="n">
        <v>38690000</v>
      </c>
      <c r="C32" s="3" t="n">
        <v>38690000</v>
      </c>
      <c r="D32" s="3" t="n">
        <v>38190000</v>
      </c>
      <c r="F32" s="3" t="n">
        <v>37590000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codeName="Sheet10">
    <outlinePr summaryBelow="1" summaryRight="1"/>
    <pageSetUpPr/>
  </sheetPr>
  <dimension ref="A1:I32"/>
  <sheetViews>
    <sheetView workbookViewId="0">
      <selection activeCell="B1" sqref="B1:I1"/>
    </sheetView>
  </sheetViews>
  <sheetFormatPr baseColWidth="8" defaultColWidth="11" defaultRowHeight="15.95"/>
  <cols>
    <col width="25.375" bestFit="1" customWidth="1" style="35" min="1" max="1"/>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19190000</v>
      </c>
      <c r="C2" s="3" t="n">
        <v>19190000</v>
      </c>
      <c r="D2" s="3" t="n">
        <v>19190000</v>
      </c>
      <c r="E2" s="4" t="n">
        <v>18490000</v>
      </c>
      <c r="F2" s="3" t="n">
        <v>18690000</v>
      </c>
      <c r="G2" s="4" t="n">
        <v>18690000</v>
      </c>
      <c r="H2" s="4" t="n">
        <v>18740000</v>
      </c>
      <c r="I2" s="3" t="n">
        <v>17931000</v>
      </c>
    </row>
    <row r="3">
      <c r="A3" t="inlineStr">
        <is>
          <t>iPhone 15  Plus 128GB</t>
        </is>
      </c>
      <c r="B3" s="3" t="n">
        <v>22390000</v>
      </c>
      <c r="C3" s="3" t="n">
        <v>22390000</v>
      </c>
      <c r="D3" s="3" t="n">
        <v>22090000</v>
      </c>
      <c r="E3" s="3" t="n">
        <v>21990000</v>
      </c>
      <c r="F3" s="3" t="n">
        <v>21590000</v>
      </c>
      <c r="G3" s="4" t="n">
        <v>21790000</v>
      </c>
      <c r="H3" s="4" t="n">
        <v>21940000</v>
      </c>
      <c r="I3" s="4" t="inlineStr">
        <is>
          <t>OOS</t>
        </is>
      </c>
    </row>
    <row r="4">
      <c r="A4" t="inlineStr">
        <is>
          <t>iPhone 15 Pro  128GB</t>
        </is>
      </c>
      <c r="B4" s="3" t="n">
        <v>24990000</v>
      </c>
      <c r="C4" s="3" t="n">
        <v>25190000</v>
      </c>
      <c r="D4" s="3" t="n">
        <v>24890000</v>
      </c>
      <c r="E4" s="4" t="n">
        <v>23990000</v>
      </c>
      <c r="F4" s="3" t="n">
        <v>24490000</v>
      </c>
      <c r="G4" s="4" t="n">
        <v>24090000</v>
      </c>
      <c r="H4" s="4" t="n">
        <v>24290000</v>
      </c>
      <c r="I4" s="3" t="n">
        <v>23267000</v>
      </c>
    </row>
    <row r="5">
      <c r="A5" t="inlineStr">
        <is>
          <t>iPhone 15 Pro Max 256GB</t>
        </is>
      </c>
      <c r="B5" s="3" t="n">
        <v>29390000</v>
      </c>
      <c r="C5" s="3" t="n">
        <v>29390000</v>
      </c>
      <c r="D5" s="3" t="n">
        <v>29290000</v>
      </c>
      <c r="E5" s="3" t="n">
        <v>28990000</v>
      </c>
      <c r="F5" s="3" t="n">
        <v>28890000</v>
      </c>
      <c r="G5" s="3" t="n">
        <v>28790000</v>
      </c>
      <c r="H5" s="4" t="n">
        <v>28890000</v>
      </c>
      <c r="I5" s="3" t="n">
        <v>28143000</v>
      </c>
    </row>
    <row r="6">
      <c r="A6" t="inlineStr">
        <is>
          <t>iPhone 14 Plus 128GB</t>
        </is>
      </c>
      <c r="B6" s="4" t="n">
        <v>19890000</v>
      </c>
      <c r="C6" s="25" t="n">
        <v>19690000</v>
      </c>
      <c r="D6" s="5" t="n">
        <v>19390000</v>
      </c>
      <c r="E6" s="4" t="n">
        <v>19490000</v>
      </c>
      <c r="F6" s="3" t="n">
        <v>19190000</v>
      </c>
      <c r="G6" s="4" t="n">
        <v>18990000</v>
      </c>
      <c r="H6" s="4" t="n">
        <v>18990000</v>
      </c>
      <c r="I6" s="4" t="n">
        <v>22531000</v>
      </c>
    </row>
    <row r="7">
      <c r="A7" t="inlineStr">
        <is>
          <t>iPhone 14 128GB</t>
        </is>
      </c>
      <c r="B7" s="4" t="n">
        <v>17790000</v>
      </c>
      <c r="C7" s="25" t="n">
        <v>17790000</v>
      </c>
      <c r="D7" s="5" t="n">
        <v>17490000</v>
      </c>
      <c r="E7" s="3" t="n">
        <v>17590000</v>
      </c>
      <c r="F7" s="3" t="n">
        <v>16990000</v>
      </c>
      <c r="G7" s="4" t="n">
        <v>16290000</v>
      </c>
      <c r="H7" s="4" t="n">
        <v>16290000</v>
      </c>
      <c r="I7" s="4" t="n">
        <v>15723000</v>
      </c>
    </row>
    <row r="8">
      <c r="A8" t="inlineStr">
        <is>
          <t>iPhone 13  128GB</t>
        </is>
      </c>
      <c r="B8" s="3" t="n">
        <v>13890000</v>
      </c>
      <c r="C8" s="3" t="n">
        <v>13890000</v>
      </c>
      <c r="D8" s="3" t="n">
        <v>13590000</v>
      </c>
      <c r="E8" s="3" t="n">
        <v>13490000</v>
      </c>
      <c r="F8" s="3" t="n">
        <v>13590000</v>
      </c>
      <c r="G8" s="4" t="n">
        <v>13690000</v>
      </c>
      <c r="H8" s="4" t="n">
        <v>13690000</v>
      </c>
      <c r="I8" s="3" t="n">
        <v>12687000</v>
      </c>
    </row>
    <row r="9">
      <c r="A9" t="inlineStr">
        <is>
          <t>iPhone 12 64GB</t>
        </is>
      </c>
      <c r="B9" s="4" t="n">
        <v>11990000</v>
      </c>
      <c r="C9" s="25" t="n">
        <v>11990000</v>
      </c>
      <c r="D9" s="5" t="n">
        <v>11890000</v>
      </c>
      <c r="E9" s="4" t="n">
        <v>11490000</v>
      </c>
      <c r="F9" s="4" t="inlineStr">
        <is>
          <t>OOS</t>
        </is>
      </c>
      <c r="G9" s="4" t="n">
        <v>11790000</v>
      </c>
      <c r="H9" s="4" t="n">
        <v>12290000</v>
      </c>
      <c r="I9" s="4" t="inlineStr">
        <is>
          <t>OOS</t>
        </is>
      </c>
    </row>
    <row r="10">
      <c r="A10" t="inlineStr">
        <is>
          <t>iPhone 11 64GB</t>
        </is>
      </c>
      <c r="B10" s="4" t="n">
        <v>8590000</v>
      </c>
      <c r="C10" s="25" t="n">
        <v>8590000</v>
      </c>
      <c r="D10" s="5" t="n">
        <v>8540000</v>
      </c>
      <c r="E10" s="4" t="n">
        <v>8590000</v>
      </c>
      <c r="F10" s="3" t="n">
        <v>8490000</v>
      </c>
      <c r="G10" s="4" t="n">
        <v>8390000</v>
      </c>
      <c r="H10" s="4" t="n">
        <v>8490000</v>
      </c>
      <c r="I10" s="4" t="inlineStr">
        <is>
          <t>OOS</t>
        </is>
      </c>
    </row>
    <row r="11">
      <c r="A11" t="inlineStr">
        <is>
          <t>iPad Pro 11" M2 128GB Wifi</t>
        </is>
      </c>
      <c r="B11" s="4" t="inlineStr">
        <is>
          <t>OOS</t>
        </is>
      </c>
      <c r="C11" s="25" t="inlineStr">
        <is>
          <t>OOS</t>
        </is>
      </c>
      <c r="D11" s="5" t="n">
        <v>20990000</v>
      </c>
      <c r="E11" s="4" t="inlineStr">
        <is>
          <t>N/A</t>
        </is>
      </c>
      <c r="F11" s="4" t="inlineStr">
        <is>
          <t>OOS</t>
        </is>
      </c>
      <c r="G11" s="4" t="n">
        <v>19990000</v>
      </c>
      <c r="H11" s="4" t="n">
        <v>20790000</v>
      </c>
      <c r="I11" s="4" t="inlineStr">
        <is>
          <t>OOS</t>
        </is>
      </c>
    </row>
    <row r="12">
      <c r="A12" t="inlineStr">
        <is>
          <t>iPad Air 5 M1 64GB Wifi</t>
        </is>
      </c>
      <c r="B12" s="4" t="n">
        <v>14090000</v>
      </c>
      <c r="C12" s="25" t="n">
        <v>14090000</v>
      </c>
      <c r="D12" s="5" t="n">
        <v>13990000</v>
      </c>
      <c r="E12" s="4" t="n">
        <v>14290000</v>
      </c>
      <c r="F12" s="3" t="n">
        <v>14590000</v>
      </c>
      <c r="G12" s="4" t="n">
        <v>13990000</v>
      </c>
      <c r="H12" s="4" t="n">
        <v>14290000</v>
      </c>
      <c r="I12" s="4" t="inlineStr">
        <is>
          <t>OOS</t>
        </is>
      </c>
    </row>
    <row r="13">
      <c r="A13" t="inlineStr">
        <is>
          <t>iPad Mini 6 64GB Wifi</t>
        </is>
      </c>
      <c r="B13" s="4" t="inlineStr">
        <is>
          <t>OOS</t>
        </is>
      </c>
      <c r="C13" s="25" t="n">
        <v>12390000</v>
      </c>
      <c r="D13" s="5" t="n">
        <v>12690000</v>
      </c>
      <c r="E13" s="4" t="inlineStr">
        <is>
          <t>12,190,000</t>
        </is>
      </c>
      <c r="F13" s="3" t="n">
        <v>12490000</v>
      </c>
      <c r="G13" s="4" t="n">
        <v>11690000</v>
      </c>
      <c r="H13" s="4" t="n">
        <v>12190000</v>
      </c>
      <c r="I13" s="4" t="inlineStr">
        <is>
          <t>OOS</t>
        </is>
      </c>
    </row>
    <row r="14">
      <c r="A14" t="inlineStr">
        <is>
          <t>iPad Gen 10th 64GB Wifi</t>
        </is>
      </c>
      <c r="B14" s="4" t="n">
        <v>10290000</v>
      </c>
      <c r="C14" s="25" t="n">
        <v>10290000</v>
      </c>
      <c r="D14" s="5" t="n">
        <v>9940000</v>
      </c>
      <c r="E14" s="4" t="n">
        <v>9490000</v>
      </c>
      <c r="F14" s="3" t="n">
        <v>9590000</v>
      </c>
      <c r="G14" s="4" t="n">
        <v>9490000</v>
      </c>
      <c r="H14" s="4" t="n">
        <v>9690000</v>
      </c>
      <c r="I14" s="3" t="n">
        <v>9467000</v>
      </c>
    </row>
    <row r="15">
      <c r="A15" t="inlineStr">
        <is>
          <t>iPad Gen 9th  64GB Wifi</t>
        </is>
      </c>
      <c r="B15" s="3" t="n">
        <v>7090000</v>
      </c>
      <c r="C15" s="3" t="n">
        <v>7090000</v>
      </c>
      <c r="D15" s="3" t="n">
        <v>7140000</v>
      </c>
      <c r="E15" s="4" t="n">
        <v>6790000</v>
      </c>
      <c r="F15" s="3" t="n">
        <v>6790000</v>
      </c>
      <c r="G15" s="3" t="n">
        <v>6850000</v>
      </c>
      <c r="H15" s="4" t="n">
        <v>6890000</v>
      </c>
      <c r="I15" s="3" t="n">
        <v>6707000</v>
      </c>
    </row>
    <row r="16">
      <c r="A16" t="inlineStr">
        <is>
          <t>AW SE 2023 (40mm GPS)</t>
        </is>
      </c>
      <c r="B16" s="4" t="n">
        <v>6190000</v>
      </c>
      <c r="C16" s="25" t="n">
        <v>5990000</v>
      </c>
      <c r="D16" s="5" t="n">
        <v>5740000</v>
      </c>
      <c r="E16" s="4" t="n">
        <v>5890000</v>
      </c>
      <c r="F16" s="3" t="n">
        <v>5790000</v>
      </c>
      <c r="G16" s="4" t="n">
        <v>5790000</v>
      </c>
      <c r="H16" s="4" t="n">
        <v>5790000</v>
      </c>
      <c r="I16" s="4" t="n">
        <v>5083000</v>
      </c>
    </row>
    <row r="17">
      <c r="A17" t="inlineStr">
        <is>
          <t>AW SE 2023 (40mm LTE)</t>
        </is>
      </c>
      <c r="B17" s="3" t="n">
        <v>7290000</v>
      </c>
      <c r="C17" s="25" t="n">
        <v>7490000</v>
      </c>
      <c r="D17" s="5" t="n">
        <v>7240000</v>
      </c>
      <c r="E17" s="4" t="n">
        <v>7390000</v>
      </c>
      <c r="F17" s="3" t="n">
        <v>7190000</v>
      </c>
      <c r="G17" s="4" t="n">
        <v>7190000</v>
      </c>
      <c r="H17" s="4" t="n">
        <v>7190000</v>
      </c>
      <c r="I17" s="4" t="inlineStr">
        <is>
          <t>OOS</t>
        </is>
      </c>
    </row>
    <row r="18">
      <c r="A18" t="inlineStr">
        <is>
          <t>AW SE 2023 (44mm GPS)</t>
        </is>
      </c>
      <c r="B18" s="4" t="n">
        <v>7090000</v>
      </c>
      <c r="C18" s="25" t="n">
        <v>6890000</v>
      </c>
      <c r="D18" s="5" t="n">
        <v>6740000</v>
      </c>
      <c r="E18" s="4" t="n">
        <v>6690000</v>
      </c>
      <c r="F18" s="3" t="n">
        <v>6690000</v>
      </c>
      <c r="G18" s="4" t="n">
        <v>6590000</v>
      </c>
      <c r="H18" s="4" t="n">
        <v>6590000</v>
      </c>
      <c r="I18" s="3" t="n">
        <v>6431000</v>
      </c>
    </row>
    <row r="19">
      <c r="A19" t="inlineStr">
        <is>
          <t>AW SE 2023 (44mm LTE)</t>
        </is>
      </c>
      <c r="B19" s="3" t="inlineStr">
        <is>
          <t>OOS</t>
        </is>
      </c>
      <c r="C19" s="3" t="n">
        <v>7990000</v>
      </c>
      <c r="D19" s="3" t="n">
        <v>7940000</v>
      </c>
      <c r="E19" s="4" t="n">
        <v>8090000</v>
      </c>
      <c r="F19" s="3" t="n">
        <v>8090000</v>
      </c>
      <c r="G19" s="4" t="n">
        <v>7890000</v>
      </c>
      <c r="H19" s="4" t="n">
        <v>7890000</v>
      </c>
      <c r="I19" s="4" t="inlineStr">
        <is>
          <t>OOS</t>
        </is>
      </c>
    </row>
    <row r="20">
      <c r="A20" t="inlineStr">
        <is>
          <t>AW S9 (41mm GPS)</t>
        </is>
      </c>
      <c r="B20" s="3" t="n">
        <v>9890000</v>
      </c>
      <c r="C20" s="25" t="n">
        <v>9890000</v>
      </c>
      <c r="D20" s="5" t="n">
        <v>9440000</v>
      </c>
      <c r="E20" s="4" t="n">
        <v>9690000</v>
      </c>
      <c r="F20" s="3" t="n">
        <v>8690000</v>
      </c>
      <c r="G20" s="4" t="n">
        <v>8690000</v>
      </c>
      <c r="H20" s="4" t="n">
        <v>9040000</v>
      </c>
      <c r="I20" s="3" t="n">
        <v>8547000</v>
      </c>
    </row>
    <row r="21">
      <c r="A21" t="inlineStr">
        <is>
          <t>AW S9 (41mm CEL)</t>
        </is>
      </c>
      <c r="B21" s="4" t="n">
        <v>12290000</v>
      </c>
      <c r="C21" s="25" t="n">
        <v>12290000</v>
      </c>
      <c r="D21" s="5" t="n">
        <v>11990000</v>
      </c>
      <c r="E21" s="4" t="n">
        <v>12390000</v>
      </c>
      <c r="F21" s="3" t="n">
        <v>11890000</v>
      </c>
      <c r="G21" s="3" t="n">
        <v>10290000</v>
      </c>
      <c r="H21" s="4" t="n">
        <v>11540000</v>
      </c>
      <c r="I21" s="4" t="inlineStr">
        <is>
          <t>OOS</t>
        </is>
      </c>
    </row>
    <row r="22">
      <c r="A22" t="inlineStr">
        <is>
          <t>AW S9 (45mm GPS)</t>
        </is>
      </c>
      <c r="B22" s="4" t="n">
        <v>10890000</v>
      </c>
      <c r="C22" s="25" t="n">
        <v>10690000</v>
      </c>
      <c r="D22" s="5" t="n">
        <v>10490000</v>
      </c>
      <c r="E22" s="4" t="n">
        <v>10490000</v>
      </c>
      <c r="F22" s="3" t="n">
        <v>9990000</v>
      </c>
      <c r="G22" s="4" t="n">
        <v>9990000</v>
      </c>
      <c r="H22" s="4" t="n">
        <v>9940000</v>
      </c>
      <c r="I22" s="4" t="inlineStr">
        <is>
          <t>OOS</t>
        </is>
      </c>
    </row>
    <row r="23">
      <c r="A23" t="inlineStr">
        <is>
          <t>AW S9 (45mm CEL)</t>
        </is>
      </c>
      <c r="B23" s="4" t="n">
        <v>13690000</v>
      </c>
      <c r="C23" s="25" t="n">
        <v>13690000</v>
      </c>
      <c r="D23" s="5" t="n">
        <v>13390000</v>
      </c>
      <c r="E23" s="4" t="n">
        <v>13090000</v>
      </c>
      <c r="F23" s="3" t="inlineStr">
        <is>
          <t>OOS</t>
        </is>
      </c>
      <c r="G23" s="4" t="n">
        <v>12890000</v>
      </c>
      <c r="H23" s="4" t="n">
        <v>12640000</v>
      </c>
      <c r="I23" s="4" t="inlineStr">
        <is>
          <t>OOS</t>
        </is>
      </c>
    </row>
    <row r="24">
      <c r="A24" t="inlineStr">
        <is>
          <t>AW Ultra 2 (49mm)</t>
        </is>
      </c>
      <c r="B24" s="4" t="inlineStr">
        <is>
          <t>OOS</t>
        </is>
      </c>
      <c r="C24" s="3" t="n">
        <v>21190000</v>
      </c>
      <c r="D24" s="5" t="n">
        <v>20890000</v>
      </c>
      <c r="E24" s="4" t="n">
        <v>19990000</v>
      </c>
      <c r="F24" s="3" t="inlineStr">
        <is>
          <t>OOS</t>
        </is>
      </c>
      <c r="G24" s="4" t="n">
        <v>20890000</v>
      </c>
      <c r="H24" s="4" t="n">
        <v>20890000</v>
      </c>
      <c r="I24" s="4" t="inlineStr">
        <is>
          <t>OOS</t>
        </is>
      </c>
    </row>
    <row r="25">
      <c r="A25" t="inlineStr">
        <is>
          <t>AirPods Pro 2 - 2023 (C-Type)</t>
        </is>
      </c>
      <c r="B25" s="4" t="n">
        <v>5490000</v>
      </c>
      <c r="C25" s="25" t="n">
        <v>5690000</v>
      </c>
      <c r="D25" s="5" t="n">
        <v>5640000</v>
      </c>
      <c r="E25" s="4" t="n">
        <v>5690000</v>
      </c>
      <c r="F25" s="3" t="n">
        <v>5450000</v>
      </c>
      <c r="G25" s="4" t="n">
        <v>5590000</v>
      </c>
      <c r="H25" s="4" t="n">
        <v>5450000</v>
      </c>
      <c r="I25" s="4" t="n">
        <v>5051000</v>
      </c>
    </row>
    <row r="26">
      <c r="A26" t="inlineStr">
        <is>
          <t>AirPods 3 with charging case</t>
        </is>
      </c>
      <c r="B26" s="4" t="n">
        <v>4090000</v>
      </c>
      <c r="C26" s="25" t="n">
        <v>4090000</v>
      </c>
      <c r="D26" s="5" t="n">
        <v>4090000</v>
      </c>
      <c r="E26" s="4" t="n">
        <v>4090000</v>
      </c>
      <c r="F26" s="3" t="n">
        <v>3890000</v>
      </c>
      <c r="G26" s="4" t="n">
        <v>3890000</v>
      </c>
      <c r="H26" s="4" t="n">
        <v>3950000</v>
      </c>
      <c r="I26" s="4" t="inlineStr">
        <is>
          <t>OOS</t>
        </is>
      </c>
    </row>
    <row r="27">
      <c r="A27" t="inlineStr">
        <is>
          <t>AirPods 2 with charging case</t>
        </is>
      </c>
      <c r="B27" s="4" t="n">
        <v>2790000</v>
      </c>
      <c r="C27" s="25" t="n">
        <v>2790000</v>
      </c>
      <c r="D27" s="5" t="n">
        <v>2790000</v>
      </c>
      <c r="E27" s="4" t="inlineStr">
        <is>
          <t>2,690,000</t>
        </is>
      </c>
      <c r="F27" s="3" t="n">
        <v>2690000</v>
      </c>
      <c r="G27" s="4" t="n">
        <v>2590000</v>
      </c>
      <c r="H27" s="4" t="n">
        <v>2690000</v>
      </c>
      <c r="I27" s="3" t="n">
        <v>2511000</v>
      </c>
    </row>
    <row r="28">
      <c r="A28" t="inlineStr">
        <is>
          <t>MacBook Air 13" M1 8/256Gb</t>
        </is>
      </c>
      <c r="B28" s="4" t="n">
        <v>19090000</v>
      </c>
      <c r="C28" s="25" t="n">
        <v>19090000</v>
      </c>
      <c r="D28" s="5" t="n">
        <v>18890000</v>
      </c>
      <c r="F28" s="3" t="n">
        <v>18590000</v>
      </c>
      <c r="G28" s="4" t="n">
        <v>18390000</v>
      </c>
      <c r="H28" s="4" t="n">
        <v>18390000</v>
      </c>
      <c r="I28" s="3" t="n">
        <v>26671000</v>
      </c>
    </row>
    <row r="29">
      <c r="A29" t="inlineStr">
        <is>
          <t>MacBook Air 13" M2 8/256GB</t>
        </is>
      </c>
      <c r="B29" s="4" t="n">
        <v>24390000</v>
      </c>
      <c r="C29" s="25" t="n">
        <v>24390000</v>
      </c>
      <c r="D29" s="5" t="n">
        <v>24290000</v>
      </c>
      <c r="F29" s="3" t="n">
        <v>23990000</v>
      </c>
      <c r="G29" s="4" t="n">
        <v>23990000</v>
      </c>
      <c r="H29" s="4" t="n">
        <v>23990000</v>
      </c>
      <c r="I29" s="3" t="n">
        <v>22990000</v>
      </c>
    </row>
    <row r="30">
      <c r="A30" t="inlineStr">
        <is>
          <t>MacBook Air 13" M3 8/256GB</t>
        </is>
      </c>
      <c r="B30" s="4" t="n">
        <v>27690000</v>
      </c>
      <c r="C30" s="25" t="n">
        <v>27690000</v>
      </c>
      <c r="D30" s="5" t="n">
        <v>27390000</v>
      </c>
      <c r="F30" s="3" t="n">
        <v>26390000</v>
      </c>
      <c r="G30" s="4" t="n">
        <v>26890000</v>
      </c>
      <c r="H30" s="4" t="n">
        <v>26840000</v>
      </c>
      <c r="I30" s="4" t="n">
        <v>25651000</v>
      </c>
    </row>
    <row r="31">
      <c r="A31" t="inlineStr">
        <is>
          <t>MacBook Air 15" M3 8/256GB</t>
        </is>
      </c>
      <c r="B31" s="4" t="n">
        <v>31690000</v>
      </c>
      <c r="C31" s="25" t="n">
        <v>31690000</v>
      </c>
      <c r="D31" s="5" t="n">
        <v>31190000</v>
      </c>
      <c r="F31" s="3" t="n">
        <v>31290000</v>
      </c>
      <c r="G31" s="4" t="n">
        <v>31990000</v>
      </c>
      <c r="H31" s="4" t="n">
        <v>31490000</v>
      </c>
      <c r="I31" s="4" t="inlineStr">
        <is>
          <t>OOS</t>
        </is>
      </c>
    </row>
    <row r="32">
      <c r="A32" t="inlineStr">
        <is>
          <t>MacBook Pro 14" M3 8/512GB</t>
        </is>
      </c>
      <c r="B32" s="4" t="n">
        <v>38690000</v>
      </c>
      <c r="C32" s="25" t="n">
        <v>38690000</v>
      </c>
      <c r="D32" s="5" t="n">
        <v>38190000</v>
      </c>
      <c r="F32" s="3" t="n">
        <v>37590000</v>
      </c>
      <c r="G32" s="4" t="n">
        <v>36990000</v>
      </c>
      <c r="H32" s="4" t="n">
        <v>37490000</v>
      </c>
      <c r="I32" s="4" t="inlineStr">
        <is>
          <t>OOS</t>
        </is>
      </c>
    </row>
  </sheetData>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codeName="Sheet11">
    <outlinePr summaryBelow="1" summaryRight="1"/>
    <pageSetUpPr/>
  </sheetPr>
  <dimension ref="A1:I36"/>
  <sheetViews>
    <sheetView zoomScale="99" workbookViewId="0">
      <selection activeCell="Q5" sqref="Q5"/>
    </sheetView>
  </sheetViews>
  <sheetFormatPr baseColWidth="8" defaultColWidth="11" defaultRowHeight="15.95"/>
  <cols>
    <col width="25.375" bestFit="1" customWidth="1" style="35" min="1" max="1"/>
    <col width="13.875" customWidth="1" style="35" min="2" max="9"/>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19590000</v>
      </c>
      <c r="C2" s="3" t="n">
        <v>19590000</v>
      </c>
      <c r="D2" s="3" t="n">
        <v>19590000</v>
      </c>
      <c r="E2" s="3" t="n">
        <v>18990000</v>
      </c>
      <c r="F2" s="3" t="n">
        <v>19290000</v>
      </c>
      <c r="G2" s="3" t="n">
        <v>18990000</v>
      </c>
      <c r="H2" s="3" t="n">
        <v>18890000</v>
      </c>
      <c r="I2" s="3" t="n">
        <v>18979000</v>
      </c>
    </row>
    <row r="3">
      <c r="A3" t="inlineStr">
        <is>
          <t>iPhone 15  Plus 128GB</t>
        </is>
      </c>
      <c r="B3" s="3" t="n">
        <v>22590000</v>
      </c>
      <c r="C3" s="3" t="n">
        <v>22590000</v>
      </c>
      <c r="D3" s="3" t="n">
        <v>22290000</v>
      </c>
      <c r="E3" s="4" t="n">
        <v>21990000</v>
      </c>
      <c r="F3" s="3" t="n">
        <v>22190000</v>
      </c>
      <c r="G3" s="3" t="n">
        <v>21690000</v>
      </c>
      <c r="H3" s="3" t="n">
        <v>22190000</v>
      </c>
      <c r="I3" s="4" t="inlineStr">
        <is>
          <t>OOS</t>
        </is>
      </c>
    </row>
    <row r="4">
      <c r="A4" t="inlineStr">
        <is>
          <t>iPhone 15 Pro  128GB</t>
        </is>
      </c>
      <c r="B4" s="3" t="n">
        <v>25190000</v>
      </c>
      <c r="C4" s="3" t="n">
        <v>25290000</v>
      </c>
      <c r="D4" s="3" t="n">
        <v>24990000</v>
      </c>
      <c r="E4" s="4" t="n">
        <v>23990000</v>
      </c>
      <c r="F4" s="3" t="n">
        <v>25090000</v>
      </c>
      <c r="G4" s="3" t="n">
        <v>23990000</v>
      </c>
      <c r="H4" s="3" t="n">
        <v>24790000</v>
      </c>
      <c r="I4" s="3" t="n">
        <v>24525000</v>
      </c>
    </row>
    <row r="5">
      <c r="A5" t="inlineStr">
        <is>
          <t>iPhone 15 Pro Max 256GB</t>
        </is>
      </c>
      <c r="B5" s="3" t="n">
        <v>29490000</v>
      </c>
      <c r="C5" s="3" t="n">
        <v>29490000</v>
      </c>
      <c r="D5" s="31" t="n">
        <v>29290000</v>
      </c>
      <c r="E5" s="4" t="n">
        <v>28890000</v>
      </c>
      <c r="F5" s="3" t="n">
        <v>29190000</v>
      </c>
      <c r="G5" s="3" t="n">
        <v>28690000</v>
      </c>
      <c r="H5" s="3" t="n">
        <v>28990000</v>
      </c>
      <c r="I5" s="3" t="n">
        <v>28943000</v>
      </c>
    </row>
    <row r="6">
      <c r="A6" t="inlineStr">
        <is>
          <t>iPhone 14 Plus 128GB</t>
        </is>
      </c>
      <c r="B6" s="4" t="n">
        <v>19890000</v>
      </c>
      <c r="C6" s="3" t="n">
        <v>19990000</v>
      </c>
      <c r="D6" s="3" t="n">
        <v>19890000</v>
      </c>
      <c r="E6" s="3" t="n">
        <v>19690000</v>
      </c>
      <c r="F6" s="3" t="n">
        <v>19590000</v>
      </c>
      <c r="G6" s="3" t="n">
        <v>19190000</v>
      </c>
      <c r="H6" s="4" t="n">
        <v>18990000</v>
      </c>
      <c r="I6" s="3" t="n">
        <v>23021000</v>
      </c>
    </row>
    <row r="7">
      <c r="A7" t="inlineStr">
        <is>
          <t>iPhone 14 128GB</t>
        </is>
      </c>
      <c r="B7" s="4" t="n">
        <v>17790000</v>
      </c>
      <c r="C7" s="25" t="n">
        <v>17790000</v>
      </c>
      <c r="D7" s="5" t="n">
        <v>17490000</v>
      </c>
      <c r="E7" s="3" t="n">
        <v>17690000</v>
      </c>
      <c r="F7" s="3" t="n">
        <v>17290000</v>
      </c>
      <c r="G7" s="3" t="n">
        <v>17190000</v>
      </c>
      <c r="H7" s="3" t="n">
        <v>17290000</v>
      </c>
      <c r="I7" s="4" t="n">
        <v>16406000</v>
      </c>
    </row>
    <row r="8">
      <c r="A8" t="inlineStr">
        <is>
          <t>iPhone 13  128GB</t>
        </is>
      </c>
      <c r="B8" s="3" t="n">
        <v>14090000</v>
      </c>
      <c r="C8" s="3" t="n">
        <v>14090000</v>
      </c>
      <c r="D8" s="3" t="n">
        <v>13990000</v>
      </c>
      <c r="E8" s="4" t="n">
        <v>13490000</v>
      </c>
      <c r="F8" s="3" t="n">
        <v>13790000</v>
      </c>
      <c r="G8" s="3" t="n">
        <v>13490000</v>
      </c>
      <c r="H8" s="4" t="n">
        <v>13690000</v>
      </c>
      <c r="I8" s="3" t="n">
        <v>13621000</v>
      </c>
    </row>
    <row r="9">
      <c r="A9" t="inlineStr">
        <is>
          <t>iPhone 12 64GB</t>
        </is>
      </c>
      <c r="B9" s="4" t="n">
        <v>11990000</v>
      </c>
      <c r="C9" s="25" t="n">
        <v>11990000</v>
      </c>
      <c r="D9" s="3" t="n">
        <v>11990000</v>
      </c>
      <c r="E9" s="4" t="n">
        <v>11490000</v>
      </c>
      <c r="F9" s="3" t="n">
        <v>11550000</v>
      </c>
      <c r="G9" s="3" t="n">
        <v>11590000</v>
      </c>
      <c r="H9" s="4" t="n">
        <v>12290000</v>
      </c>
      <c r="I9" s="4" t="inlineStr">
        <is>
          <t>OOS</t>
        </is>
      </c>
    </row>
    <row r="10">
      <c r="A10" t="inlineStr">
        <is>
          <t>iPhone 11 64GB</t>
        </is>
      </c>
      <c r="B10" s="3" t="n">
        <v>8790000</v>
      </c>
      <c r="C10" s="3" t="n">
        <v>8790000</v>
      </c>
      <c r="D10" s="3" t="n">
        <v>8790000</v>
      </c>
      <c r="E10" s="3" t="n">
        <v>8490000</v>
      </c>
      <c r="F10" s="3" t="n">
        <v>8550000</v>
      </c>
      <c r="G10" s="3" t="n">
        <v>8190000</v>
      </c>
      <c r="H10" s="4" t="n">
        <v>8490000</v>
      </c>
      <c r="I10" s="4" t="inlineStr">
        <is>
          <t>OOS</t>
        </is>
      </c>
    </row>
    <row r="11">
      <c r="A11" t="inlineStr">
        <is>
          <t>iPad Pro 11" M2 128GB Wifi</t>
        </is>
      </c>
      <c r="B11" s="4" t="inlineStr">
        <is>
          <t>OOS</t>
        </is>
      </c>
      <c r="C11" s="25" t="inlineStr">
        <is>
          <t>OOS</t>
        </is>
      </c>
      <c r="D11" s="5" t="inlineStr">
        <is>
          <t>OOS</t>
        </is>
      </c>
      <c r="E11" s="4" t="inlineStr">
        <is>
          <t>N/A</t>
        </is>
      </c>
      <c r="F11" s="4" t="inlineStr">
        <is>
          <t>OOS</t>
        </is>
      </c>
      <c r="G11" s="3" t="n">
        <v>19790000</v>
      </c>
      <c r="H11" s="4" t="n">
        <v>20790000</v>
      </c>
      <c r="I11" s="4" t="inlineStr">
        <is>
          <t>OOS</t>
        </is>
      </c>
    </row>
    <row r="12">
      <c r="A12" t="inlineStr">
        <is>
          <t>iPad Air 5 M1 64GB Wifi</t>
        </is>
      </c>
      <c r="B12" s="4" t="n">
        <v>14090000</v>
      </c>
      <c r="C12" s="25" t="n">
        <v>14090000</v>
      </c>
      <c r="D12" s="5" t="n">
        <v>13990000</v>
      </c>
      <c r="E12" s="3" t="n">
        <v>14170000</v>
      </c>
      <c r="F12" s="3" t="inlineStr">
        <is>
          <t>OOS</t>
        </is>
      </c>
      <c r="G12" s="3" t="n">
        <v>13790000</v>
      </c>
      <c r="H12" s="4" t="n">
        <v>14290000</v>
      </c>
      <c r="I12" s="4" t="inlineStr">
        <is>
          <t>OOS</t>
        </is>
      </c>
    </row>
    <row r="13">
      <c r="A13" t="inlineStr">
        <is>
          <t>iPad Mini 6 64GB Wifi</t>
        </is>
      </c>
      <c r="B13" s="4" t="inlineStr">
        <is>
          <t>OOS</t>
        </is>
      </c>
      <c r="C13" s="25" t="n">
        <v>12390000</v>
      </c>
      <c r="D13" s="3" t="n">
        <v>12790000</v>
      </c>
      <c r="E13" s="3" t="n">
        <v>12070000</v>
      </c>
      <c r="F13" s="3" t="n">
        <v>12690000</v>
      </c>
      <c r="G13" s="3" t="n">
        <v>11490000</v>
      </c>
      <c r="H13" s="4" t="n">
        <v>12190000</v>
      </c>
      <c r="I13" s="4" t="inlineStr">
        <is>
          <t>OOS</t>
        </is>
      </c>
    </row>
    <row r="14">
      <c r="A14" t="inlineStr">
        <is>
          <t>iPad Gen 10th 64GB Wifi</t>
        </is>
      </c>
      <c r="B14" s="4" t="n">
        <v>10290000</v>
      </c>
      <c r="C14" s="25" t="n">
        <v>10290000</v>
      </c>
      <c r="D14" s="3" t="n">
        <v>9990000</v>
      </c>
      <c r="E14" s="3" t="n">
        <v>9593100</v>
      </c>
      <c r="F14" s="3" t="n">
        <v>9690000</v>
      </c>
      <c r="G14" s="3" t="n">
        <v>9290000</v>
      </c>
      <c r="H14" s="4" t="n">
        <v>9690000</v>
      </c>
      <c r="I14" s="3" t="n">
        <v>9485000</v>
      </c>
    </row>
    <row r="15">
      <c r="A15" t="inlineStr">
        <is>
          <t>iPad Gen 9th  64GB Wifi</t>
        </is>
      </c>
      <c r="B15" s="3" t="n">
        <v>7490000</v>
      </c>
      <c r="C15" s="3" t="n">
        <v>7490000</v>
      </c>
      <c r="D15" s="3" t="n">
        <v>7290000</v>
      </c>
      <c r="E15" s="3" t="n">
        <v>6920100</v>
      </c>
      <c r="F15" s="3" t="n">
        <v>7090000</v>
      </c>
      <c r="G15" s="3" t="n">
        <v>6790000</v>
      </c>
      <c r="H15" s="3" t="n">
        <v>6990000</v>
      </c>
      <c r="I15" s="3" t="n">
        <v>6853000</v>
      </c>
    </row>
    <row r="16">
      <c r="A16" t="inlineStr">
        <is>
          <t>iPad Air M2  11" 128 GB Wifi</t>
        </is>
      </c>
      <c r="B16" s="4" t="inlineStr">
        <is>
          <t>OOS</t>
        </is>
      </c>
      <c r="C16" s="4" t="n">
        <v>16990000</v>
      </c>
      <c r="D16" s="4" t="n">
        <v>16990000</v>
      </c>
      <c r="E16" s="4" t="n">
        <v>16090000</v>
      </c>
      <c r="F16" s="4" t="inlineStr">
        <is>
          <t>OOS</t>
        </is>
      </c>
      <c r="G16" s="4" t="n">
        <v>16190000</v>
      </c>
      <c r="H16" s="4" t="n">
        <v>16990000</v>
      </c>
      <c r="I16" s="4" t="inlineStr">
        <is>
          <t>OOS</t>
        </is>
      </c>
    </row>
    <row r="17">
      <c r="A17" t="inlineStr">
        <is>
          <t>iPad Air M2  13" 128 GB Wifi</t>
        </is>
      </c>
      <c r="B17" s="4" t="n">
        <v>22490000</v>
      </c>
      <c r="C17" s="4" t="n">
        <v>22490000</v>
      </c>
      <c r="D17" s="4" t="n">
        <v>22490000</v>
      </c>
      <c r="E17" s="4" t="n">
        <v>21190000</v>
      </c>
      <c r="F17" s="4" t="n">
        <v>21690000</v>
      </c>
      <c r="G17" s="4" t="n">
        <v>21290000</v>
      </c>
      <c r="H17" s="4" t="n">
        <v>21990000</v>
      </c>
      <c r="I17" s="4" t="n">
        <v>21047000</v>
      </c>
    </row>
    <row r="18">
      <c r="A18" t="inlineStr">
        <is>
          <t>iPad Pro  M4  11" 256 GB Wifi</t>
        </is>
      </c>
      <c r="B18" s="4" t="n">
        <v>28990000</v>
      </c>
      <c r="C18" s="4" t="n">
        <v>28990000</v>
      </c>
      <c r="D18" s="4" t="n">
        <v>28990000</v>
      </c>
      <c r="E18" s="4" t="n">
        <v>27690000</v>
      </c>
      <c r="F18" s="4" t="n">
        <v>37390000</v>
      </c>
      <c r="G18" s="4" t="n">
        <v>27490000</v>
      </c>
      <c r="H18" s="4" t="n">
        <v>28990000</v>
      </c>
      <c r="I18" s="4" t="n">
        <v>27251000</v>
      </c>
    </row>
    <row r="19">
      <c r="A19" t="inlineStr">
        <is>
          <t>iPad Pro  M4  13" 256 GB Wifi</t>
        </is>
      </c>
      <c r="B19" s="4" t="n">
        <v>37990000</v>
      </c>
      <c r="C19" s="4" t="n">
        <v>37990000</v>
      </c>
      <c r="D19" s="4" t="n">
        <v>37990000</v>
      </c>
      <c r="E19" s="4" t="n">
        <v>36490000</v>
      </c>
      <c r="F19" s="4" t="n">
        <v>27990000</v>
      </c>
      <c r="G19" s="4" t="n">
        <v>36190000</v>
      </c>
      <c r="H19" s="4" t="n">
        <v>37990000</v>
      </c>
      <c r="I19" s="4" t="inlineStr">
        <is>
          <t>OOS</t>
        </is>
      </c>
    </row>
    <row r="20">
      <c r="A20" t="inlineStr">
        <is>
          <t>AW SE 2023 (40mm GPS)</t>
        </is>
      </c>
      <c r="B20" s="4" t="n">
        <v>6190000</v>
      </c>
      <c r="C20" s="3" t="n">
        <v>6190000</v>
      </c>
      <c r="D20" s="3" t="n">
        <v>5690000</v>
      </c>
      <c r="E20" s="3" t="n">
        <v>5930100</v>
      </c>
      <c r="F20" s="3" t="n">
        <v>5890000</v>
      </c>
      <c r="G20" s="3" t="n">
        <v>5590000</v>
      </c>
      <c r="H20" s="3" t="n">
        <v>5890000</v>
      </c>
      <c r="I20" s="4" t="inlineStr">
        <is>
          <t>OOS</t>
        </is>
      </c>
    </row>
    <row r="21">
      <c r="A21" t="inlineStr">
        <is>
          <t>AW SE 2023 (40mm LTE)</t>
        </is>
      </c>
      <c r="B21" s="3" t="inlineStr">
        <is>
          <t>OOS</t>
        </is>
      </c>
      <c r="C21" s="3" t="inlineStr">
        <is>
          <t>OOS</t>
        </is>
      </c>
      <c r="D21" s="5" t="inlineStr">
        <is>
          <t>OOS</t>
        </is>
      </c>
      <c r="E21" s="3" t="n">
        <v>7217000</v>
      </c>
      <c r="F21" s="3" t="n">
        <v>7290000</v>
      </c>
      <c r="G21" s="3" t="n">
        <v>6990000</v>
      </c>
      <c r="H21" s="3" t="n">
        <v>7390000</v>
      </c>
      <c r="I21" s="4" t="inlineStr">
        <is>
          <t>OOS</t>
        </is>
      </c>
    </row>
    <row r="22">
      <c r="A22" t="inlineStr">
        <is>
          <t>AW SE 2023 (44mm GPS)</t>
        </is>
      </c>
      <c r="B22" s="4" t="n">
        <v>7090000</v>
      </c>
      <c r="C22" s="25" t="n">
        <v>6890000</v>
      </c>
      <c r="D22" s="3" t="n">
        <v>6290000</v>
      </c>
      <c r="E22" s="3" t="n">
        <v>6623100</v>
      </c>
      <c r="F22" s="3" t="n">
        <v>6990000</v>
      </c>
      <c r="G22" s="3" t="n">
        <v>6390000</v>
      </c>
      <c r="H22" s="3" t="n">
        <v>6790000</v>
      </c>
      <c r="I22" s="3" t="n">
        <v>6665000</v>
      </c>
    </row>
    <row r="23">
      <c r="A23" t="inlineStr">
        <is>
          <t>AW SE 2023 (44mm LTE)</t>
        </is>
      </c>
      <c r="B23" s="3" t="n">
        <v>8290000</v>
      </c>
      <c r="C23" s="3" t="n">
        <v>8290000</v>
      </c>
      <c r="D23" s="3" t="n">
        <v>7590000</v>
      </c>
      <c r="E23" s="3" t="n">
        <v>8009100</v>
      </c>
      <c r="F23" s="3" t="n">
        <v>8190000</v>
      </c>
      <c r="G23" s="3" t="n">
        <v>7690000</v>
      </c>
      <c r="H23" s="3" t="n">
        <v>7890000</v>
      </c>
      <c r="I23" s="4" t="inlineStr">
        <is>
          <t>OOS</t>
        </is>
      </c>
    </row>
    <row r="24">
      <c r="A24" t="inlineStr">
        <is>
          <t>AW S9 (41mm GPS)</t>
        </is>
      </c>
      <c r="B24" s="3" t="n">
        <v>9790000</v>
      </c>
      <c r="C24" s="25" t="n">
        <v>9890000</v>
      </c>
      <c r="D24" s="3" t="n">
        <v>9590000</v>
      </c>
      <c r="E24" s="3" t="n">
        <v>9692100</v>
      </c>
      <c r="F24" s="3" t="n">
        <v>9190000</v>
      </c>
      <c r="G24" s="4" t="n">
        <v>8690000</v>
      </c>
      <c r="H24" s="3" t="n">
        <v>9040000</v>
      </c>
      <c r="I24" s="3" t="n">
        <v>9297000</v>
      </c>
    </row>
    <row r="25">
      <c r="A25" t="inlineStr">
        <is>
          <t>AW S9 (41mm CEL)</t>
        </is>
      </c>
      <c r="B25" s="4" t="n">
        <v>12390000</v>
      </c>
      <c r="C25" s="3" t="inlineStr">
        <is>
          <t>OOS</t>
        </is>
      </c>
      <c r="D25" s="3" t="n">
        <v>12390000</v>
      </c>
      <c r="E25" s="3" t="n">
        <v>12270000</v>
      </c>
      <c r="F25" s="3" t="n">
        <v>12590000</v>
      </c>
      <c r="G25" s="3" t="n">
        <v>11490000</v>
      </c>
      <c r="H25" s="3" t="n">
        <v>11790000</v>
      </c>
      <c r="I25" s="4" t="inlineStr">
        <is>
          <t>OOS</t>
        </is>
      </c>
    </row>
    <row r="26">
      <c r="A26" t="inlineStr">
        <is>
          <t>AW S9 (45mm GPS)</t>
        </is>
      </c>
      <c r="B26" s="4" t="n">
        <v>10890000</v>
      </c>
      <c r="C26" s="3" t="n">
        <v>10890000</v>
      </c>
      <c r="D26" s="3" t="n">
        <v>10590000</v>
      </c>
      <c r="E26" s="3" t="n">
        <v>10385100</v>
      </c>
      <c r="F26" s="3" t="n">
        <v>10390000</v>
      </c>
      <c r="G26" s="3" t="n">
        <v>9790000</v>
      </c>
      <c r="H26" s="3" t="n">
        <v>10190000</v>
      </c>
      <c r="I26" s="4" t="inlineStr">
        <is>
          <t>OOS</t>
        </is>
      </c>
    </row>
    <row r="27">
      <c r="A27" t="inlineStr">
        <is>
          <t>AW S9 (45mm CEL)</t>
        </is>
      </c>
      <c r="B27" s="3" t="n">
        <v>13790000</v>
      </c>
      <c r="C27" s="3" t="n">
        <v>13790000</v>
      </c>
      <c r="D27" s="3" t="n">
        <v>13490000</v>
      </c>
      <c r="E27" s="3" t="n">
        <v>13070000</v>
      </c>
      <c r="F27" s="3" t="inlineStr">
        <is>
          <t>OOS</t>
        </is>
      </c>
      <c r="G27" s="3" t="n">
        <v>12690000</v>
      </c>
      <c r="H27" s="3" t="n">
        <v>12890000</v>
      </c>
      <c r="I27" s="4" t="inlineStr">
        <is>
          <t>OOS</t>
        </is>
      </c>
    </row>
    <row r="28">
      <c r="A28" t="inlineStr">
        <is>
          <t>AW Ultra 2 (49mm)</t>
        </is>
      </c>
      <c r="B28" s="4" t="inlineStr">
        <is>
          <t>OOS</t>
        </is>
      </c>
      <c r="C28" s="3" t="inlineStr">
        <is>
          <t>OOS</t>
        </is>
      </c>
      <c r="D28" s="3" t="n">
        <v>20990000</v>
      </c>
      <c r="E28" s="3" t="n">
        <v>19690000</v>
      </c>
      <c r="F28" s="3" t="n">
        <v>21290000</v>
      </c>
      <c r="G28" s="3" t="n">
        <v>20690000</v>
      </c>
      <c r="H28" s="4" t="n">
        <v>20890000</v>
      </c>
      <c r="I28" s="4" t="inlineStr">
        <is>
          <t>OOS</t>
        </is>
      </c>
    </row>
    <row r="29">
      <c r="A29" t="inlineStr">
        <is>
          <t>AirPods Pro 2 - 2023 (C-Type)</t>
        </is>
      </c>
      <c r="B29" s="4" t="n">
        <v>5790000</v>
      </c>
      <c r="C29" s="3" t="n">
        <v>5790000</v>
      </c>
      <c r="D29" s="3" t="n">
        <v>5690000</v>
      </c>
      <c r="E29" s="3" t="n">
        <v>5663100</v>
      </c>
      <c r="F29" s="3" t="n">
        <v>5550000</v>
      </c>
      <c r="G29" s="3" t="n">
        <v>5390000</v>
      </c>
      <c r="H29" s="3" t="n">
        <v>5750000</v>
      </c>
      <c r="I29" s="3" t="inlineStr">
        <is>
          <t>5.255.00</t>
        </is>
      </c>
    </row>
    <row r="30">
      <c r="A30" t="inlineStr">
        <is>
          <t>AirPods 3 with charging case</t>
        </is>
      </c>
      <c r="B30" s="3" t="n">
        <v>3990000</v>
      </c>
      <c r="C30" s="3" t="n">
        <v>3990000</v>
      </c>
      <c r="D30" s="3" t="n">
        <v>3990000</v>
      </c>
      <c r="E30" s="3" t="n">
        <v>4148100</v>
      </c>
      <c r="F30" s="3" t="n">
        <v>3950000</v>
      </c>
      <c r="G30" s="3" t="n">
        <v>3690000</v>
      </c>
      <c r="H30" s="4" t="n">
        <v>3950000</v>
      </c>
      <c r="I30" s="4" t="inlineStr">
        <is>
          <t>OOS</t>
        </is>
      </c>
    </row>
    <row r="31">
      <c r="A31" t="inlineStr">
        <is>
          <t>AirPods 2 with charging case</t>
        </is>
      </c>
      <c r="B31" s="4" t="n">
        <v>2790000</v>
      </c>
      <c r="C31" s="25" t="n">
        <v>2790000</v>
      </c>
      <c r="D31" s="5" t="n">
        <v>2790000</v>
      </c>
      <c r="E31" s="3" t="n">
        <v>2890000</v>
      </c>
      <c r="F31" s="3" t="n">
        <v>2730000</v>
      </c>
      <c r="G31" s="3" t="n">
        <v>2490000</v>
      </c>
      <c r="H31" s="3" t="n">
        <v>2790000</v>
      </c>
      <c r="I31" s="4" t="n">
        <v>2790000</v>
      </c>
    </row>
    <row r="32">
      <c r="A32" t="inlineStr">
        <is>
          <t>MacBook Air 13" M1 8/256Gb</t>
        </is>
      </c>
      <c r="B32" s="4" t="n">
        <v>19090000</v>
      </c>
      <c r="C32" s="3" t="n">
        <v>18790000</v>
      </c>
      <c r="D32" s="5" t="n">
        <v>18890000</v>
      </c>
      <c r="F32" s="3" t="n">
        <v>18590000</v>
      </c>
      <c r="G32" s="3" t="n">
        <v>18190000</v>
      </c>
      <c r="H32" s="4" t="n">
        <v>18390000</v>
      </c>
      <c r="I32" s="4" t="inlineStr">
        <is>
          <t>OOS</t>
        </is>
      </c>
    </row>
    <row r="33">
      <c r="A33" t="inlineStr">
        <is>
          <t>MacBook Air 13" M2 8/256GB</t>
        </is>
      </c>
      <c r="B33" s="3" t="n">
        <v>24490000</v>
      </c>
      <c r="C33" s="3" t="n">
        <v>24290000</v>
      </c>
      <c r="D33" s="3" t="n">
        <v>23990000</v>
      </c>
      <c r="F33" s="3" t="n">
        <v>23990000</v>
      </c>
      <c r="G33" s="3" t="n">
        <v>23790000</v>
      </c>
      <c r="H33" s="4" t="n">
        <v>23990000</v>
      </c>
      <c r="I33" s="3" t="n">
        <v>24190000</v>
      </c>
    </row>
    <row r="34">
      <c r="A34" t="inlineStr">
        <is>
          <t>MacBook Air 13" M3 8/256GB</t>
        </is>
      </c>
      <c r="B34" s="4" t="n">
        <v>27690000</v>
      </c>
      <c r="C34" s="25" t="n">
        <v>27690000</v>
      </c>
      <c r="D34" s="3" t="n">
        <v>27490000</v>
      </c>
      <c r="F34" s="3" t="n">
        <v>27190000</v>
      </c>
      <c r="G34" s="3" t="n">
        <v>26690000</v>
      </c>
      <c r="H34" s="3" t="n">
        <v>27340000</v>
      </c>
      <c r="I34" s="4" t="inlineStr">
        <is>
          <t>OOS</t>
        </is>
      </c>
    </row>
    <row r="35">
      <c r="A35" t="inlineStr">
        <is>
          <t>MacBook Air 15" M3 8/256GB</t>
        </is>
      </c>
      <c r="B35" s="4" t="n">
        <v>31690000</v>
      </c>
      <c r="C35" s="3" t="n">
        <v>31490000</v>
      </c>
      <c r="D35" s="3" t="n">
        <v>31490000</v>
      </c>
      <c r="F35" s="3" t="n">
        <v>32290000</v>
      </c>
      <c r="G35" s="3" t="n">
        <v>31790000</v>
      </c>
      <c r="H35" s="3" t="n">
        <v>31990000</v>
      </c>
      <c r="I35" s="4" t="inlineStr">
        <is>
          <t>OOS</t>
        </is>
      </c>
    </row>
    <row r="36">
      <c r="A36" t="inlineStr">
        <is>
          <t>MacBook Pro 14" M3 8/512GB</t>
        </is>
      </c>
      <c r="B36" s="4" t="n">
        <v>38690000</v>
      </c>
      <c r="C36" s="3" t="n">
        <v>38490000</v>
      </c>
      <c r="D36" s="3" t="n">
        <v>38490000</v>
      </c>
      <c r="F36" s="3" t="n">
        <v>38590000</v>
      </c>
      <c r="G36" s="3" t="n">
        <v>36790000</v>
      </c>
      <c r="H36" s="3" t="n">
        <v>37990000</v>
      </c>
      <c r="I36" s="4" t="inlineStr">
        <is>
          <t>OOS</t>
        </is>
      </c>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codeName="Sheet12">
    <outlinePr summaryBelow="1" summaryRight="1"/>
    <pageSetUpPr/>
  </sheetPr>
  <dimension ref="A1:I36"/>
  <sheetViews>
    <sheetView workbookViewId="0">
      <selection activeCell="H18" sqref="H18"/>
    </sheetView>
  </sheetViews>
  <sheetFormatPr baseColWidth="8" defaultColWidth="11" defaultRowHeight="15.95"/>
  <cols>
    <col width="25.375" bestFit="1" customWidth="1" style="35" min="1" max="1"/>
    <col width="10.875" customWidth="1" style="35" min="3" max="3"/>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4" t="n">
        <v>19590000</v>
      </c>
      <c r="C2" s="25" t="n">
        <v>19590000</v>
      </c>
      <c r="D2" s="3" t="n">
        <v>19790000</v>
      </c>
      <c r="E2" s="4" t="n">
        <v>18990000</v>
      </c>
      <c r="F2" s="3" t="n">
        <v>19050000</v>
      </c>
      <c r="G2" s="4" t="n">
        <v>18990000</v>
      </c>
      <c r="H2" s="3" t="n">
        <v>19590000</v>
      </c>
      <c r="I2" s="3" t="n">
        <v>18575000</v>
      </c>
    </row>
    <row r="3">
      <c r="A3" t="inlineStr">
        <is>
          <t>iPhone 15  Plus 128GB</t>
        </is>
      </c>
      <c r="B3" s="3" t="n">
        <v>22790000</v>
      </c>
      <c r="C3" s="3" t="n">
        <v>22790000</v>
      </c>
      <c r="D3" s="3" t="n">
        <v>22590000</v>
      </c>
      <c r="E3" s="4" t="n">
        <v>21990000</v>
      </c>
      <c r="F3" s="3" t="n">
        <v>21890000</v>
      </c>
      <c r="G3" s="4" t="n">
        <v>21690000</v>
      </c>
      <c r="H3" s="3" t="n">
        <v>22590000</v>
      </c>
      <c r="I3" s="3" t="n">
        <v>22071000</v>
      </c>
    </row>
    <row r="4">
      <c r="A4" t="inlineStr">
        <is>
          <t>iPhone 15 Pro  128GB</t>
        </is>
      </c>
      <c r="B4" s="3" t="n">
        <v>24990000</v>
      </c>
      <c r="C4" s="3" t="n">
        <v>24990000</v>
      </c>
      <c r="D4" s="5" t="n">
        <v>24990000</v>
      </c>
      <c r="E4" s="4" t="n">
        <v>23990000</v>
      </c>
      <c r="F4" s="3" t="n">
        <v>24490000</v>
      </c>
      <c r="G4" s="4" t="n">
        <v>23990000</v>
      </c>
      <c r="H4" s="4" t="n">
        <v>24790000</v>
      </c>
      <c r="I4" s="4" t="inlineStr">
        <is>
          <t>OOS</t>
        </is>
      </c>
    </row>
    <row r="5">
      <c r="A5" t="inlineStr">
        <is>
          <t>iPhone 15 Pro Max 256GB</t>
        </is>
      </c>
      <c r="B5" s="3" t="n">
        <v>29190000</v>
      </c>
      <c r="C5" s="3" t="n">
        <v>29190000</v>
      </c>
      <c r="D5" s="3" t="n">
        <v>29390000</v>
      </c>
      <c r="E5" s="4" t="n">
        <v>28890000</v>
      </c>
      <c r="F5" s="3" t="n">
        <v>28890000</v>
      </c>
      <c r="G5" s="4" t="n">
        <v>28690000</v>
      </c>
      <c r="H5" s="4" t="n">
        <v>28990000</v>
      </c>
      <c r="I5" s="3" t="n">
        <v>28235000</v>
      </c>
    </row>
    <row r="6">
      <c r="A6" t="inlineStr">
        <is>
          <t>iPhone 14 Plus 128GB</t>
        </is>
      </c>
      <c r="B6" s="3" t="n">
        <v>19790000</v>
      </c>
      <c r="C6" s="3" t="n">
        <v>19790000</v>
      </c>
      <c r="D6" s="5" t="n">
        <v>19890000</v>
      </c>
      <c r="E6" s="4" t="n">
        <v>19690000</v>
      </c>
      <c r="F6" s="3" t="n">
        <v>19690000</v>
      </c>
      <c r="G6" s="4" t="n">
        <v>19190000</v>
      </c>
      <c r="H6" s="4" t="n">
        <v>18990000</v>
      </c>
      <c r="I6" s="3" t="n">
        <v>23021000</v>
      </c>
    </row>
    <row r="7">
      <c r="A7" t="inlineStr">
        <is>
          <t>iPhone 14 128GB</t>
        </is>
      </c>
      <c r="B7" s="3" t="n">
        <v>17490000</v>
      </c>
      <c r="C7" s="3" t="n">
        <v>17590000</v>
      </c>
      <c r="D7" s="3" t="n">
        <v>17590000</v>
      </c>
      <c r="E7" s="4" t="n">
        <v>17690000</v>
      </c>
      <c r="F7" s="3" t="n">
        <v>17190000</v>
      </c>
      <c r="G7" s="4" t="n">
        <v>17190000</v>
      </c>
      <c r="H7" s="4" t="n">
        <v>17290000</v>
      </c>
      <c r="I7" s="3" t="n">
        <v>15723000</v>
      </c>
    </row>
    <row r="8">
      <c r="A8" t="inlineStr">
        <is>
          <t>iPhone 13  128GB</t>
        </is>
      </c>
      <c r="B8" s="4" t="n">
        <v>14090000</v>
      </c>
      <c r="C8" s="3" t="n">
        <v>14090000</v>
      </c>
      <c r="D8" s="5" t="n">
        <v>13990000</v>
      </c>
      <c r="E8" s="4" t="n">
        <v>13490000</v>
      </c>
      <c r="F8" s="3" t="n">
        <v>13890000</v>
      </c>
      <c r="G8" s="3" t="n">
        <v>13590000</v>
      </c>
      <c r="H8" s="4" t="n">
        <v>13690000</v>
      </c>
      <c r="I8" s="3" t="n">
        <v>13331000</v>
      </c>
    </row>
    <row r="9">
      <c r="A9" t="inlineStr">
        <is>
          <t>iPhone 12 64GB</t>
        </is>
      </c>
      <c r="B9" s="3" t="n">
        <v>11890000</v>
      </c>
      <c r="C9" s="25" t="n">
        <v>11890000</v>
      </c>
      <c r="D9" s="5" t="n">
        <v>11990000</v>
      </c>
      <c r="E9" s="4" t="n">
        <v>11490000</v>
      </c>
      <c r="F9" s="3" t="n">
        <v>11490000</v>
      </c>
      <c r="G9" s="4" t="n">
        <v>11590000</v>
      </c>
      <c r="H9" s="4" t="n">
        <v>12290000</v>
      </c>
      <c r="I9" s="4" t="inlineStr">
        <is>
          <t>OOS</t>
        </is>
      </c>
    </row>
    <row r="10">
      <c r="A10" t="inlineStr">
        <is>
          <t>iPhone 11 64GB</t>
        </is>
      </c>
      <c r="B10" s="3" t="n">
        <v>8740000</v>
      </c>
      <c r="C10" s="3" t="n">
        <v>8740000</v>
      </c>
      <c r="D10" s="5" t="n">
        <v>8790000</v>
      </c>
      <c r="E10" s="4" t="n">
        <v>8490000</v>
      </c>
      <c r="F10" s="3" t="n">
        <v>8390000</v>
      </c>
      <c r="G10" s="4" t="n">
        <v>8190000</v>
      </c>
      <c r="H10" s="4" t="n">
        <v>8490000</v>
      </c>
      <c r="I10" s="4" t="inlineStr">
        <is>
          <t>OOS</t>
        </is>
      </c>
    </row>
    <row r="11">
      <c r="A11" t="inlineStr">
        <is>
          <t>iPad Pro 11" M2 128GB Wifi</t>
        </is>
      </c>
      <c r="B11" s="4" t="inlineStr">
        <is>
          <t>OOS</t>
        </is>
      </c>
      <c r="C11" s="25" t="inlineStr">
        <is>
          <t>OOS</t>
        </is>
      </c>
      <c r="D11" s="5" t="inlineStr">
        <is>
          <t>OOS</t>
        </is>
      </c>
      <c r="E11" s="4" t="inlineStr">
        <is>
          <t>N/A</t>
        </is>
      </c>
      <c r="F11" s="4" t="inlineStr">
        <is>
          <t>OOS</t>
        </is>
      </c>
      <c r="G11" s="4" t="inlineStr">
        <is>
          <t>N/A</t>
        </is>
      </c>
      <c r="H11" s="3" t="n">
        <v>18490000</v>
      </c>
      <c r="I11" s="4" t="inlineStr">
        <is>
          <t>OOS</t>
        </is>
      </c>
    </row>
    <row r="12">
      <c r="A12" t="inlineStr">
        <is>
          <t>iPad Air 5 M1 64GB Wifi</t>
        </is>
      </c>
      <c r="B12" s="3" t="n">
        <v>13990000</v>
      </c>
      <c r="C12" s="3" t="n">
        <v>13990000</v>
      </c>
      <c r="D12" s="5" t="n">
        <v>13990000</v>
      </c>
      <c r="E12" s="4" t="n">
        <v>14170000</v>
      </c>
      <c r="F12" s="3" t="n">
        <v>14690000</v>
      </c>
      <c r="G12" s="4" t="n">
        <v>13790000</v>
      </c>
      <c r="H12" s="4" t="n">
        <v>14290000</v>
      </c>
      <c r="I12" s="4" t="inlineStr">
        <is>
          <t>OOS</t>
        </is>
      </c>
    </row>
    <row r="13">
      <c r="A13" t="inlineStr">
        <is>
          <t>iPad Mini 6 64GB Wifi</t>
        </is>
      </c>
      <c r="B13" s="4" t="inlineStr">
        <is>
          <t>OOS</t>
        </is>
      </c>
      <c r="C13" s="3" t="inlineStr">
        <is>
          <t>OOS</t>
        </is>
      </c>
      <c r="D13" s="5" t="n">
        <v>12790000</v>
      </c>
      <c r="E13" s="4" t="n">
        <v>12070000</v>
      </c>
      <c r="F13" s="3" t="inlineStr">
        <is>
          <t>OOS</t>
        </is>
      </c>
      <c r="G13" s="4" t="n">
        <v>11490000</v>
      </c>
      <c r="H13" s="3" t="n">
        <v>12650000</v>
      </c>
      <c r="I13" s="4" t="inlineStr">
        <is>
          <t>OOS</t>
        </is>
      </c>
    </row>
    <row r="14">
      <c r="A14" t="inlineStr">
        <is>
          <t>iPad Gen 10th 64GB Wifi</t>
        </is>
      </c>
      <c r="B14" s="3" t="n">
        <v>10190000</v>
      </c>
      <c r="C14" s="3" t="n">
        <v>10190000</v>
      </c>
      <c r="D14" s="5" t="n">
        <v>9990000</v>
      </c>
      <c r="E14" s="4" t="n">
        <v>9593100</v>
      </c>
      <c r="F14" s="3" t="n">
        <v>9750000</v>
      </c>
      <c r="G14" s="4" t="n">
        <v>9290000</v>
      </c>
      <c r="H14" s="4" t="n">
        <v>9690000</v>
      </c>
      <c r="I14" s="3" t="n">
        <v>9283000</v>
      </c>
    </row>
    <row r="15">
      <c r="A15" t="inlineStr">
        <is>
          <t>iPad Gen 9th  64GB Wifi</t>
        </is>
      </c>
      <c r="B15" s="3" t="n">
        <v>7390000</v>
      </c>
      <c r="C15" s="3" t="n">
        <v>7440000</v>
      </c>
      <c r="D15" s="3" t="n">
        <v>7390000</v>
      </c>
      <c r="E15" s="4" t="n">
        <v>6920100</v>
      </c>
      <c r="F15" s="3" t="n">
        <v>7150000</v>
      </c>
      <c r="G15" s="4" t="n">
        <v>6790000</v>
      </c>
      <c r="H15" s="3" t="n">
        <v>7090000</v>
      </c>
      <c r="I15" s="3" t="n">
        <v>6707000</v>
      </c>
    </row>
    <row r="16">
      <c r="A16" t="inlineStr">
        <is>
          <t>iPad Air M2  11" 128 GB Wifi</t>
        </is>
      </c>
      <c r="B16" s="3" t="n">
        <v>16890000</v>
      </c>
      <c r="C16" s="3" t="n">
        <v>16890000</v>
      </c>
      <c r="D16" s="4" t="n">
        <v>16990000</v>
      </c>
      <c r="E16" s="4" t="n">
        <v>16090000</v>
      </c>
      <c r="F16" s="4" t="n">
        <v>21690000</v>
      </c>
      <c r="G16" s="4" t="n">
        <v>16190000</v>
      </c>
      <c r="H16" s="4" t="n">
        <v>16990000</v>
      </c>
      <c r="I16" s="4" t="inlineStr">
        <is>
          <t>OOS</t>
        </is>
      </c>
    </row>
    <row r="17">
      <c r="A17" t="inlineStr">
        <is>
          <t>iPad Air M2  13" 128 GB Wifi</t>
        </is>
      </c>
      <c r="B17" s="3" t="n">
        <v>22290000</v>
      </c>
      <c r="C17" s="3" t="n">
        <v>22290000</v>
      </c>
      <c r="D17" s="4" t="n">
        <v>22490000</v>
      </c>
      <c r="E17" s="4" t="n">
        <v>21190000</v>
      </c>
      <c r="F17" s="3" t="n">
        <v>16990000</v>
      </c>
      <c r="G17" s="4" t="n">
        <v>21290000</v>
      </c>
      <c r="H17" s="4" t="n">
        <v>21990000</v>
      </c>
      <c r="I17" s="3" t="n">
        <v>20599000</v>
      </c>
    </row>
    <row r="18">
      <c r="A18" t="inlineStr">
        <is>
          <t>iPad Pro  M4  11" 256 GB Wifi</t>
        </is>
      </c>
      <c r="B18" s="3" t="n">
        <v>28790000</v>
      </c>
      <c r="C18" s="3" t="n">
        <v>28790000</v>
      </c>
      <c r="D18" s="3" t="n">
        <v>28490000</v>
      </c>
      <c r="E18" s="4" t="n">
        <v>27690000</v>
      </c>
      <c r="F18" s="4" t="n">
        <v>27390000</v>
      </c>
      <c r="G18" s="4" t="n">
        <v>27490000</v>
      </c>
      <c r="H18" s="3" t="n">
        <v>27690000</v>
      </c>
      <c r="I18" s="3" t="n">
        <v>26671000</v>
      </c>
    </row>
    <row r="19">
      <c r="A19" t="inlineStr">
        <is>
          <t>iPad Pro  M4  13" 256 GB Wifi</t>
        </is>
      </c>
      <c r="B19" s="3" t="n">
        <v>37790000</v>
      </c>
      <c r="C19" s="3" t="n">
        <v>37790000</v>
      </c>
      <c r="D19" s="4" t="n">
        <v>37990000</v>
      </c>
      <c r="E19" s="4" t="n">
        <v>36490000</v>
      </c>
      <c r="F19" s="3" t="n">
        <v>27790000</v>
      </c>
      <c r="G19" s="4" t="n">
        <v>36190000</v>
      </c>
      <c r="H19" s="4" t="n">
        <v>37990000</v>
      </c>
      <c r="I19" s="4" t="inlineStr">
        <is>
          <t>OOS</t>
        </is>
      </c>
    </row>
    <row r="20">
      <c r="A20" t="inlineStr">
        <is>
          <t>AW SE 2023 (40mm GPS)</t>
        </is>
      </c>
      <c r="B20" s="3" t="n">
        <v>5940000</v>
      </c>
      <c r="C20" s="3" t="n">
        <v>6140000</v>
      </c>
      <c r="D20" s="5" t="n">
        <v>5690000</v>
      </c>
      <c r="E20" s="3" t="n">
        <v>5831100</v>
      </c>
      <c r="F20" s="3" t="n">
        <v>5990000</v>
      </c>
      <c r="G20" s="4" t="n">
        <v>5590000</v>
      </c>
      <c r="H20" s="4" t="n">
        <v>5890000</v>
      </c>
      <c r="I20" s="3" t="n">
        <v>5455000</v>
      </c>
    </row>
    <row r="21">
      <c r="A21" t="inlineStr">
        <is>
          <t>AW SE 2023 (40mm LTE)</t>
        </is>
      </c>
      <c r="B21" s="3" t="n">
        <v>7440000</v>
      </c>
      <c r="C21" s="3" t="n">
        <v>7440000</v>
      </c>
      <c r="D21" s="5" t="inlineStr">
        <is>
          <t>OOS</t>
        </is>
      </c>
      <c r="E21" s="3" t="n">
        <v>7118100</v>
      </c>
      <c r="F21" s="3" t="n">
        <v>7390000</v>
      </c>
      <c r="G21" s="4" t="n">
        <v>6990000</v>
      </c>
      <c r="H21" s="4" t="n">
        <v>7390000</v>
      </c>
      <c r="I21" s="4" t="inlineStr">
        <is>
          <t>OOS</t>
        </is>
      </c>
    </row>
    <row r="22">
      <c r="A22" t="inlineStr">
        <is>
          <t>AW SE 2023 (44mm GPS)</t>
        </is>
      </c>
      <c r="B22" s="3" t="n">
        <v>7040000</v>
      </c>
      <c r="C22" s="3" t="n">
        <v>7040000</v>
      </c>
      <c r="D22" s="5" t="n">
        <v>6290000</v>
      </c>
      <c r="E22" s="3" t="n">
        <v>6524100</v>
      </c>
      <c r="F22" s="4" t="n">
        <v>6990000</v>
      </c>
      <c r="G22" s="3" t="n">
        <v>6290000</v>
      </c>
      <c r="H22" s="4" t="n">
        <v>6790000</v>
      </c>
      <c r="I22" s="4" t="inlineStr">
        <is>
          <t>OOS</t>
        </is>
      </c>
    </row>
    <row r="23">
      <c r="A23" t="inlineStr">
        <is>
          <t>AW SE 2023 (44mm LTE)</t>
        </is>
      </c>
      <c r="B23" s="3" t="n">
        <v>8240000</v>
      </c>
      <c r="C23" s="3" t="inlineStr">
        <is>
          <t>OOS</t>
        </is>
      </c>
      <c r="D23" s="3" t="n">
        <v>7990000</v>
      </c>
      <c r="E23" s="3" t="n">
        <v>7910100</v>
      </c>
      <c r="F23" s="4" t="n">
        <v>8190000</v>
      </c>
      <c r="G23" s="4" t="n">
        <v>7690000</v>
      </c>
      <c r="H23" s="3" t="n">
        <v>8090000</v>
      </c>
      <c r="I23" s="4" t="inlineStr">
        <is>
          <t>OOS</t>
        </is>
      </c>
    </row>
    <row r="24">
      <c r="A24" t="inlineStr">
        <is>
          <t>AW S9 (41mm GPS)</t>
        </is>
      </c>
      <c r="B24" s="4" t="n">
        <v>9790000</v>
      </c>
      <c r="C24" s="3" t="n">
        <v>9790000</v>
      </c>
      <c r="D24" s="3" t="n">
        <v>9490000</v>
      </c>
      <c r="E24" s="3" t="n">
        <v>8900100</v>
      </c>
      <c r="F24" s="3" t="n">
        <v>9290000</v>
      </c>
      <c r="G24" s="3" t="n">
        <v>9090000</v>
      </c>
      <c r="H24" s="3" t="n">
        <v>9290000</v>
      </c>
      <c r="I24" s="3" t="n">
        <v>8915000</v>
      </c>
    </row>
    <row r="25">
      <c r="A25" t="inlineStr">
        <is>
          <t>AW S9 (41mm CEL)</t>
        </is>
      </c>
      <c r="B25" s="3" t="n">
        <v>12190000</v>
      </c>
      <c r="C25" s="3" t="n">
        <v>12190000</v>
      </c>
      <c r="D25" s="3" t="n">
        <v>12190000</v>
      </c>
      <c r="E25" s="3" t="n">
        <v>11678310</v>
      </c>
      <c r="F25" s="3" t="inlineStr">
        <is>
          <t>OOS</t>
        </is>
      </c>
      <c r="G25" s="3" t="n">
        <v>11690000</v>
      </c>
      <c r="H25" s="4" t="n">
        <v>11790000</v>
      </c>
      <c r="I25" s="4" t="inlineStr">
        <is>
          <t>OOS</t>
        </is>
      </c>
    </row>
    <row r="26">
      <c r="A26" t="inlineStr">
        <is>
          <t>AW S9 (45mm GPS)</t>
        </is>
      </c>
      <c r="B26" s="3" t="n">
        <v>10790000</v>
      </c>
      <c r="C26" s="3" t="n">
        <v>10790000</v>
      </c>
      <c r="D26" s="5" t="n">
        <v>10590000</v>
      </c>
      <c r="E26" s="3" t="n">
        <v>9692100</v>
      </c>
      <c r="F26" s="4" t="n">
        <v>10390000</v>
      </c>
      <c r="G26" s="3" t="n">
        <v>10190000</v>
      </c>
      <c r="H26" s="3" t="n">
        <v>10390000</v>
      </c>
      <c r="I26" s="4" t="inlineStr">
        <is>
          <t>OOS</t>
        </is>
      </c>
    </row>
    <row r="27">
      <c r="A27" t="inlineStr">
        <is>
          <t>AW S9 (45mm CEL)</t>
        </is>
      </c>
      <c r="B27" s="3" t="n">
        <v>13690000</v>
      </c>
      <c r="C27" s="3" t="n">
        <v>13690000</v>
      </c>
      <c r="D27" s="5" t="n">
        <v>13490000</v>
      </c>
      <c r="E27" s="3" t="n">
        <v>12570000</v>
      </c>
      <c r="F27" s="4" t="inlineStr">
        <is>
          <t>OOS</t>
        </is>
      </c>
      <c r="G27" s="3" t="n">
        <v>12890000</v>
      </c>
      <c r="H27" s="4" t="n">
        <v>12890000</v>
      </c>
      <c r="I27" s="4" t="inlineStr">
        <is>
          <t>OOS</t>
        </is>
      </c>
    </row>
    <row r="28">
      <c r="A28" t="inlineStr">
        <is>
          <t>AW Ultra 2 (49mm)</t>
        </is>
      </c>
      <c r="B28" s="3" t="n">
        <v>20990000</v>
      </c>
      <c r="C28" s="3" t="n">
        <v>20990000</v>
      </c>
      <c r="D28" s="5" t="n">
        <v>20990000</v>
      </c>
      <c r="E28" s="4" t="n">
        <v>19690000</v>
      </c>
      <c r="F28" s="4" t="n">
        <v>21290000</v>
      </c>
      <c r="G28" s="3" t="n">
        <v>19790000</v>
      </c>
      <c r="H28" s="4" t="n">
        <v>20890000</v>
      </c>
      <c r="I28" s="4" t="inlineStr">
        <is>
          <t>OOS</t>
        </is>
      </c>
    </row>
    <row r="29">
      <c r="A29" t="inlineStr">
        <is>
          <t>AirPods Pro 2 - 2023 (C-Type)</t>
        </is>
      </c>
      <c r="B29" s="4" t="n">
        <v>5790000</v>
      </c>
      <c r="C29" s="3" t="n">
        <v>5740000</v>
      </c>
      <c r="D29" s="5" t="n">
        <v>5690000</v>
      </c>
      <c r="E29" s="3" t="n">
        <v>5435100</v>
      </c>
      <c r="F29" s="4" t="n">
        <v>5550000</v>
      </c>
      <c r="G29" s="4" t="n">
        <v>5390000</v>
      </c>
      <c r="H29" s="4" t="n">
        <v>5750000</v>
      </c>
      <c r="I29" s="3" t="n">
        <v>5143000</v>
      </c>
    </row>
    <row r="30">
      <c r="A30" t="inlineStr">
        <is>
          <t>AirPods 3 with charging case</t>
        </is>
      </c>
      <c r="B30" s="4" t="n">
        <v>3990000</v>
      </c>
      <c r="C30" s="25" t="n">
        <v>3990000</v>
      </c>
      <c r="D30" s="5" t="n">
        <v>3990000</v>
      </c>
      <c r="E30" s="4" t="n">
        <v>4148100</v>
      </c>
      <c r="F30" s="4" t="n">
        <v>3950000</v>
      </c>
      <c r="G30" s="4" t="n">
        <v>3690000</v>
      </c>
      <c r="H30" s="4" t="n">
        <v>3950000</v>
      </c>
      <c r="I30" s="4" t="inlineStr">
        <is>
          <t>OOS</t>
        </is>
      </c>
    </row>
    <row r="31">
      <c r="A31" t="inlineStr">
        <is>
          <t>AirPods 2 with charging case</t>
        </is>
      </c>
      <c r="B31" s="4" t="n">
        <v>2790000</v>
      </c>
      <c r="C31" s="25" t="n">
        <v>2790000</v>
      </c>
      <c r="D31" s="5" t="n">
        <v>2790000</v>
      </c>
      <c r="E31" s="4" t="n">
        <v>2890000</v>
      </c>
      <c r="F31" s="4" t="n">
        <v>2730000</v>
      </c>
      <c r="G31" s="4" t="n">
        <v>2490000</v>
      </c>
      <c r="H31" s="4" t="n">
        <v>2790000</v>
      </c>
      <c r="I31" s="4" t="n">
        <v>2790000</v>
      </c>
    </row>
    <row r="32">
      <c r="A32" t="inlineStr">
        <is>
          <t>MacBook Air 13" M1 8/256Gb</t>
        </is>
      </c>
      <c r="B32" s="3" t="n">
        <v>18790000</v>
      </c>
      <c r="C32" s="3" t="n">
        <v>18890000</v>
      </c>
      <c r="D32" s="3" t="n">
        <v>18590000</v>
      </c>
      <c r="F32" s="4" t="n">
        <v>18590000</v>
      </c>
      <c r="G32" s="3" t="n">
        <v>18390000</v>
      </c>
      <c r="H32" s="3" t="n">
        <v>18590000</v>
      </c>
      <c r="I32" s="4" t="inlineStr">
        <is>
          <t>OOS</t>
        </is>
      </c>
    </row>
    <row r="33">
      <c r="A33" t="inlineStr">
        <is>
          <t>MacBook Air 13" M2 8/256GB</t>
        </is>
      </c>
      <c r="B33" s="3" t="n">
        <v>23790000</v>
      </c>
      <c r="C33" s="3" t="n">
        <v>23990000</v>
      </c>
      <c r="D33" s="3" t="n">
        <v>23690000</v>
      </c>
      <c r="F33" s="4" t="n">
        <v>23990000</v>
      </c>
      <c r="G33" s="3" t="n">
        <v>23590000</v>
      </c>
      <c r="H33" s="4" t="n">
        <v>23990000</v>
      </c>
      <c r="I33" s="3" t="n">
        <v>23175000</v>
      </c>
    </row>
    <row r="34">
      <c r="A34" t="inlineStr">
        <is>
          <t>MacBook Air 13" M3 8/256GB</t>
        </is>
      </c>
      <c r="B34" s="3" t="n">
        <v>27290000</v>
      </c>
      <c r="C34" s="3" t="n">
        <v>27290000</v>
      </c>
      <c r="D34" s="3" t="n">
        <v>27090000</v>
      </c>
      <c r="F34" s="4" t="n">
        <v>27190000</v>
      </c>
      <c r="G34" s="3" t="n">
        <v>26890000</v>
      </c>
      <c r="H34" s="4" t="n">
        <v>27340000</v>
      </c>
      <c r="I34" s="4" t="inlineStr">
        <is>
          <t>OOS</t>
        </is>
      </c>
    </row>
    <row r="35">
      <c r="A35" t="inlineStr">
        <is>
          <t>MacBook Air 15" M3 8/256GB</t>
        </is>
      </c>
      <c r="B35" s="3" t="n">
        <v>31490000</v>
      </c>
      <c r="C35" s="3" t="n">
        <v>31490000</v>
      </c>
      <c r="D35" s="5" t="n">
        <v>31490000</v>
      </c>
      <c r="F35" s="4" t="n">
        <v>32290000</v>
      </c>
      <c r="G35" s="3" t="n">
        <v>31190000</v>
      </c>
      <c r="H35" s="4" t="n">
        <v>31990000</v>
      </c>
      <c r="I35" s="4" t="inlineStr">
        <is>
          <t>OOS</t>
        </is>
      </c>
    </row>
    <row r="36">
      <c r="A36" t="inlineStr">
        <is>
          <t>MacBook Pro 14" M3 8/512GB</t>
        </is>
      </c>
      <c r="B36" s="3" t="n">
        <v>38490000</v>
      </c>
      <c r="C36" s="3" t="n">
        <v>38690000</v>
      </c>
      <c r="D36" s="5" t="n">
        <v>38490000</v>
      </c>
      <c r="F36" s="3" t="n">
        <v>38290000</v>
      </c>
      <c r="G36" s="4" t="n">
        <v>36790000</v>
      </c>
      <c r="H36" s="4" t="n">
        <v>37990000</v>
      </c>
      <c r="I36" s="4" t="inlineStr">
        <is>
          <t>OOS</t>
        </is>
      </c>
    </row>
  </sheetData>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codeName="Sheet13">
    <outlinePr summaryBelow="1" summaryRight="1"/>
    <pageSetUpPr/>
  </sheetPr>
  <dimension ref="A1:I36"/>
  <sheetViews>
    <sheetView workbookViewId="0">
      <selection activeCell="K12" sqref="K12"/>
    </sheetView>
  </sheetViews>
  <sheetFormatPr baseColWidth="8" defaultColWidth="11" defaultRowHeight="15.95"/>
  <cols>
    <col width="25.375" bestFit="1" customWidth="1" style="35" min="1" max="1"/>
    <col width="10.875" customWidth="1" style="35" min="3" max="3"/>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3" t="n">
        <v>20090000</v>
      </c>
      <c r="C2" s="3" t="n">
        <v>20090000</v>
      </c>
      <c r="D2" s="3" t="n">
        <v>19890000</v>
      </c>
      <c r="E2" s="3" t="n">
        <v>19290000</v>
      </c>
      <c r="F2" s="3" t="n">
        <v>19190000</v>
      </c>
      <c r="G2" s="3" t="n">
        <v>19090000</v>
      </c>
      <c r="H2" s="4" t="n">
        <v>19590000</v>
      </c>
      <c r="I2" s="3" t="n">
        <v>18595000</v>
      </c>
    </row>
    <row r="3">
      <c r="A3" t="inlineStr">
        <is>
          <t>iPhone 15  Plus 128GB</t>
        </is>
      </c>
      <c r="B3" s="3" t="n">
        <v>22690000</v>
      </c>
      <c r="C3" s="3" t="n">
        <v>22690000</v>
      </c>
      <c r="D3" s="3" t="n">
        <v>22690000</v>
      </c>
      <c r="E3" s="4" t="n">
        <v>21990000</v>
      </c>
      <c r="F3" s="3" t="n">
        <v>22090000</v>
      </c>
      <c r="G3" s="3" t="n">
        <v>22290000</v>
      </c>
      <c r="H3" s="4" t="n">
        <v>22590000</v>
      </c>
      <c r="I3" s="3" t="n">
        <v>22071000</v>
      </c>
    </row>
    <row r="4">
      <c r="A4" t="inlineStr">
        <is>
          <t>iPhone 15 Pro  128GB</t>
        </is>
      </c>
      <c r="B4" s="4" t="n">
        <v>24990000</v>
      </c>
      <c r="C4" s="25" t="n">
        <v>24990000</v>
      </c>
      <c r="D4" s="5" t="n">
        <v>24890000</v>
      </c>
      <c r="E4" s="4" t="n">
        <v>23990000</v>
      </c>
      <c r="F4" s="3" t="n">
        <v>24390000</v>
      </c>
      <c r="G4" s="4" t="n">
        <v>23990000</v>
      </c>
      <c r="H4" s="4" t="n">
        <v>24790000</v>
      </c>
      <c r="I4" s="3" t="n">
        <v>24145000</v>
      </c>
    </row>
    <row r="5">
      <c r="A5" t="inlineStr">
        <is>
          <t>iPhone 15 Pro Max 256GB</t>
        </is>
      </c>
      <c r="B5" s="4" t="n">
        <v>29190000</v>
      </c>
      <c r="C5" s="25" t="n">
        <v>29190000</v>
      </c>
      <c r="D5" s="3" t="n">
        <v>29290000</v>
      </c>
      <c r="E5" s="4" t="n">
        <v>28890000</v>
      </c>
      <c r="F5" s="3" t="n">
        <v>28850000</v>
      </c>
      <c r="G5" s="4" t="n">
        <v>28690000</v>
      </c>
      <c r="H5" s="4" t="n">
        <v>28990000</v>
      </c>
      <c r="I5" s="3" t="n">
        <v>28235000</v>
      </c>
    </row>
    <row r="6">
      <c r="A6" t="inlineStr">
        <is>
          <t>iPhone 14 Plus 128GB</t>
        </is>
      </c>
      <c r="B6" s="4" t="n">
        <v>19790000</v>
      </c>
      <c r="C6" s="25" t="n">
        <v>19790000</v>
      </c>
      <c r="D6" s="5" t="n">
        <v>19890000</v>
      </c>
      <c r="E6" s="4" t="n">
        <v>19690000</v>
      </c>
      <c r="F6" s="3" t="n">
        <v>19750000</v>
      </c>
      <c r="G6" s="4" t="n">
        <v>19190000</v>
      </c>
      <c r="H6" s="3" t="n">
        <v>19390000</v>
      </c>
      <c r="I6" s="3" t="n">
        <v>23021000</v>
      </c>
    </row>
    <row r="7">
      <c r="A7" t="inlineStr">
        <is>
          <t>iPhone 14 128GB</t>
        </is>
      </c>
      <c r="B7" s="4" t="n">
        <v>17690000</v>
      </c>
      <c r="C7" s="3" t="n">
        <v>17690000</v>
      </c>
      <c r="D7" s="3" t="n">
        <v>17490000</v>
      </c>
      <c r="E7" s="4" t="n">
        <v>17690000</v>
      </c>
      <c r="F7" s="4" t="n">
        <v>17190000</v>
      </c>
      <c r="G7" s="4" t="n">
        <v>17190000</v>
      </c>
      <c r="H7" s="4" t="n">
        <v>17290000</v>
      </c>
      <c r="I7" s="3" t="n">
        <v>15723000</v>
      </c>
    </row>
    <row r="8">
      <c r="A8" t="inlineStr">
        <is>
          <t>iPhone 13  128GB</t>
        </is>
      </c>
      <c r="B8" s="3" t="n">
        <v>14390000</v>
      </c>
      <c r="C8" s="3" t="n">
        <v>14390000</v>
      </c>
      <c r="D8" s="3" t="n">
        <v>14090000</v>
      </c>
      <c r="E8" s="3" t="n">
        <v>13520000</v>
      </c>
      <c r="F8" s="4" t="n">
        <v>13890000</v>
      </c>
      <c r="G8" s="4" t="n">
        <v>13590000</v>
      </c>
      <c r="H8" s="4" t="n">
        <v>13690000</v>
      </c>
      <c r="I8" s="3" t="n">
        <v>13331000</v>
      </c>
    </row>
    <row r="9">
      <c r="A9" t="inlineStr">
        <is>
          <t>iPhone 12 64GB</t>
        </is>
      </c>
      <c r="B9" s="4" t="n">
        <v>11890000</v>
      </c>
      <c r="C9" s="25" t="n">
        <v>11890000</v>
      </c>
      <c r="D9" s="3" t="n">
        <v>11890000</v>
      </c>
      <c r="E9" s="4" t="n">
        <v>11490000</v>
      </c>
      <c r="F9" s="4" t="n">
        <v>11490000</v>
      </c>
      <c r="G9" s="4" t="n">
        <v>11590000</v>
      </c>
      <c r="H9" s="4" t="n">
        <v>12290000</v>
      </c>
      <c r="I9" s="4" t="inlineStr">
        <is>
          <t>OOS</t>
        </is>
      </c>
    </row>
    <row r="10">
      <c r="A10" t="inlineStr">
        <is>
          <t>iPhone 11 64GB</t>
        </is>
      </c>
      <c r="B10" s="4" t="n">
        <v>8740000</v>
      </c>
      <c r="C10" s="25" t="n">
        <v>8740000</v>
      </c>
      <c r="D10" s="5" t="n">
        <v>8790000</v>
      </c>
      <c r="E10" s="4" t="n">
        <v>8490000</v>
      </c>
      <c r="F10" s="3" t="n">
        <v>8690000</v>
      </c>
      <c r="G10" s="3" t="n">
        <v>8490000</v>
      </c>
      <c r="H10" s="4" t="n">
        <v>8490000</v>
      </c>
      <c r="I10" s="4" t="inlineStr">
        <is>
          <t>OOS</t>
        </is>
      </c>
    </row>
    <row r="11">
      <c r="A11" t="inlineStr">
        <is>
          <t>iPad Pro 11" M2 128GB Wifi</t>
        </is>
      </c>
      <c r="B11" s="4" t="inlineStr">
        <is>
          <t>OOS</t>
        </is>
      </c>
      <c r="C11" s="25" t="inlineStr">
        <is>
          <t>OOS</t>
        </is>
      </c>
      <c r="D11" s="5" t="n">
        <v>20990000</v>
      </c>
      <c r="E11" s="4" t="inlineStr">
        <is>
          <t>N/A</t>
        </is>
      </c>
      <c r="F11" s="4" t="inlineStr">
        <is>
          <t>OOS</t>
        </is>
      </c>
      <c r="G11" s="4" t="inlineStr">
        <is>
          <t>N/A</t>
        </is>
      </c>
      <c r="H11" s="4" t="n">
        <v>18490000</v>
      </c>
      <c r="I11" s="4" t="inlineStr">
        <is>
          <t>OOS</t>
        </is>
      </c>
    </row>
    <row r="12">
      <c r="A12" t="inlineStr">
        <is>
          <t>iPad Air 5 M1 64GB Wifi</t>
        </is>
      </c>
      <c r="B12" s="4" t="n">
        <v>13990000</v>
      </c>
      <c r="C12" s="25" t="n">
        <v>13990000</v>
      </c>
      <c r="D12" s="3" t="n">
        <v>13890000</v>
      </c>
      <c r="E12" s="4" t="n">
        <v>14170000</v>
      </c>
      <c r="F12" s="4" t="n">
        <v>14690000</v>
      </c>
      <c r="G12" s="4" t="n">
        <v>13790000</v>
      </c>
      <c r="H12" s="4" t="n">
        <v>14290000</v>
      </c>
      <c r="I12" s="3" t="n">
        <v>15635000</v>
      </c>
    </row>
    <row r="13">
      <c r="A13" t="inlineStr">
        <is>
          <t>iPad Mini 6 64GB Wifi</t>
        </is>
      </c>
      <c r="B13" s="4" t="inlineStr">
        <is>
          <t>OOS</t>
        </is>
      </c>
      <c r="C13" s="25" t="inlineStr">
        <is>
          <t>OOS</t>
        </is>
      </c>
      <c r="D13" s="3" t="n">
        <v>12690000</v>
      </c>
      <c r="E13" s="4" t="n">
        <v>12070000</v>
      </c>
      <c r="F13" s="3" t="n">
        <v>12790000</v>
      </c>
      <c r="G13" s="4" t="n">
        <v>11490000</v>
      </c>
      <c r="H13" s="4" t="n">
        <v>12650000</v>
      </c>
      <c r="I13" s="4" t="inlineStr">
        <is>
          <t>OOS</t>
        </is>
      </c>
    </row>
    <row r="14">
      <c r="A14" t="inlineStr">
        <is>
          <t>iPad Gen 10th 64GB Wifi</t>
        </is>
      </c>
      <c r="B14" s="4" t="n">
        <v>10190000</v>
      </c>
      <c r="C14" s="25" t="n">
        <v>10190000</v>
      </c>
      <c r="D14" s="3" t="n">
        <v>9940000</v>
      </c>
      <c r="E14" s="4" t="n">
        <v>9593100</v>
      </c>
      <c r="F14" s="3" t="n">
        <v>9650000</v>
      </c>
      <c r="G14" s="4" t="n">
        <v>9290000</v>
      </c>
      <c r="H14" s="4" t="n">
        <v>9690000</v>
      </c>
      <c r="I14" s="3" t="n">
        <v>9283000</v>
      </c>
    </row>
    <row r="15">
      <c r="A15" t="inlineStr">
        <is>
          <t>iPad Gen 9th  64GB Wifi</t>
        </is>
      </c>
      <c r="B15" s="4" t="n">
        <v>7390000</v>
      </c>
      <c r="C15" s="3" t="n">
        <v>7340000</v>
      </c>
      <c r="D15" s="3" t="n">
        <v>7340000</v>
      </c>
      <c r="E15" s="4" t="n">
        <v>6920100</v>
      </c>
      <c r="F15" s="3" t="n">
        <v>7090000</v>
      </c>
      <c r="G15" s="4" t="n">
        <v>6790000</v>
      </c>
      <c r="H15" s="4" t="n">
        <v>7090000</v>
      </c>
      <c r="I15" s="4" t="inlineStr">
        <is>
          <t>OOS</t>
        </is>
      </c>
    </row>
    <row r="16">
      <c r="A16" t="inlineStr">
        <is>
          <t>iPad Air M2  11" 128 GB Wifi</t>
        </is>
      </c>
      <c r="B16" s="4" t="n">
        <v>16890000</v>
      </c>
      <c r="C16" s="25" t="n">
        <v>16890000</v>
      </c>
      <c r="D16" s="3" t="n">
        <v>16890000</v>
      </c>
      <c r="E16" s="4" t="n">
        <v>16090000</v>
      </c>
      <c r="F16" s="4" t="n">
        <v>21690000</v>
      </c>
      <c r="G16" s="4" t="n">
        <v>16190000</v>
      </c>
      <c r="H16" s="4" t="n">
        <v>16990000</v>
      </c>
      <c r="I16" s="4" t="inlineStr">
        <is>
          <t>OOS</t>
        </is>
      </c>
    </row>
    <row r="17">
      <c r="A17" t="inlineStr">
        <is>
          <t>iPad Air M2  13" 128 GB Wifi</t>
        </is>
      </c>
      <c r="B17" s="4" t="n">
        <v>22290000</v>
      </c>
      <c r="C17" s="25" t="n">
        <v>22290000</v>
      </c>
      <c r="D17" s="3" t="n">
        <v>22390000</v>
      </c>
      <c r="E17" s="4" t="n">
        <v>21190000</v>
      </c>
      <c r="F17" s="3" t="inlineStr">
        <is>
          <t>OOS</t>
        </is>
      </c>
      <c r="G17" s="4" t="n">
        <v>21290000</v>
      </c>
      <c r="H17" s="4" t="n">
        <v>21990000</v>
      </c>
      <c r="I17" s="3" t="n">
        <v>20599000</v>
      </c>
    </row>
    <row r="18">
      <c r="A18" t="inlineStr">
        <is>
          <t>iPad Pro  M4  11" 256 GB Wifi</t>
        </is>
      </c>
      <c r="B18" s="4" t="n">
        <v>28790000</v>
      </c>
      <c r="C18" s="25" t="n">
        <v>28790000</v>
      </c>
      <c r="D18" s="3" t="n">
        <v>28390000</v>
      </c>
      <c r="E18" s="4" t="n">
        <v>27690000</v>
      </c>
      <c r="F18" s="4" t="n">
        <v>27790000</v>
      </c>
      <c r="G18" s="4" t="n">
        <v>27490000</v>
      </c>
      <c r="H18" s="4" t="n">
        <v>27690000</v>
      </c>
      <c r="I18" s="3" t="n">
        <v>26671000</v>
      </c>
    </row>
    <row r="19">
      <c r="A19" t="inlineStr">
        <is>
          <t>iPad Pro  M4  13" 256 GB Wifi</t>
        </is>
      </c>
      <c r="B19" s="4" t="n">
        <v>37790000</v>
      </c>
      <c r="C19" s="25" t="n">
        <v>37790000</v>
      </c>
      <c r="D19" s="3" t="n">
        <v>37890000</v>
      </c>
      <c r="E19" s="4" t="n">
        <v>36490000</v>
      </c>
      <c r="F19" s="4" t="n">
        <v>37390000</v>
      </c>
      <c r="G19" s="4" t="n">
        <v>36190000</v>
      </c>
      <c r="H19" s="3" t="n">
        <v>37390000</v>
      </c>
      <c r="I19" s="4" t="inlineStr">
        <is>
          <t>OOS</t>
        </is>
      </c>
    </row>
    <row r="20">
      <c r="A20" t="inlineStr">
        <is>
          <t>AW SE 2023 (40mm GPS)</t>
        </is>
      </c>
      <c r="B20" s="3" t="n">
        <v>6140000</v>
      </c>
      <c r="C20" s="3" t="n">
        <v>5940000</v>
      </c>
      <c r="D20" s="5" t="n">
        <v>5690000</v>
      </c>
      <c r="E20" s="4" t="n">
        <v>5831100</v>
      </c>
      <c r="F20" s="3" t="n">
        <v>5950000</v>
      </c>
      <c r="G20" s="4" t="n">
        <v>5590000</v>
      </c>
      <c r="H20" s="4" t="n">
        <v>5890000</v>
      </c>
      <c r="I20" s="3" t="n">
        <v>5448000</v>
      </c>
    </row>
    <row r="21">
      <c r="A21" t="inlineStr">
        <is>
          <t>AW SE 2023 (40mm LTE)</t>
        </is>
      </c>
      <c r="B21" s="4" t="n">
        <v>7440000</v>
      </c>
      <c r="C21" s="25" t="n">
        <v>7440000</v>
      </c>
      <c r="D21" s="5" t="inlineStr">
        <is>
          <t>OOS</t>
        </is>
      </c>
      <c r="E21" s="4" t="n">
        <v>7118100</v>
      </c>
      <c r="F21" s="4" t="n">
        <v>7390000</v>
      </c>
      <c r="G21" s="4" t="n">
        <v>6990000</v>
      </c>
      <c r="H21" s="4" t="n">
        <v>7390000</v>
      </c>
      <c r="I21" s="4" t="inlineStr">
        <is>
          <t>OOS</t>
        </is>
      </c>
    </row>
    <row r="22">
      <c r="A22" t="inlineStr">
        <is>
          <t>AW SE 2023 (44mm GPS)</t>
        </is>
      </c>
      <c r="B22" s="4" t="n">
        <v>7040000</v>
      </c>
      <c r="C22" s="25" t="n">
        <v>7040000</v>
      </c>
      <c r="D22" s="3" t="n">
        <v>6240000</v>
      </c>
      <c r="E22" s="4" t="n">
        <v>6524100</v>
      </c>
      <c r="F22" s="4" t="n">
        <v>6990000</v>
      </c>
      <c r="G22" s="4" t="n">
        <v>6290000</v>
      </c>
      <c r="H22" s="4" t="n">
        <v>6790000</v>
      </c>
      <c r="I22" s="4" t="inlineStr">
        <is>
          <t>OOS</t>
        </is>
      </c>
    </row>
    <row r="23">
      <c r="A23" t="inlineStr">
        <is>
          <t>AW SE 2023 (44mm LTE)</t>
        </is>
      </c>
      <c r="B23" s="4" t="n">
        <v>8240000</v>
      </c>
      <c r="C23" s="3" t="n">
        <v>7940000</v>
      </c>
      <c r="D23" s="3" t="n">
        <v>7540000</v>
      </c>
      <c r="E23" s="4" t="n">
        <v>7910100</v>
      </c>
      <c r="F23" s="4" t="n">
        <v>8190000</v>
      </c>
      <c r="G23" s="4" t="n">
        <v>7690000</v>
      </c>
      <c r="H23" s="4" t="n">
        <v>8090000</v>
      </c>
      <c r="I23" s="4" t="inlineStr">
        <is>
          <t>OOS</t>
        </is>
      </c>
    </row>
    <row r="24">
      <c r="A24" t="inlineStr">
        <is>
          <t>AW S9 (41mm GPS)</t>
        </is>
      </c>
      <c r="B24" s="3" t="n">
        <v>9690000</v>
      </c>
      <c r="C24" s="25" t="n">
        <v>9790000</v>
      </c>
      <c r="D24" s="3" t="n">
        <v>9540000</v>
      </c>
      <c r="E24" s="4" t="n">
        <v>8900100</v>
      </c>
      <c r="F24" s="3" t="n">
        <v>9490000</v>
      </c>
      <c r="G24" s="4" t="n">
        <v>9090000</v>
      </c>
      <c r="H24" s="4" t="n">
        <v>9290000</v>
      </c>
      <c r="I24" s="3" t="n">
        <v>8527000</v>
      </c>
    </row>
    <row r="25">
      <c r="A25" t="inlineStr">
        <is>
          <t>AW S9 (41mm CEL)</t>
        </is>
      </c>
      <c r="B25" s="4" t="n">
        <v>12190000</v>
      </c>
      <c r="C25" s="3" t="n">
        <v>12490000</v>
      </c>
      <c r="D25" s="32" t="n">
        <v>12090000</v>
      </c>
      <c r="E25" s="4" t="n">
        <v>11678310</v>
      </c>
      <c r="F25" s="3" t="n">
        <v>12590000</v>
      </c>
      <c r="G25" s="4" t="n">
        <v>11690000</v>
      </c>
      <c r="H25" s="4" t="n">
        <v>11790000</v>
      </c>
      <c r="I25" s="4" t="inlineStr">
        <is>
          <t>OOS</t>
        </is>
      </c>
    </row>
    <row r="26">
      <c r="A26" t="inlineStr">
        <is>
          <t>AW S9 (45mm GPS)</t>
        </is>
      </c>
      <c r="B26" s="4" t="n">
        <v>10790000</v>
      </c>
      <c r="C26" s="3" t="n">
        <v>10590000</v>
      </c>
      <c r="D26" s="32" t="n">
        <v>10490000</v>
      </c>
      <c r="E26" s="4" t="n">
        <v>9692100</v>
      </c>
      <c r="F26" s="4" t="n">
        <v>10390000</v>
      </c>
      <c r="G26" s="4" t="n">
        <v>10190000</v>
      </c>
      <c r="H26" s="4" t="n">
        <v>10390000</v>
      </c>
      <c r="I26" s="4" t="inlineStr">
        <is>
          <t>OOS</t>
        </is>
      </c>
    </row>
    <row r="27">
      <c r="A27" t="inlineStr">
        <is>
          <t>AW S9 (45mm CEL)</t>
        </is>
      </c>
      <c r="B27" s="4" t="n">
        <v>13690000</v>
      </c>
      <c r="C27" s="3" t="n">
        <v>13590000</v>
      </c>
      <c r="D27" s="32" t="n">
        <v>13390000</v>
      </c>
      <c r="E27" s="4" t="n">
        <v>12570000</v>
      </c>
      <c r="F27" s="4" t="inlineStr">
        <is>
          <t>OOS</t>
        </is>
      </c>
      <c r="G27" s="4" t="n">
        <v>12890000</v>
      </c>
      <c r="H27" s="4" t="n">
        <v>12890000</v>
      </c>
      <c r="I27" s="4" t="inlineStr">
        <is>
          <t>OOS</t>
        </is>
      </c>
    </row>
    <row r="28">
      <c r="A28" t="inlineStr">
        <is>
          <t>AW Ultra 2 (49mm)</t>
        </is>
      </c>
      <c r="B28" s="4" t="n">
        <v>20990000</v>
      </c>
      <c r="C28" s="25" t="n">
        <v>20990000</v>
      </c>
      <c r="D28" s="5" t="n">
        <v>20890000</v>
      </c>
      <c r="E28" s="4" t="n">
        <v>19690000</v>
      </c>
      <c r="F28" s="4" t="n">
        <v>21290000</v>
      </c>
      <c r="G28" s="4" t="n">
        <v>19790000</v>
      </c>
      <c r="H28" s="4" t="n">
        <v>20890000</v>
      </c>
      <c r="I28" s="4" t="inlineStr">
        <is>
          <t>OOS</t>
        </is>
      </c>
    </row>
    <row r="29">
      <c r="A29" t="inlineStr">
        <is>
          <t>AirPods Pro 2 - 2023 (C-Type)</t>
        </is>
      </c>
      <c r="B29" s="4" t="n">
        <v>5790000</v>
      </c>
      <c r="C29" s="25" t="n">
        <v>5740000</v>
      </c>
      <c r="D29" s="5" t="n">
        <v>5640000</v>
      </c>
      <c r="E29" s="4" t="n">
        <v>5435100</v>
      </c>
      <c r="F29" s="4" t="n">
        <v>5550000</v>
      </c>
      <c r="G29" s="4" t="n">
        <v>5390000</v>
      </c>
      <c r="H29" s="4" t="n">
        <v>5750000</v>
      </c>
      <c r="I29" s="3" t="n">
        <v>5143000</v>
      </c>
    </row>
    <row r="30">
      <c r="A30" t="inlineStr">
        <is>
          <t>AirPods 3 with charging case</t>
        </is>
      </c>
      <c r="B30" s="4" t="n">
        <v>3990000</v>
      </c>
      <c r="C30" s="25" t="n">
        <v>3990000</v>
      </c>
      <c r="D30" s="5" t="n">
        <v>3990000</v>
      </c>
      <c r="E30" s="4" t="n">
        <v>4148100</v>
      </c>
      <c r="F30" s="4" t="n">
        <v>3950000</v>
      </c>
      <c r="G30" s="4" t="n">
        <v>3690000</v>
      </c>
      <c r="H30" s="4" t="n">
        <v>3950000</v>
      </c>
      <c r="I30" s="4" t="inlineStr">
        <is>
          <t>OOS</t>
        </is>
      </c>
    </row>
    <row r="31">
      <c r="A31" t="inlineStr">
        <is>
          <t>AirPods 2 with charging case</t>
        </is>
      </c>
      <c r="B31" s="4" t="n">
        <v>2790000</v>
      </c>
      <c r="C31" s="25" t="n">
        <v>2790000</v>
      </c>
      <c r="D31" s="5" t="n">
        <v>2790000</v>
      </c>
      <c r="E31" s="4" t="n">
        <v>2890000</v>
      </c>
      <c r="F31" s="3" t="n">
        <v>2790000</v>
      </c>
      <c r="G31" s="3" t="n">
        <v>2590000</v>
      </c>
      <c r="H31" s="4" t="n">
        <v>2790000</v>
      </c>
      <c r="I31" s="3" t="n">
        <v>2567000</v>
      </c>
    </row>
    <row r="32">
      <c r="A32" t="inlineStr">
        <is>
          <t>MacBook Air 13" M1 8/256Gb</t>
        </is>
      </c>
      <c r="B32" s="3" t="n">
        <v>18590000</v>
      </c>
      <c r="C32" s="3" t="n">
        <v>18590000</v>
      </c>
      <c r="D32" s="3" t="n">
        <v>18590000</v>
      </c>
      <c r="F32" s="4" t="n">
        <v>18590000</v>
      </c>
      <c r="G32" s="4" t="n">
        <v>18390000</v>
      </c>
      <c r="H32" s="4" t="n">
        <v>18590000</v>
      </c>
      <c r="I32" s="4" t="inlineStr">
        <is>
          <t>OOS</t>
        </is>
      </c>
    </row>
    <row r="33">
      <c r="A33" t="inlineStr">
        <is>
          <t>MacBook Air 13" M2 8/256GB</t>
        </is>
      </c>
      <c r="B33" s="3" t="n">
        <v>23690000</v>
      </c>
      <c r="C33" s="3" t="n">
        <v>23690000</v>
      </c>
      <c r="D33" s="32" t="n">
        <v>23690000</v>
      </c>
      <c r="F33" s="3" t="n">
        <v>23850000</v>
      </c>
      <c r="G33" s="4" t="n">
        <v>23590000</v>
      </c>
      <c r="H33" s="3" t="n">
        <v>23690000</v>
      </c>
      <c r="I33" s="3" t="n">
        <v>23175000</v>
      </c>
    </row>
    <row r="34">
      <c r="A34" t="inlineStr">
        <is>
          <t>MacBook Air 13" M3 8/256GB</t>
        </is>
      </c>
      <c r="B34" s="4" t="n">
        <v>27290000</v>
      </c>
      <c r="C34" s="25" t="n">
        <v>27290000</v>
      </c>
      <c r="D34" s="32" t="n">
        <v>27090000</v>
      </c>
      <c r="F34" s="4" t="n">
        <v>27190000</v>
      </c>
      <c r="G34" s="4" t="n">
        <v>26890000</v>
      </c>
      <c r="H34" s="3" t="n">
        <v>26890000</v>
      </c>
      <c r="I34" s="4" t="inlineStr">
        <is>
          <t>OOS</t>
        </is>
      </c>
    </row>
    <row r="35">
      <c r="A35" t="inlineStr">
        <is>
          <t>MacBook Air 15" M3 8/256GB</t>
        </is>
      </c>
      <c r="B35" s="4" t="n">
        <v>31490000</v>
      </c>
      <c r="C35" s="25" t="n">
        <v>31490000</v>
      </c>
      <c r="D35" s="5" t="n">
        <v>31290000</v>
      </c>
      <c r="F35" s="4" t="n">
        <v>32290000</v>
      </c>
      <c r="G35" s="4" t="n">
        <v>31190000</v>
      </c>
      <c r="H35" s="4" t="n">
        <v>31390000</v>
      </c>
      <c r="I35" s="4" t="inlineStr">
        <is>
          <t>OOS</t>
        </is>
      </c>
    </row>
    <row r="36">
      <c r="A36" t="inlineStr">
        <is>
          <t>MacBook Pro 14" M3 8/512GB</t>
        </is>
      </c>
      <c r="B36" s="3" t="n">
        <v>38690000</v>
      </c>
      <c r="C36" s="25" t="n">
        <v>38690000</v>
      </c>
      <c r="D36" s="5" t="n">
        <v>38290000</v>
      </c>
      <c r="F36" s="4" t="n">
        <v>38290000</v>
      </c>
      <c r="G36" s="4" t="n">
        <v>36790000</v>
      </c>
      <c r="H36" s="4" t="n">
        <v>37990000</v>
      </c>
      <c r="I36" s="4" t="inlineStr">
        <is>
          <t>OOS</t>
        </is>
      </c>
    </row>
  </sheetData>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codeName="Sheet14">
    <outlinePr summaryBelow="1" summaryRight="1"/>
    <pageSetUpPr/>
  </sheetPr>
  <dimension ref="A1:I36"/>
  <sheetViews>
    <sheetView zoomScale="95" workbookViewId="0">
      <selection activeCell="H2" sqref="H2:H36"/>
    </sheetView>
  </sheetViews>
  <sheetFormatPr baseColWidth="8" defaultColWidth="11" defaultRowHeight="15.95"/>
  <cols>
    <col width="25.375" bestFit="1" customWidth="1" style="35" min="1" max="1"/>
    <col width="10.875" customWidth="1" style="35" min="3" max="3"/>
  </cols>
  <sheetData>
    <row r="1">
      <c r="B1" t="inlineStr">
        <is>
          <t>MW</t>
        </is>
      </c>
      <c r="C1" t="inlineStr">
        <is>
          <t>TZ</t>
        </is>
      </c>
      <c r="D1" t="inlineStr">
        <is>
          <t>FPT</t>
        </is>
      </c>
      <c r="E1" t="inlineStr">
        <is>
          <t>Viettel</t>
        </is>
      </c>
      <c r="F1" t="inlineStr">
        <is>
          <t>CPS</t>
        </is>
      </c>
      <c r="G1" t="inlineStr">
        <is>
          <t>Hoang Ha</t>
        </is>
      </c>
      <c r="H1" t="inlineStr">
        <is>
          <t>Shopdunk</t>
        </is>
      </c>
      <c r="I1" t="inlineStr">
        <is>
          <t>Shopee</t>
        </is>
      </c>
    </row>
    <row r="2">
      <c r="A2" t="inlineStr">
        <is>
          <t>iPhone 15  128GB</t>
        </is>
      </c>
      <c r="B2" s="4" t="n">
        <v>20090000</v>
      </c>
      <c r="C2" s="25" t="n">
        <v>20090000</v>
      </c>
      <c r="D2" s="3" t="n">
        <v>19990000</v>
      </c>
      <c r="E2" s="3" t="n">
        <v>19390000</v>
      </c>
      <c r="F2" s="3" t="n">
        <v>19450000</v>
      </c>
      <c r="G2" s="4" t="n">
        <v>19090000</v>
      </c>
      <c r="H2" s="3" t="n">
        <v>19450000</v>
      </c>
      <c r="I2" s="3" t="n">
        <v>18483000</v>
      </c>
    </row>
    <row r="3">
      <c r="A3" t="inlineStr">
        <is>
          <t>iPhone 15  Plus 128GB</t>
        </is>
      </c>
      <c r="B3" s="3" t="n">
        <v>22890000</v>
      </c>
      <c r="C3" s="25" t="n">
        <v>22690000</v>
      </c>
      <c r="D3" s="3" t="n">
        <v>22890000</v>
      </c>
      <c r="E3" s="3" t="n">
        <v>22290000</v>
      </c>
      <c r="F3" s="3" t="n">
        <v>22290000</v>
      </c>
      <c r="G3" s="4" t="n">
        <v>22290000</v>
      </c>
      <c r="H3" s="3" t="n">
        <v>22250000</v>
      </c>
      <c r="I3" s="3" t="n">
        <v>22071000</v>
      </c>
    </row>
    <row r="4">
      <c r="A4" t="inlineStr">
        <is>
          <t>iPhone 15 Pro  128GB</t>
        </is>
      </c>
      <c r="B4" s="3" t="n">
        <v>25090000</v>
      </c>
      <c r="C4" s="25" t="n">
        <v>24990000</v>
      </c>
      <c r="D4" s="5" t="n">
        <v>24890000</v>
      </c>
      <c r="E4" s="4" t="n">
        <v>23990000</v>
      </c>
      <c r="F4" s="3" t="n">
        <v>24290000</v>
      </c>
      <c r="G4" s="4" t="n">
        <v>23990000</v>
      </c>
      <c r="H4" s="3" t="n">
        <v>24290000</v>
      </c>
      <c r="I4" s="3" t="n">
        <v>24003000</v>
      </c>
    </row>
    <row r="5">
      <c r="A5" t="inlineStr">
        <is>
          <t>iPhone 15 Pro Max 256GB</t>
        </is>
      </c>
      <c r="B5" s="3" t="n">
        <v>29090000</v>
      </c>
      <c r="C5" s="3" t="n">
        <v>29090000</v>
      </c>
      <c r="D5" s="3" t="n">
        <v>29190000</v>
      </c>
      <c r="E5" s="4" t="n">
        <v>28890000</v>
      </c>
      <c r="F5" s="3" t="n">
        <v>28890000</v>
      </c>
      <c r="G5" s="4" t="n">
        <v>28690000</v>
      </c>
      <c r="H5" s="3" t="n">
        <v>28850000</v>
      </c>
      <c r="I5" s="3" t="n">
        <v>28043000</v>
      </c>
    </row>
    <row r="6">
      <c r="A6" t="inlineStr">
        <is>
          <t>iPhone 14 Plus 128GB</t>
        </is>
      </c>
      <c r="B6" s="3" t="n">
        <v>19990000</v>
      </c>
      <c r="C6" s="3" t="n">
        <v>21190000</v>
      </c>
      <c r="D6" s="5" t="n">
        <v>19890000</v>
      </c>
      <c r="E6" s="4" t="n">
        <v>19690000</v>
      </c>
      <c r="F6" s="3" t="n">
        <v>19790000</v>
      </c>
      <c r="G6" s="4" t="n">
        <v>19190000</v>
      </c>
      <c r="H6" s="4" t="n">
        <v>19390000</v>
      </c>
      <c r="I6" s="3" t="n">
        <v>22531000</v>
      </c>
    </row>
    <row r="7">
      <c r="A7" t="inlineStr">
        <is>
          <t>iPhone 14 128GB</t>
        </is>
      </c>
      <c r="B7" s="4" t="n">
        <v>17690000</v>
      </c>
      <c r="C7" s="25" t="n">
        <v>17690000</v>
      </c>
      <c r="D7" s="3" t="n">
        <v>17490000</v>
      </c>
      <c r="E7" s="4" t="n">
        <v>17690000</v>
      </c>
      <c r="F7" s="3" t="n">
        <v>17290000</v>
      </c>
      <c r="G7" s="4" t="n">
        <v>17190000</v>
      </c>
      <c r="H7" s="4" t="n">
        <v>17290000</v>
      </c>
      <c r="I7" s="3" t="n">
        <v>17103000</v>
      </c>
    </row>
    <row r="8">
      <c r="A8" t="inlineStr">
        <is>
          <t>iPhone 13  128GB</t>
        </is>
      </c>
      <c r="B8" s="3" t="n">
        <v>14490000</v>
      </c>
      <c r="C8" s="3" t="n">
        <v>14490000</v>
      </c>
      <c r="D8" s="3" t="n">
        <v>14190000</v>
      </c>
      <c r="E8" s="3" t="n">
        <v>13690000</v>
      </c>
      <c r="F8" s="3" t="n">
        <v>13990000</v>
      </c>
      <c r="G8" s="4" t="n">
        <v>13590000</v>
      </c>
      <c r="H8" s="4" t="n">
        <v>13690000</v>
      </c>
      <c r="I8" s="4" t="inlineStr">
        <is>
          <t>OOS</t>
        </is>
      </c>
    </row>
    <row r="9">
      <c r="A9" t="inlineStr">
        <is>
          <t>iPhone 12 64GB</t>
        </is>
      </c>
      <c r="B9" s="3" t="n">
        <v>11490000</v>
      </c>
      <c r="C9" s="3" t="n">
        <v>11490000</v>
      </c>
      <c r="D9" s="3" t="n">
        <v>11490000</v>
      </c>
      <c r="E9" s="4" t="n">
        <v>11490000</v>
      </c>
      <c r="F9" s="4" t="n">
        <v>11490000</v>
      </c>
      <c r="G9" s="4" t="n">
        <v>11590000</v>
      </c>
      <c r="H9" s="4" t="n">
        <v>12290000</v>
      </c>
      <c r="I9" s="4" t="inlineStr">
        <is>
          <t>OOS</t>
        </is>
      </c>
    </row>
    <row r="10">
      <c r="A10" t="inlineStr">
        <is>
          <t>iPhone 11 64GB</t>
        </is>
      </c>
      <c r="B10" s="3" t="n">
        <v>8940000</v>
      </c>
      <c r="C10" s="3" t="n">
        <v>8940000</v>
      </c>
      <c r="D10" s="3" t="n">
        <v>8840000</v>
      </c>
      <c r="E10" s="3" t="n">
        <v>8590000</v>
      </c>
      <c r="F10" s="3" t="n">
        <v>8750000</v>
      </c>
      <c r="G10" s="4" t="n">
        <v>8490000</v>
      </c>
      <c r="H10" s="4" t="n">
        <v>8490000</v>
      </c>
      <c r="I10" s="4" t="inlineStr">
        <is>
          <t>OOS</t>
        </is>
      </c>
    </row>
    <row r="11">
      <c r="A11" t="inlineStr">
        <is>
          <t>iPad Pro 11" M2 128GB Wifi</t>
        </is>
      </c>
      <c r="B11" s="4" t="inlineStr">
        <is>
          <t>OOS</t>
        </is>
      </c>
      <c r="C11" s="25" t="inlineStr">
        <is>
          <t>OOS</t>
        </is>
      </c>
      <c r="D11" s="5" t="n">
        <v>20990000</v>
      </c>
      <c r="E11" s="4" t="inlineStr">
        <is>
          <t>N/A</t>
        </is>
      </c>
      <c r="F11" s="4" t="inlineStr">
        <is>
          <t>OOS</t>
        </is>
      </c>
      <c r="G11" s="4" t="inlineStr">
        <is>
          <t>N/A</t>
        </is>
      </c>
      <c r="H11" s="3" t="n">
        <v>17990000</v>
      </c>
      <c r="I11" s="4" t="inlineStr">
        <is>
          <t>OOS</t>
        </is>
      </c>
    </row>
    <row r="12">
      <c r="A12" t="inlineStr">
        <is>
          <t>iPad Air 5 M1 64GB Wifi</t>
        </is>
      </c>
      <c r="B12" s="4" t="n">
        <v>13990000</v>
      </c>
      <c r="C12" s="25" t="n">
        <v>13990000</v>
      </c>
      <c r="D12" s="31" t="n">
        <v>13890000</v>
      </c>
      <c r="E12" s="4" t="n">
        <v>14170000</v>
      </c>
      <c r="F12" s="3" t="inlineStr">
        <is>
          <t>OOS</t>
        </is>
      </c>
      <c r="G12" s="4" t="n">
        <v>13790000</v>
      </c>
      <c r="H12" s="4" t="n">
        <v>14290000</v>
      </c>
      <c r="I12" s="4" t="inlineStr">
        <is>
          <t>OOS</t>
        </is>
      </c>
    </row>
    <row r="13">
      <c r="A13" t="inlineStr">
        <is>
          <t>iPad Mini 6 64GB Wifi</t>
        </is>
      </c>
      <c r="B13" s="4" t="inlineStr">
        <is>
          <t>OOS</t>
        </is>
      </c>
      <c r="C13" s="3" t="n">
        <v>12290000</v>
      </c>
      <c r="D13" s="31" t="n">
        <v>12690000</v>
      </c>
      <c r="E13" s="4" t="inlineStr">
        <is>
          <t>N/A</t>
        </is>
      </c>
      <c r="F13" s="4" t="n">
        <v>12790000</v>
      </c>
      <c r="G13" s="4" t="n">
        <v>11490000</v>
      </c>
      <c r="H13" s="4" t="n">
        <v>12650000</v>
      </c>
      <c r="I13" s="4" t="inlineStr">
        <is>
          <t>OOS</t>
        </is>
      </c>
    </row>
    <row r="14">
      <c r="A14" t="inlineStr">
        <is>
          <t>iPad Gen 10th 64GB Wifi</t>
        </is>
      </c>
      <c r="B14" s="4" t="n">
        <v>10190000</v>
      </c>
      <c r="C14" s="25" t="n">
        <v>10190000</v>
      </c>
      <c r="D14" s="3" t="n">
        <v>9840000</v>
      </c>
      <c r="E14" s="4" t="n">
        <v>9593100</v>
      </c>
      <c r="F14" s="3" t="n">
        <v>9750000</v>
      </c>
      <c r="G14" s="4" t="n">
        <v>9290000</v>
      </c>
      <c r="H14" s="4" t="n">
        <v>9690000</v>
      </c>
      <c r="I14" s="3" t="n">
        <v>9467000</v>
      </c>
    </row>
    <row r="15">
      <c r="A15" t="inlineStr">
        <is>
          <t>iPad Gen 9th  64GB Wifi</t>
        </is>
      </c>
      <c r="B15" s="3" t="n">
        <v>7340000</v>
      </c>
      <c r="C15" s="25" t="n">
        <v>7340000</v>
      </c>
      <c r="D15" s="3" t="n">
        <v>7040000</v>
      </c>
      <c r="E15" s="4" t="n">
        <v>6920100</v>
      </c>
      <c r="F15" s="3" t="n">
        <v>7190000</v>
      </c>
      <c r="G15" s="4" t="n">
        <v>6790000</v>
      </c>
      <c r="H15" s="4" t="n">
        <v>7090000</v>
      </c>
      <c r="I15" s="3" t="n">
        <v>6707000</v>
      </c>
    </row>
    <row r="16">
      <c r="A16" t="inlineStr">
        <is>
          <t>iPad Air M2  11" 128 GB Wifi</t>
        </is>
      </c>
      <c r="B16" s="4" t="n">
        <v>16890000</v>
      </c>
      <c r="C16" s="25" t="n">
        <v>16890000</v>
      </c>
      <c r="D16" s="31" t="n">
        <v>16890000</v>
      </c>
      <c r="E16" s="4" t="n">
        <v>16090000</v>
      </c>
      <c r="F16" s="3" t="n">
        <v>16990000</v>
      </c>
      <c r="G16" s="4" t="n">
        <v>16190000</v>
      </c>
      <c r="H16" s="3" t="n">
        <v>16390000</v>
      </c>
      <c r="I16" s="4" t="inlineStr">
        <is>
          <t>OOS</t>
        </is>
      </c>
    </row>
    <row r="17">
      <c r="A17" t="inlineStr">
        <is>
          <t>iPad Air M2  13" 128 GB Wifi</t>
        </is>
      </c>
      <c r="B17" s="4" t="n">
        <v>22290000</v>
      </c>
      <c r="C17" s="25" t="n">
        <v>22290000</v>
      </c>
      <c r="D17" s="31" t="n">
        <v>22390000</v>
      </c>
      <c r="E17" s="3" t="n">
        <v>20990000</v>
      </c>
      <c r="F17" s="4" t="n">
        <v>21690000</v>
      </c>
      <c r="G17" s="4" t="n">
        <v>21290000</v>
      </c>
      <c r="H17" s="3" t="n">
        <v>21490000</v>
      </c>
      <c r="I17" s="4" t="inlineStr">
        <is>
          <t>OOS</t>
        </is>
      </c>
    </row>
    <row r="18">
      <c r="A18" t="inlineStr">
        <is>
          <t>iPad Pro  M4  11" 256 GB Wifi</t>
        </is>
      </c>
      <c r="B18" s="3" t="n">
        <v>28290000</v>
      </c>
      <c r="C18" s="3" t="n">
        <v>28290000</v>
      </c>
      <c r="D18" s="3" t="n">
        <v>27890000</v>
      </c>
      <c r="E18" s="3" t="n">
        <v>27390000</v>
      </c>
      <c r="F18" s="3" t="n">
        <v>27690000</v>
      </c>
      <c r="G18" s="4" t="n">
        <v>27490000</v>
      </c>
      <c r="H18" s="3" t="n">
        <v>27190000</v>
      </c>
      <c r="I18" s="3" t="n">
        <v>26671000</v>
      </c>
    </row>
    <row r="19">
      <c r="A19" t="inlineStr">
        <is>
          <t>iPad Pro  M4  13" 256 GB Wifi</t>
        </is>
      </c>
      <c r="B19" s="3" t="n">
        <v>37490000</v>
      </c>
      <c r="C19" s="3" t="n">
        <v>37490000</v>
      </c>
      <c r="D19" s="31" t="n">
        <v>37890000</v>
      </c>
      <c r="E19" s="4" t="n">
        <v>36190000</v>
      </c>
      <c r="F19" s="4" t="n">
        <v>37390000</v>
      </c>
      <c r="G19" s="4" t="n">
        <v>36190000</v>
      </c>
      <c r="H19" s="3" t="n">
        <v>36890000</v>
      </c>
      <c r="I19" s="4" t="inlineStr">
        <is>
          <t>OOS</t>
        </is>
      </c>
    </row>
    <row r="20">
      <c r="A20" t="inlineStr">
        <is>
          <t>AW SE 2023 (40mm GPS)</t>
        </is>
      </c>
      <c r="B20" s="4" t="n">
        <v>6140000</v>
      </c>
      <c r="C20" s="25" t="n">
        <v>5940000</v>
      </c>
      <c r="D20" s="5" t="n">
        <v>5690000</v>
      </c>
      <c r="E20" s="3" t="n">
        <v>5731100</v>
      </c>
      <c r="F20" s="3" t="n">
        <v>6090000</v>
      </c>
      <c r="G20" s="4" t="n">
        <v>5590000</v>
      </c>
      <c r="H20" s="4" t="n">
        <v>5890000</v>
      </c>
      <c r="I20" s="4" t="inlineStr">
        <is>
          <t>OOS</t>
        </is>
      </c>
    </row>
    <row r="21">
      <c r="A21" t="inlineStr">
        <is>
          <t>AW SE 2023 (40mm LTE)</t>
        </is>
      </c>
      <c r="B21" s="4" t="n">
        <v>7440000</v>
      </c>
      <c r="C21" s="3" t="n">
        <v>7240000</v>
      </c>
      <c r="D21" s="5" t="n">
        <v>6790000</v>
      </c>
      <c r="E21" s="3" t="n">
        <v>6870600</v>
      </c>
      <c r="F21" s="4" t="n">
        <v>7390000</v>
      </c>
      <c r="G21" s="4" t="n">
        <v>6990000</v>
      </c>
      <c r="H21" s="4" t="n">
        <v>7390000</v>
      </c>
      <c r="I21" s="4" t="inlineStr">
        <is>
          <t>OOS</t>
        </is>
      </c>
    </row>
    <row r="22">
      <c r="A22" t="inlineStr">
        <is>
          <t>AW SE 2023 (44mm GPS)</t>
        </is>
      </c>
      <c r="B22" s="4" t="n">
        <v>7040000</v>
      </c>
      <c r="C22" s="3" t="n">
        <v>6840000</v>
      </c>
      <c r="D22" s="31" t="n">
        <v>6240000</v>
      </c>
      <c r="E22" s="3" t="n">
        <v>6425100</v>
      </c>
      <c r="F22" s="4" t="n">
        <v>6990000</v>
      </c>
      <c r="G22" s="4" t="n">
        <v>6290000</v>
      </c>
      <c r="H22" s="4" t="n">
        <v>6790000</v>
      </c>
      <c r="I22" s="4" t="inlineStr">
        <is>
          <t>OOS</t>
        </is>
      </c>
    </row>
    <row r="23">
      <c r="A23" t="inlineStr">
        <is>
          <t>AW SE 2023 (44mm LTE)</t>
        </is>
      </c>
      <c r="B23" s="4" t="n">
        <v>8240000</v>
      </c>
      <c r="C23" s="25" t="n">
        <v>7940000</v>
      </c>
      <c r="D23" s="31" t="n">
        <v>7540000</v>
      </c>
      <c r="E23" s="3" t="n">
        <v>7662600</v>
      </c>
      <c r="F23" s="4" t="n">
        <v>8190000</v>
      </c>
      <c r="G23" s="4" t="n">
        <v>7690000</v>
      </c>
      <c r="H23" s="4" t="n">
        <v>8090000</v>
      </c>
      <c r="I23" s="4" t="inlineStr">
        <is>
          <t>OOS</t>
        </is>
      </c>
    </row>
    <row r="24">
      <c r="A24" t="inlineStr">
        <is>
          <t>AW S9 (41mm GPS)</t>
        </is>
      </c>
      <c r="B24" s="4" t="n">
        <v>9690000</v>
      </c>
      <c r="C24" s="25" t="n">
        <v>9790000</v>
      </c>
      <c r="D24" s="3" t="n">
        <v>9440000</v>
      </c>
      <c r="E24" s="4" t="n">
        <v>8900100</v>
      </c>
      <c r="F24" s="3" t="n">
        <v>9690000</v>
      </c>
      <c r="G24" s="4" t="n">
        <v>9090000</v>
      </c>
      <c r="H24" s="4" t="n">
        <v>9290000</v>
      </c>
      <c r="I24" s="3" t="n">
        <v>8527000</v>
      </c>
    </row>
    <row r="25">
      <c r="A25" t="inlineStr">
        <is>
          <t>AW S9 (41mm CEL)</t>
        </is>
      </c>
      <c r="B25" s="4" t="n">
        <v>12190000</v>
      </c>
      <c r="C25" s="25" t="n">
        <v>12490000</v>
      </c>
      <c r="D25" s="3" t="n">
        <v>12190000</v>
      </c>
      <c r="E25" s="4" t="n">
        <v>11678310</v>
      </c>
      <c r="F25" s="4" t="n">
        <v>12590000</v>
      </c>
      <c r="G25" s="4" t="n">
        <v>11690000</v>
      </c>
      <c r="H25" s="4" t="n">
        <v>11790000</v>
      </c>
      <c r="I25" s="4" t="inlineStr">
        <is>
          <t>OOS</t>
        </is>
      </c>
    </row>
    <row r="26">
      <c r="A26" t="inlineStr">
        <is>
          <t>AW S9 (45mm GPS)</t>
        </is>
      </c>
      <c r="B26" s="4" t="n">
        <v>10790000</v>
      </c>
      <c r="C26" s="25" t="n">
        <v>10590000</v>
      </c>
      <c r="D26" s="32" t="n">
        <v>10490000</v>
      </c>
      <c r="E26" s="4" t="n">
        <v>9692100</v>
      </c>
      <c r="F26" s="3" t="n">
        <v>10590000</v>
      </c>
      <c r="G26" s="4" t="n">
        <v>10190000</v>
      </c>
      <c r="H26" s="4" t="n">
        <v>10390000</v>
      </c>
      <c r="I26" s="4" t="inlineStr">
        <is>
          <t>OOS</t>
        </is>
      </c>
    </row>
    <row r="27">
      <c r="A27" t="inlineStr">
        <is>
          <t>AW S9 (45mm CEL)</t>
        </is>
      </c>
      <c r="B27" s="4" t="n">
        <v>13690000</v>
      </c>
      <c r="C27" s="25" t="n">
        <v>13590000</v>
      </c>
      <c r="D27" s="32" t="n">
        <v>13390000</v>
      </c>
      <c r="E27" s="4" t="n">
        <v>12570000</v>
      </c>
      <c r="F27" s="4" t="inlineStr">
        <is>
          <t>OOS</t>
        </is>
      </c>
      <c r="G27" s="4" t="n">
        <v>12890000</v>
      </c>
      <c r="H27" s="4" t="n">
        <v>12890000</v>
      </c>
      <c r="I27" s="4" t="inlineStr">
        <is>
          <t>OOS</t>
        </is>
      </c>
    </row>
    <row r="28">
      <c r="A28" t="inlineStr">
        <is>
          <t>AW Ultra 2 (49mm)</t>
        </is>
      </c>
      <c r="B28" s="4" t="n">
        <v>20990000</v>
      </c>
      <c r="C28" s="25" t="n">
        <v>20990000</v>
      </c>
      <c r="D28" s="3" t="n">
        <v>20590000</v>
      </c>
      <c r="E28" s="4" t="n">
        <v>19690000</v>
      </c>
      <c r="F28" s="4" t="n">
        <v>21290000</v>
      </c>
      <c r="G28" s="4" t="n">
        <v>19790000</v>
      </c>
      <c r="H28" s="4" t="n">
        <v>20890000</v>
      </c>
      <c r="I28" s="4" t="inlineStr">
        <is>
          <t>OOS</t>
        </is>
      </c>
    </row>
    <row r="29">
      <c r="A29" t="inlineStr">
        <is>
          <t>AirPods Pro 2 - 2023 (C-Type)</t>
        </is>
      </c>
      <c r="B29" s="4" t="n">
        <v>5790000</v>
      </c>
      <c r="C29" s="3" t="n">
        <v>5790000</v>
      </c>
      <c r="D29" s="3" t="n">
        <v>5740000</v>
      </c>
      <c r="E29" s="3" t="n">
        <v>5336100</v>
      </c>
      <c r="F29" s="4" t="n">
        <v>5550000</v>
      </c>
      <c r="G29" s="3" t="n">
        <v>5250000</v>
      </c>
      <c r="H29" s="4" t="n">
        <v>5750000</v>
      </c>
      <c r="I29" s="3" t="n">
        <v>5031000</v>
      </c>
    </row>
    <row r="30">
      <c r="A30" t="inlineStr">
        <is>
          <t>AirPods 3 with charging case</t>
        </is>
      </c>
      <c r="B30" s="4" t="n">
        <v>3990000</v>
      </c>
      <c r="C30" s="25" t="n">
        <v>3990000</v>
      </c>
      <c r="D30" s="5" t="n">
        <v>3990000</v>
      </c>
      <c r="E30" s="3" t="n">
        <v>4049100</v>
      </c>
      <c r="F30" s="4" t="n">
        <v>3950000</v>
      </c>
      <c r="G30" s="4" t="n">
        <v>3690000</v>
      </c>
      <c r="H30" s="3" t="n">
        <v>4190000</v>
      </c>
      <c r="I30" s="4" t="inlineStr">
        <is>
          <t>OOS</t>
        </is>
      </c>
    </row>
    <row r="31">
      <c r="A31" t="inlineStr">
        <is>
          <t>AirPods 2 with charging case</t>
        </is>
      </c>
      <c r="B31" s="4" t="n">
        <v>2790000</v>
      </c>
      <c r="C31" s="25" t="n">
        <v>2790000</v>
      </c>
      <c r="D31" s="5" t="n">
        <v>2790000</v>
      </c>
      <c r="E31" s="3" t="n">
        <v>2861100</v>
      </c>
      <c r="F31" s="4" t="n">
        <v>2790000</v>
      </c>
      <c r="G31" s="3" t="n">
        <v>2550000</v>
      </c>
      <c r="H31" s="3" t="n">
        <v>2900000</v>
      </c>
      <c r="I31" s="3" t="n">
        <v>2623000</v>
      </c>
    </row>
    <row r="32">
      <c r="A32" t="inlineStr">
        <is>
          <t>MacBook Air 13" M1 8/256Gb</t>
        </is>
      </c>
      <c r="B32" s="4" t="n">
        <v>18590000</v>
      </c>
      <c r="C32" s="3" t="n">
        <v>18590000</v>
      </c>
      <c r="D32" s="3" t="n">
        <v>18490000</v>
      </c>
      <c r="F32" s="4" t="n">
        <v>18590000</v>
      </c>
      <c r="G32" s="3" t="n">
        <v>18190000</v>
      </c>
      <c r="H32" s="3" t="n">
        <v>18090000</v>
      </c>
      <c r="I32" s="4" t="inlineStr">
        <is>
          <t>OOS</t>
        </is>
      </c>
    </row>
    <row r="33">
      <c r="A33" t="inlineStr">
        <is>
          <t>MacBook Air 13" M2 8/256GB</t>
        </is>
      </c>
      <c r="B33" s="3" t="n">
        <v>23390000</v>
      </c>
      <c r="C33" s="3" t="n">
        <v>23290000</v>
      </c>
      <c r="D33" s="3" t="n">
        <v>23090000</v>
      </c>
      <c r="F33" s="3" t="n">
        <v>23690000</v>
      </c>
      <c r="G33" s="4" t="n">
        <v>23590000</v>
      </c>
      <c r="H33" s="3" t="n">
        <v>23190000</v>
      </c>
      <c r="I33" s="3" t="n">
        <v>22991000</v>
      </c>
    </row>
    <row r="34">
      <c r="A34" t="inlineStr">
        <is>
          <t>MacBook Air 13" M3 8/256GB</t>
        </is>
      </c>
      <c r="B34" s="3" t="n">
        <v>27090000</v>
      </c>
      <c r="C34" s="3" t="n">
        <v>27090000</v>
      </c>
      <c r="D34" s="3" t="n">
        <v>26790000</v>
      </c>
      <c r="F34" s="3" t="n">
        <v>26990000</v>
      </c>
      <c r="G34" s="4" t="n">
        <v>26890000</v>
      </c>
      <c r="H34" s="3" t="n">
        <v>26690000</v>
      </c>
      <c r="I34" s="3" t="n">
        <v>25751000</v>
      </c>
    </row>
    <row r="35">
      <c r="A35" t="inlineStr">
        <is>
          <t>MacBook Air 15" M3 8/256GB</t>
        </is>
      </c>
      <c r="B35" s="3" t="n">
        <v>31290000</v>
      </c>
      <c r="C35" s="3" t="n">
        <v>31290000</v>
      </c>
      <c r="D35" s="3" t="n">
        <v>31090000</v>
      </c>
      <c r="F35" s="4" t="n">
        <v>32290000</v>
      </c>
      <c r="G35" s="4" t="n">
        <v>31190000</v>
      </c>
      <c r="H35" s="3" t="n">
        <v>30990000</v>
      </c>
      <c r="I35" s="4" t="inlineStr">
        <is>
          <t>OOS</t>
        </is>
      </c>
    </row>
    <row r="36">
      <c r="A36" t="inlineStr">
        <is>
          <t>MacBook Pro 14" M3 8/512GB</t>
        </is>
      </c>
      <c r="B36" s="3" t="n">
        <v>38590000</v>
      </c>
      <c r="C36" s="3" t="n">
        <v>38590000</v>
      </c>
      <c r="D36" s="5" t="n">
        <v>38290000</v>
      </c>
      <c r="F36" s="4" t="n">
        <v>38290000</v>
      </c>
      <c r="G36" s="4" t="n">
        <v>36790000</v>
      </c>
      <c r="H36" s="3" t="n">
        <v>37790000</v>
      </c>
      <c r="I36" s="4" t="inlineStr">
        <is>
          <t>OOS</t>
        </is>
      </c>
    </row>
  </sheetData>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codeName="Sheet15">
    <outlinePr summaryBelow="1" summaryRight="1"/>
    <pageSetUpPr/>
  </sheetPr>
  <dimension ref="A1:L35"/>
  <sheetViews>
    <sheetView showRuler="0" showWhiteSpace="0" zoomScale="125" zoomScaleNormal="170" workbookViewId="0">
      <pane xSplit="1" topLeftCell="B1" activePane="topRight" state="frozen"/>
      <selection pane="topRight" activeCell="L10" sqref="L10"/>
    </sheetView>
  </sheetViews>
  <sheetFormatPr baseColWidth="8" defaultColWidth="11" defaultRowHeight="15.95"/>
  <cols>
    <col width="25.375" bestFit="1" customWidth="1" style="35" min="1" max="1"/>
    <col width="10.875" customWidth="1" style="35" min="3" max="3"/>
  </cols>
  <sheetData>
    <row r="1">
      <c r="B1" t="inlineStr">
        <is>
          <t>MW</t>
        </is>
      </c>
      <c r="C1" t="inlineStr">
        <is>
          <t>TZ</t>
        </is>
      </c>
      <c r="D1" t="inlineStr">
        <is>
          <t>FPT</t>
        </is>
      </c>
      <c r="E1" t="inlineStr">
        <is>
          <t>Viettel</t>
        </is>
      </c>
      <c r="F1" t="inlineStr">
        <is>
          <t>CPS</t>
        </is>
      </c>
      <c r="G1" t="inlineStr">
        <is>
          <t>Shopdunk</t>
        </is>
      </c>
    </row>
    <row r="2">
      <c r="A2" t="inlineStr">
        <is>
          <t>iPhone 15  128GB</t>
        </is>
      </c>
      <c r="B2" s="3" t="n">
        <v>19890000</v>
      </c>
      <c r="C2" s="3" t="n">
        <v>19890000</v>
      </c>
      <c r="D2" s="3" t="n">
        <v>19890000</v>
      </c>
      <c r="E2" s="3" t="n">
        <v>19490000</v>
      </c>
      <c r="F2" s="3" t="n">
        <v>19450000</v>
      </c>
      <c r="G2" s="3" t="n">
        <v>19450000</v>
      </c>
    </row>
    <row r="3">
      <c r="A3" t="inlineStr">
        <is>
          <t>iPhone 15  Plus 128GB</t>
        </is>
      </c>
      <c r="B3" s="3" t="n">
        <v>22990000</v>
      </c>
      <c r="C3" s="3" t="n">
        <v>22990000</v>
      </c>
      <c r="D3" s="3" t="n">
        <v>22890000</v>
      </c>
      <c r="E3" s="3" t="n">
        <v>22490000</v>
      </c>
      <c r="F3" s="3" t="n">
        <v>22290000</v>
      </c>
      <c r="G3" s="3" t="n">
        <v>22250000</v>
      </c>
      <c r="J3" t="inlineStr">
        <is>
          <t xml:space="preserve">MW </t>
        </is>
      </c>
      <c r="K3" t="inlineStr">
        <is>
          <t>A Duy</t>
        </is>
      </c>
      <c r="L3" t="b">
        <v>1</v>
      </c>
    </row>
    <row r="4">
      <c r="A4" t="inlineStr">
        <is>
          <t>iPhone 15 Pro  128GB</t>
        </is>
      </c>
      <c r="B4" s="3" t="n">
        <v>24990000</v>
      </c>
      <c r="C4" s="25" t="n">
        <v>24990000</v>
      </c>
      <c r="D4" s="5" t="n">
        <v>24890000</v>
      </c>
      <c r="E4" s="4" t="n">
        <v>23990000</v>
      </c>
      <c r="F4" s="3" t="n">
        <v>24290000</v>
      </c>
      <c r="G4" s="3" t="n">
        <v>24290000</v>
      </c>
      <c r="J4" t="inlineStr">
        <is>
          <t>TZ</t>
        </is>
      </c>
      <c r="K4" t="inlineStr">
        <is>
          <t>A Nghĩa</t>
        </is>
      </c>
      <c r="L4" t="b">
        <v>1</v>
      </c>
    </row>
    <row r="5">
      <c r="A5" t="inlineStr">
        <is>
          <t>iPhone 15 Pro Max 256GB</t>
        </is>
      </c>
      <c r="B5" s="3" t="n">
        <v>29390000</v>
      </c>
      <c r="C5" s="3" t="n">
        <v>29390000</v>
      </c>
      <c r="D5" s="3" t="n">
        <v>29390000</v>
      </c>
      <c r="E5" s="4" t="n">
        <v>28890000</v>
      </c>
      <c r="F5" s="3" t="n">
        <v>28890000</v>
      </c>
      <c r="G5" s="3" t="n">
        <v>28850000</v>
      </c>
      <c r="J5" t="inlineStr">
        <is>
          <t>FPT</t>
        </is>
      </c>
      <c r="K5" t="inlineStr">
        <is>
          <t>Việt Béo</t>
        </is>
      </c>
      <c r="L5" t="b">
        <v>1</v>
      </c>
    </row>
    <row r="6">
      <c r="A6" t="inlineStr">
        <is>
          <t>iPhone 14 Plus 128GB</t>
        </is>
      </c>
      <c r="B6" s="4" t="n">
        <v>19990000</v>
      </c>
      <c r="C6" s="3" t="n">
        <v>19990000</v>
      </c>
      <c r="D6" s="5" t="n">
        <v>19890000</v>
      </c>
      <c r="E6" s="4" t="n">
        <v>19690000</v>
      </c>
      <c r="F6" s="3" t="n">
        <v>19790000</v>
      </c>
      <c r="G6" s="4" t="n">
        <v>19390000</v>
      </c>
      <c r="J6" t="inlineStr">
        <is>
          <t>Viettel</t>
        </is>
      </c>
      <c r="K6" t="inlineStr">
        <is>
          <t>A Sơn</t>
        </is>
      </c>
      <c r="L6" t="b">
        <v>1</v>
      </c>
    </row>
    <row r="7">
      <c r="A7" t="inlineStr">
        <is>
          <t>iPhone 14 128GB</t>
        </is>
      </c>
      <c r="B7" s="4" t="n">
        <v>17290000</v>
      </c>
      <c r="C7" s="3" t="n">
        <v>17490000</v>
      </c>
      <c r="D7" s="36" t="n">
        <v>17490000</v>
      </c>
      <c r="E7" s="4" t="n">
        <v>17690000</v>
      </c>
      <c r="F7" s="3" t="n">
        <v>17290000</v>
      </c>
      <c r="G7" s="4" t="n">
        <v>17290000</v>
      </c>
      <c r="J7" t="inlineStr">
        <is>
          <t>CPS</t>
        </is>
      </c>
      <c r="K7" t="inlineStr">
        <is>
          <t>C Trang</t>
        </is>
      </c>
      <c r="L7" t="b">
        <v>1</v>
      </c>
    </row>
    <row r="8">
      <c r="A8" t="inlineStr">
        <is>
          <t>iPhone 13  128GB</t>
        </is>
      </c>
      <c r="B8" s="3" t="n">
        <v>14290000</v>
      </c>
      <c r="C8" s="3" t="n">
        <v>14390000</v>
      </c>
      <c r="D8" s="3" t="n">
        <v>14090000</v>
      </c>
      <c r="E8" s="33" t="n">
        <v>13690000</v>
      </c>
      <c r="F8" s="3" t="n">
        <v>13990000</v>
      </c>
      <c r="G8" s="4" t="n">
        <v>13690000</v>
      </c>
      <c r="J8" t="inlineStr">
        <is>
          <t>ShopDunk</t>
        </is>
      </c>
      <c r="K8" t="inlineStr">
        <is>
          <t>Đạt</t>
        </is>
      </c>
      <c r="L8" t="b">
        <v>1</v>
      </c>
    </row>
    <row r="9">
      <c r="A9" t="inlineStr">
        <is>
          <t>iPhone 12 64GB</t>
        </is>
      </c>
      <c r="B9" s="3" t="n">
        <v>11390000</v>
      </c>
      <c r="C9" s="25" t="n">
        <v>11490000</v>
      </c>
      <c r="D9" s="36" t="n">
        <v>11490000</v>
      </c>
      <c r="E9" s="34" t="n">
        <v>11390000</v>
      </c>
      <c r="F9" s="4" t="n">
        <v>11490000</v>
      </c>
      <c r="G9" s="4" t="n">
        <v>12290000</v>
      </c>
    </row>
    <row r="10">
      <c r="A10" t="inlineStr">
        <is>
          <t>iPhone 11 64GB</t>
        </is>
      </c>
      <c r="B10" s="4" t="n">
        <v>8940000</v>
      </c>
      <c r="C10" s="25" t="n">
        <v>8940000</v>
      </c>
      <c r="D10" s="3" t="n">
        <v>8840000</v>
      </c>
      <c r="E10" s="3" t="n">
        <v>8490000</v>
      </c>
      <c r="F10" s="3" t="n">
        <v>8750000</v>
      </c>
      <c r="G10" s="4" t="n">
        <v>8490000</v>
      </c>
    </row>
    <row r="11">
      <c r="A11" t="inlineStr">
        <is>
          <t>iPad Air 5 M1 64GB Wifi</t>
        </is>
      </c>
      <c r="B11" s="4" t="inlineStr">
        <is>
          <t>OOS</t>
        </is>
      </c>
      <c r="C11" s="25" t="n">
        <v>13990000</v>
      </c>
      <c r="D11" s="31" t="n">
        <v>13890000</v>
      </c>
      <c r="E11" s="4" t="inlineStr">
        <is>
          <t>N/A</t>
        </is>
      </c>
      <c r="F11" s="3" t="inlineStr">
        <is>
          <t>OOS</t>
        </is>
      </c>
      <c r="G11" s="4" t="n">
        <v>14290000</v>
      </c>
    </row>
    <row r="12">
      <c r="A12" t="inlineStr">
        <is>
          <t>iPad Mini 6 64GB Wifi</t>
        </is>
      </c>
      <c r="B12" s="4" t="inlineStr">
        <is>
          <t>OOS</t>
        </is>
      </c>
      <c r="C12" s="3" t="n">
        <v>12790000</v>
      </c>
      <c r="D12" s="31" t="n">
        <v>12690000</v>
      </c>
      <c r="E12" s="4" t="inlineStr">
        <is>
          <t>N/A</t>
        </is>
      </c>
      <c r="F12" s="4" t="n">
        <v>12790000</v>
      </c>
      <c r="G12" s="4" t="n">
        <v>12650000</v>
      </c>
    </row>
    <row r="13">
      <c r="A13" t="inlineStr">
        <is>
          <t>iPad Gen 10th 64GB Wifi</t>
        </is>
      </c>
      <c r="B13" s="3" t="n">
        <v>10090000</v>
      </c>
      <c r="C13" s="25" t="n">
        <v>10190000</v>
      </c>
      <c r="D13" s="3" t="n">
        <v>9840000</v>
      </c>
      <c r="E13" s="4" t="n">
        <v>9593100</v>
      </c>
      <c r="F13" s="3" t="n">
        <v>9750000</v>
      </c>
      <c r="G13" s="4" t="n">
        <v>9690000</v>
      </c>
    </row>
    <row r="14">
      <c r="A14" t="inlineStr">
        <is>
          <t>iPad Gen 9th  64GB Wifi</t>
        </is>
      </c>
      <c r="B14" s="3" t="n">
        <v>7140000</v>
      </c>
      <c r="C14" s="3" t="n">
        <v>7140000</v>
      </c>
      <c r="D14" s="3" t="n">
        <v>7140000</v>
      </c>
      <c r="E14" s="4" t="n">
        <v>6920100</v>
      </c>
      <c r="F14" s="3" t="n">
        <v>7190000</v>
      </c>
      <c r="G14" s="4" t="n">
        <v>7090000</v>
      </c>
    </row>
    <row r="15">
      <c r="A15" t="inlineStr">
        <is>
          <t>iPad Air M2  11" 128 GB Wifi</t>
        </is>
      </c>
      <c r="B15" s="4" t="inlineStr">
        <is>
          <t>OOS</t>
        </is>
      </c>
      <c r="C15" s="25" t="n">
        <v>16890000</v>
      </c>
      <c r="D15" s="31" t="n">
        <v>16890000</v>
      </c>
      <c r="E15" s="4" t="n">
        <v>16090000</v>
      </c>
      <c r="F15" s="3" t="n">
        <v>16990000</v>
      </c>
      <c r="G15" s="3" t="n">
        <v>16390000</v>
      </c>
    </row>
    <row r="16">
      <c r="A16" t="inlineStr">
        <is>
          <t>iPad Air M2  13" 128 GB Wifi</t>
        </is>
      </c>
      <c r="B16" s="4" t="n">
        <v>22290000</v>
      </c>
      <c r="C16" s="25" t="n">
        <v>22290000</v>
      </c>
      <c r="D16" s="31" t="n">
        <v>22390000</v>
      </c>
      <c r="E16" s="3" t="n">
        <v>21490000</v>
      </c>
      <c r="F16" s="4" t="n">
        <v>21690000</v>
      </c>
      <c r="G16" s="3" t="n">
        <v>21490000</v>
      </c>
    </row>
    <row r="17">
      <c r="A17" t="inlineStr">
        <is>
          <t>iPad Pro  M4  11" 256 GB Wifi</t>
        </is>
      </c>
      <c r="B17" s="3" t="n">
        <v>27990000</v>
      </c>
      <c r="C17" s="3" t="n">
        <v>27990000</v>
      </c>
      <c r="D17" s="36" t="n">
        <v>27890000</v>
      </c>
      <c r="E17" s="3" t="n">
        <v>27690000</v>
      </c>
      <c r="F17" s="3" t="n">
        <v>27690000</v>
      </c>
      <c r="G17" s="3" t="n">
        <v>27190000</v>
      </c>
    </row>
    <row r="18">
      <c r="A18" t="inlineStr">
        <is>
          <t>iPad Pro  M4  13" 256 GB Wifi</t>
        </is>
      </c>
      <c r="B18" s="25" t="n">
        <v>37490000</v>
      </c>
      <c r="C18" s="25" t="n">
        <v>37490000</v>
      </c>
      <c r="D18" s="31" t="n">
        <v>37890000</v>
      </c>
      <c r="E18" s="34" t="n">
        <v>36490000</v>
      </c>
      <c r="F18" s="4" t="n">
        <v>37390000</v>
      </c>
      <c r="G18" s="3" t="n">
        <v>36890000</v>
      </c>
    </row>
    <row r="19">
      <c r="A19" t="inlineStr">
        <is>
          <t>AW SE 2023 (40mm GPS)</t>
        </is>
      </c>
      <c r="B19" s="3" t="n">
        <v>6040000</v>
      </c>
      <c r="C19" s="3" t="n">
        <v>6040000</v>
      </c>
      <c r="D19" s="3" t="n">
        <v>5940000</v>
      </c>
      <c r="E19" s="3" t="n">
        <v>5890000</v>
      </c>
      <c r="F19" s="3" t="n">
        <v>6090000</v>
      </c>
      <c r="G19" s="4" t="n">
        <v>5890000</v>
      </c>
    </row>
    <row r="20">
      <c r="A20" t="inlineStr">
        <is>
          <t>AW SE 2023 (40mm LTE)</t>
        </is>
      </c>
      <c r="B20" s="3" t="n">
        <v>7340000</v>
      </c>
      <c r="C20" s="3" t="n">
        <v>7440000</v>
      </c>
      <c r="D20" s="3" t="n">
        <v>7340000</v>
      </c>
      <c r="E20" s="3" t="n">
        <v>7190000</v>
      </c>
      <c r="F20" s="4" t="n">
        <v>7390000</v>
      </c>
      <c r="G20" s="4" t="n">
        <v>7390000</v>
      </c>
    </row>
    <row r="21">
      <c r="A21" t="inlineStr">
        <is>
          <t>AW SE 2023 (44mm GPS)</t>
        </is>
      </c>
      <c r="B21" s="3" t="n">
        <v>6940000</v>
      </c>
      <c r="C21" s="25" t="n">
        <v>6840000</v>
      </c>
      <c r="D21" s="3" t="n">
        <v>6940000</v>
      </c>
      <c r="E21" s="3" t="n">
        <v>6590000</v>
      </c>
      <c r="F21" s="4" t="n">
        <v>6990000</v>
      </c>
      <c r="G21" s="4" t="n">
        <v>6790000</v>
      </c>
    </row>
    <row r="22">
      <c r="A22" t="inlineStr">
        <is>
          <t>AW SE 2023 (44mm LTE)</t>
        </is>
      </c>
      <c r="B22" s="4" t="n">
        <v>8240000</v>
      </c>
      <c r="C22" s="3" t="n">
        <v>8140000</v>
      </c>
      <c r="D22" s="3" t="n">
        <v>8140000</v>
      </c>
      <c r="E22" s="3" t="n">
        <v>7790000</v>
      </c>
      <c r="F22" s="4" t="n">
        <v>8190000</v>
      </c>
      <c r="G22" s="4" t="n">
        <v>8090000</v>
      </c>
    </row>
    <row r="23">
      <c r="A23" t="inlineStr">
        <is>
          <t>AW S9 (41mm GPS)</t>
        </is>
      </c>
      <c r="B23" s="3" t="n">
        <v>9840000</v>
      </c>
      <c r="C23" s="25" t="n">
        <v>9790000</v>
      </c>
      <c r="D23" s="36" t="n">
        <v>9440000</v>
      </c>
      <c r="E23" s="34" t="n">
        <v>8990000</v>
      </c>
      <c r="F23" s="3" t="n">
        <v>9690000</v>
      </c>
      <c r="G23" s="4" t="n">
        <v>9290000</v>
      </c>
    </row>
    <row r="24">
      <c r="A24" t="inlineStr">
        <is>
          <t>AW S9 (41mm CEL)</t>
        </is>
      </c>
      <c r="B24" s="4" t="inlineStr">
        <is>
          <t>OOS</t>
        </is>
      </c>
      <c r="C24" s="25" t="n">
        <v>12490000</v>
      </c>
      <c r="D24" s="3" t="n">
        <v>12190000</v>
      </c>
      <c r="E24" s="3" t="n">
        <v>11690000</v>
      </c>
      <c r="F24" s="4" t="n">
        <v>12590000</v>
      </c>
      <c r="G24" s="4" t="n">
        <v>11790000</v>
      </c>
    </row>
    <row r="25">
      <c r="A25" t="inlineStr">
        <is>
          <t>AW S9 (45mm GPS)</t>
        </is>
      </c>
      <c r="B25" s="3" t="n">
        <v>10840000</v>
      </c>
      <c r="C25" s="3" t="n">
        <v>10790000</v>
      </c>
      <c r="D25" s="32" t="n">
        <v>10490000</v>
      </c>
      <c r="E25" s="34" t="n">
        <v>9790000</v>
      </c>
      <c r="F25" s="3" t="n">
        <v>10590000</v>
      </c>
      <c r="G25" s="4" t="n">
        <v>10390000</v>
      </c>
    </row>
    <row r="26">
      <c r="A26" t="inlineStr">
        <is>
          <t>AW S9 (45mm CEL)</t>
        </is>
      </c>
      <c r="B26" s="4" t="inlineStr">
        <is>
          <t>OOS</t>
        </is>
      </c>
      <c r="C26" s="25" t="n">
        <v>13590000</v>
      </c>
      <c r="D26" s="34" t="n">
        <v>13390000</v>
      </c>
      <c r="E26" s="34" t="n">
        <v>12690000</v>
      </c>
      <c r="F26" s="4" t="inlineStr">
        <is>
          <t>OOS</t>
        </is>
      </c>
      <c r="G26" s="4" t="n">
        <v>12890000</v>
      </c>
    </row>
    <row r="27">
      <c r="A27" t="inlineStr">
        <is>
          <t>AW Ultra 2 (49mm)</t>
        </is>
      </c>
      <c r="B27" s="3" t="n">
        <v>21190000</v>
      </c>
      <c r="C27" s="25" t="n">
        <v>20990000</v>
      </c>
      <c r="D27" s="36" t="n">
        <v>20590000</v>
      </c>
      <c r="E27" s="34" t="n">
        <v>19990000</v>
      </c>
      <c r="F27" s="4" t="n">
        <v>21290000</v>
      </c>
      <c r="G27" s="4" t="n">
        <v>20890000</v>
      </c>
    </row>
    <row r="28">
      <c r="A28" t="inlineStr">
        <is>
          <t>AirPods Pro 2 - 2023 (C-Type)</t>
        </is>
      </c>
      <c r="B28" s="3" t="n">
        <v>5690000</v>
      </c>
      <c r="C28" s="3" t="n">
        <v>5690000</v>
      </c>
      <c r="D28" s="3" t="n">
        <v>5638000</v>
      </c>
      <c r="E28" s="3" t="n">
        <v>5336100</v>
      </c>
      <c r="F28" s="4" t="n">
        <v>5550000</v>
      </c>
      <c r="G28" s="4" t="n">
        <v>5750000</v>
      </c>
    </row>
    <row r="29">
      <c r="A29" t="inlineStr">
        <is>
          <t>AirPods 3 with charging case</t>
        </is>
      </c>
      <c r="B29" s="3" t="n">
        <v>4090000</v>
      </c>
      <c r="C29" s="3" t="n">
        <v>4090000</v>
      </c>
      <c r="D29" s="3" t="n">
        <v>4040000</v>
      </c>
      <c r="E29" s="3" t="n">
        <v>4049100</v>
      </c>
      <c r="F29" s="4" t="n">
        <v>3950000</v>
      </c>
      <c r="G29" s="3" t="n">
        <v>4190000</v>
      </c>
    </row>
    <row r="30">
      <c r="A30" t="inlineStr">
        <is>
          <t>AirPods 2 with charging case</t>
        </is>
      </c>
      <c r="B30" s="3" t="n">
        <v>2690000</v>
      </c>
      <c r="C30" s="3" t="n">
        <v>2690000</v>
      </c>
      <c r="D30" s="3" t="n">
        <v>2738000</v>
      </c>
      <c r="E30" s="3" t="n">
        <v>2861100</v>
      </c>
      <c r="F30" s="4" t="n">
        <v>2790000</v>
      </c>
      <c r="G30" s="3" t="n">
        <v>2900000</v>
      </c>
    </row>
    <row r="31">
      <c r="A31" t="inlineStr">
        <is>
          <t>MacBook Air 13" M1 8/256Gb</t>
        </is>
      </c>
      <c r="B31" s="4" t="n">
        <v>18590000</v>
      </c>
      <c r="C31" s="25" t="n">
        <v>18590000</v>
      </c>
      <c r="D31" s="3" t="n">
        <v>18590000</v>
      </c>
      <c r="F31" s="4" t="n">
        <v>18590000</v>
      </c>
      <c r="G31" s="3" t="n">
        <v>17990000</v>
      </c>
    </row>
    <row r="32">
      <c r="A32" t="inlineStr">
        <is>
          <t>MacBook Air 13" M2 8/256GB</t>
        </is>
      </c>
      <c r="B32" s="3" t="n">
        <v>23790000</v>
      </c>
      <c r="C32" s="3" t="n">
        <v>23790000</v>
      </c>
      <c r="D32" s="3" t="n">
        <v>23590000</v>
      </c>
      <c r="F32" s="3" t="n">
        <v>23690000</v>
      </c>
      <c r="G32" s="3" t="n">
        <v>23190000</v>
      </c>
    </row>
    <row r="33">
      <c r="A33" t="inlineStr">
        <is>
          <t>MacBook Air 13" M3 8/256GB</t>
        </is>
      </c>
      <c r="B33" s="3" t="n">
        <v>27290000</v>
      </c>
      <c r="C33" s="3" t="n">
        <v>27290000</v>
      </c>
      <c r="D33" s="3" t="n">
        <v>27290000</v>
      </c>
      <c r="F33" s="3" t="n">
        <v>26990000</v>
      </c>
      <c r="G33" s="3" t="n">
        <v>26690000</v>
      </c>
    </row>
    <row r="34">
      <c r="A34" t="inlineStr">
        <is>
          <t>MacBook Air 15" M3 8/256GB</t>
        </is>
      </c>
      <c r="B34" s="36" t="n">
        <v>31290000</v>
      </c>
      <c r="C34" s="3" t="n">
        <v>31290000</v>
      </c>
      <c r="D34" s="36" t="n">
        <v>31090000</v>
      </c>
      <c r="F34" s="4" t="n">
        <v>32290000</v>
      </c>
      <c r="G34" s="3" t="n">
        <v>30990000</v>
      </c>
    </row>
    <row r="35">
      <c r="A35" t="inlineStr">
        <is>
          <t>MacBook Pro 14" M3 8/512GB</t>
        </is>
      </c>
      <c r="B35" s="3" t="n">
        <v>38490000</v>
      </c>
      <c r="C35" s="3" t="n">
        <v>38490000</v>
      </c>
      <c r="D35" s="5" t="n">
        <v>38290000</v>
      </c>
      <c r="F35" s="4" t="n">
        <v>38290000</v>
      </c>
      <c r="G35" s="3" t="n">
        <v>37790000</v>
      </c>
    </row>
  </sheetData>
  <pageMargins left="0.7" right="0.7" top="0.75" bottom="0.75" header="0.3" footer="0.3"/>
  <pageSetup orientation="portrait" horizontalDpi="0" verticalDpi="0"/>
  <drawing xmlns:r="http://schemas.openxmlformats.org/officeDocument/2006/relationships" r:id="rId1"/>
  <legacyDrawing xmlns:r="http://schemas.openxmlformats.org/officeDocument/2006/relationships" r:id="anysvml"/>
</worksheet>
</file>

<file path=xl/worksheets/sheet17.xml><?xml version="1.0" encoding="utf-8"?>
<worksheet xmlns="http://schemas.openxmlformats.org/spreadsheetml/2006/main">
  <sheetPr codeName="Sheet16">
    <outlinePr summaryBelow="1" summaryRight="1"/>
    <pageSetUpPr/>
  </sheetPr>
  <dimension ref="A1:L35"/>
  <sheetViews>
    <sheetView showRuler="0" showWhiteSpace="0" zoomScale="85" zoomScaleNormal="130" workbookViewId="0">
      <pane xSplit="1" topLeftCell="B1" activePane="topRight" state="frozen"/>
      <selection pane="topRight" activeCell="G15" sqref="G15"/>
    </sheetView>
  </sheetViews>
  <sheetFormatPr baseColWidth="8" defaultColWidth="11" defaultRowHeight="15.95"/>
  <cols>
    <col width="25.375" bestFit="1" customWidth="1" style="35" min="1" max="1"/>
    <col width="10.875" customWidth="1" style="35" min="2" max="2"/>
  </cols>
  <sheetData>
    <row r="1">
      <c r="B1" t="inlineStr">
        <is>
          <t>TZ</t>
        </is>
      </c>
      <c r="C1" t="inlineStr">
        <is>
          <t>MW</t>
        </is>
      </c>
      <c r="D1" t="inlineStr">
        <is>
          <t>FPT</t>
        </is>
      </c>
      <c r="E1" t="inlineStr">
        <is>
          <t>Viettel</t>
        </is>
      </c>
      <c r="F1" t="inlineStr">
        <is>
          <t>CPS</t>
        </is>
      </c>
      <c r="G1" t="inlineStr">
        <is>
          <t>Shopdunk</t>
        </is>
      </c>
    </row>
    <row r="2">
      <c r="A2" t="inlineStr">
        <is>
          <t>iPhone 15  128GB</t>
        </is>
      </c>
      <c r="B2" s="3" t="n">
        <v>19790000</v>
      </c>
      <c r="C2" s="3" t="n">
        <v>19790000</v>
      </c>
      <c r="D2" s="37" t="n">
        <v>19890000</v>
      </c>
      <c r="E2" s="37" t="n">
        <v>19490000</v>
      </c>
      <c r="F2" s="38" t="n">
        <v>19250000</v>
      </c>
      <c r="G2" s="4" t="n">
        <v>19450000</v>
      </c>
    </row>
    <row r="3">
      <c r="A3" t="inlineStr">
        <is>
          <t>iPhone 15  Plus 128GB</t>
        </is>
      </c>
      <c r="B3" s="3" t="n">
        <v>22790000</v>
      </c>
      <c r="C3" s="3" t="n">
        <v>22790000</v>
      </c>
      <c r="D3" s="37" t="n">
        <v>22890000</v>
      </c>
      <c r="E3" s="37" t="n">
        <v>22490000</v>
      </c>
      <c r="F3" s="37" t="n">
        <v>22290000</v>
      </c>
      <c r="G3" s="4" t="n">
        <v>22250000</v>
      </c>
      <c r="J3" t="inlineStr">
        <is>
          <t xml:space="preserve">MW </t>
        </is>
      </c>
      <c r="K3" t="inlineStr">
        <is>
          <t>A Duy</t>
        </is>
      </c>
      <c r="L3" t="b">
        <v>1</v>
      </c>
    </row>
    <row r="4">
      <c r="A4" t="inlineStr">
        <is>
          <t>iPhone 15 Pro  128GB</t>
        </is>
      </c>
      <c r="B4" s="3" t="n">
        <v>24790000</v>
      </c>
      <c r="C4" s="3" t="n">
        <v>24790000</v>
      </c>
      <c r="D4" s="37" t="n">
        <v>24890000</v>
      </c>
      <c r="E4" s="4" t="n">
        <v>23990000</v>
      </c>
      <c r="F4" s="38" t="n">
        <v>24390000</v>
      </c>
      <c r="G4" s="3" t="n">
        <v>24390000</v>
      </c>
      <c r="J4" t="inlineStr">
        <is>
          <t>TZ</t>
        </is>
      </c>
      <c r="K4" t="inlineStr">
        <is>
          <t>A Nghĩa</t>
        </is>
      </c>
      <c r="L4" t="b">
        <v>1</v>
      </c>
    </row>
    <row r="5">
      <c r="A5" t="inlineStr">
        <is>
          <t>iPhone 15 Pro Max 256GB</t>
        </is>
      </c>
      <c r="B5" s="4" t="n">
        <v>29390000</v>
      </c>
      <c r="C5" s="4" t="n">
        <v>29390000</v>
      </c>
      <c r="D5" s="4" t="n">
        <v>29390000</v>
      </c>
      <c r="E5" s="4" t="n">
        <v>28890000</v>
      </c>
      <c r="F5" s="38" t="n">
        <v>28990000</v>
      </c>
      <c r="G5" s="4" t="n">
        <v>28850000</v>
      </c>
      <c r="J5" t="inlineStr">
        <is>
          <t>FPT</t>
        </is>
      </c>
      <c r="K5" t="inlineStr">
        <is>
          <t>Việt Béo</t>
        </is>
      </c>
      <c r="L5" t="b">
        <v>1</v>
      </c>
    </row>
    <row r="6">
      <c r="A6" t="inlineStr">
        <is>
          <t>iPhone 14 Plus 128GB</t>
        </is>
      </c>
      <c r="B6" s="3" t="n">
        <v>19790000</v>
      </c>
      <c r="C6" s="3" t="n">
        <v>19790000</v>
      </c>
      <c r="D6" s="4" t="n">
        <v>19890000</v>
      </c>
      <c r="E6" s="4" t="n">
        <v>19690000</v>
      </c>
      <c r="F6" s="34" t="n">
        <v>19890000</v>
      </c>
      <c r="G6" s="4" t="n">
        <v>19390000</v>
      </c>
      <c r="J6" t="inlineStr">
        <is>
          <t>Viettel</t>
        </is>
      </c>
      <c r="K6" t="inlineStr">
        <is>
          <t>A Sơn</t>
        </is>
      </c>
      <c r="L6" t="b">
        <v>1</v>
      </c>
    </row>
    <row r="7">
      <c r="A7" t="inlineStr">
        <is>
          <t>iPhone 14 128GB</t>
        </is>
      </c>
      <c r="B7" s="3" t="n">
        <v>17290000</v>
      </c>
      <c r="C7" s="4" t="n">
        <v>17290000</v>
      </c>
      <c r="D7" s="34" t="n">
        <v>17390000</v>
      </c>
      <c r="E7" s="4" t="n">
        <v>17690000</v>
      </c>
      <c r="F7" s="34" t="n">
        <v>17190000</v>
      </c>
      <c r="G7" s="4" t="n">
        <v>17290000</v>
      </c>
      <c r="J7" t="inlineStr">
        <is>
          <t>CPS</t>
        </is>
      </c>
      <c r="K7" t="inlineStr">
        <is>
          <t>C Trang</t>
        </is>
      </c>
      <c r="L7" t="b">
        <v>1</v>
      </c>
    </row>
    <row r="8">
      <c r="A8" t="inlineStr">
        <is>
          <t>iPhone 13  128GB</t>
        </is>
      </c>
      <c r="B8" s="3" t="n">
        <v>13890000</v>
      </c>
      <c r="C8" s="3" t="n">
        <v>13890000</v>
      </c>
      <c r="D8" s="34" t="n">
        <v>13890000</v>
      </c>
      <c r="E8" s="4" t="n">
        <v>13690000</v>
      </c>
      <c r="F8" s="34" t="n">
        <v>13890000</v>
      </c>
      <c r="G8" s="4" t="n">
        <v>13690000</v>
      </c>
      <c r="J8" t="inlineStr">
        <is>
          <t>ShopDunk</t>
        </is>
      </c>
      <c r="K8" t="inlineStr">
        <is>
          <t>Đạt</t>
        </is>
      </c>
      <c r="L8" t="b">
        <v>1</v>
      </c>
    </row>
    <row r="9">
      <c r="A9" t="inlineStr">
        <is>
          <t>iPhone 12 64GB</t>
        </is>
      </c>
      <c r="B9" s="4" t="n">
        <v>11490000</v>
      </c>
      <c r="C9" s="4" t="n">
        <v>11490000</v>
      </c>
      <c r="D9" s="4" t="n">
        <v>11490000</v>
      </c>
      <c r="E9" s="4" t="n">
        <v>11390000</v>
      </c>
      <c r="F9" s="39" t="n">
        <v>11490000</v>
      </c>
      <c r="G9" s="4" t="n">
        <v>12290000</v>
      </c>
    </row>
    <row r="10">
      <c r="A10" t="inlineStr">
        <is>
          <t>iPhone 11 64GB</t>
        </is>
      </c>
      <c r="B10" s="4" t="n">
        <v>8940000</v>
      </c>
      <c r="C10" s="4" t="n">
        <v>8940000</v>
      </c>
      <c r="D10" s="4" t="n">
        <v>8840000</v>
      </c>
      <c r="E10" s="4" t="n">
        <v>8490000</v>
      </c>
      <c r="F10" s="34" t="n">
        <v>8790000</v>
      </c>
      <c r="G10" s="4" t="n">
        <v>8490000</v>
      </c>
    </row>
    <row r="11">
      <c r="A11" t="inlineStr">
        <is>
          <t>iPad Air 5 M1 64GB Wifi</t>
        </is>
      </c>
      <c r="B11" s="4" t="n">
        <v>13990000</v>
      </c>
      <c r="C11" s="4" t="inlineStr">
        <is>
          <t>OOS</t>
        </is>
      </c>
      <c r="D11" s="4" t="n">
        <v>13890000</v>
      </c>
      <c r="E11" s="4" t="inlineStr">
        <is>
          <t>N/A</t>
        </is>
      </c>
      <c r="F11" s="39" t="n">
        <v>14590000</v>
      </c>
      <c r="G11" s="4" t="n">
        <v>14290000</v>
      </c>
    </row>
    <row r="12">
      <c r="A12" t="inlineStr">
        <is>
          <t>iPad Mini 6 64GB Wifi</t>
        </is>
      </c>
      <c r="B12" s="4" t="n">
        <v>12790000</v>
      </c>
      <c r="C12" s="4" t="inlineStr">
        <is>
          <t>OOS</t>
        </is>
      </c>
      <c r="D12" s="4" t="n">
        <v>12690000</v>
      </c>
      <c r="E12" s="4" t="inlineStr">
        <is>
          <t>N/A</t>
        </is>
      </c>
      <c r="F12" s="39" t="n">
        <v>12790000</v>
      </c>
      <c r="G12" s="4" t="n">
        <v>12650000</v>
      </c>
    </row>
    <row r="13">
      <c r="A13" t="inlineStr">
        <is>
          <t>iPad Gen 10th 64GB Wifi</t>
        </is>
      </c>
      <c r="B13" s="4" t="n">
        <v>10190000</v>
      </c>
      <c r="C13" s="4" t="n">
        <v>10190000</v>
      </c>
      <c r="D13" s="4" t="n">
        <v>9840000</v>
      </c>
      <c r="E13" s="34" t="n">
        <v>9490000</v>
      </c>
      <c r="F13" s="34" t="n">
        <v>9790000</v>
      </c>
      <c r="G13" s="4" t="n">
        <v>9690000</v>
      </c>
    </row>
    <row r="14">
      <c r="A14" t="inlineStr">
        <is>
          <t>iPad Gen 9th  64GB Wifi</t>
        </is>
      </c>
      <c r="B14" s="4" t="n">
        <v>7140000</v>
      </c>
      <c r="C14" s="4" t="n">
        <v>7140000</v>
      </c>
      <c r="D14" s="4" t="n">
        <v>7140000</v>
      </c>
      <c r="E14" s="34" t="n">
        <v>6990000</v>
      </c>
      <c r="F14" s="34" t="n">
        <v>7090000</v>
      </c>
      <c r="G14" s="4" t="n">
        <v>7090000</v>
      </c>
    </row>
    <row r="15">
      <c r="A15" t="inlineStr">
        <is>
          <t>iPad Air M2  11" 128 GB Wifi</t>
        </is>
      </c>
      <c r="B15" s="3" t="inlineStr">
        <is>
          <t>OOS</t>
        </is>
      </c>
      <c r="C15" s="4" t="inlineStr">
        <is>
          <t>OOS</t>
        </is>
      </c>
      <c r="D15" s="4" t="n">
        <v>16890000</v>
      </c>
      <c r="E15" s="34" t="n">
        <v>16790000</v>
      </c>
      <c r="F15" s="39" t="n">
        <v>16990000</v>
      </c>
      <c r="G15" s="4" t="n">
        <v>16390000</v>
      </c>
    </row>
    <row r="16">
      <c r="A16" t="inlineStr">
        <is>
          <t>iPad Air M2  13" 128 GB Wifi</t>
        </is>
      </c>
      <c r="B16" s="4" t="n">
        <v>22290000</v>
      </c>
      <c r="C16" s="4" t="n">
        <v>22290000</v>
      </c>
      <c r="D16" s="4" t="n">
        <v>22390000</v>
      </c>
      <c r="E16" s="4" t="n">
        <v>21490000</v>
      </c>
      <c r="F16" s="34" t="n">
        <v>21990000</v>
      </c>
      <c r="G16" s="4" t="n">
        <v>21490000</v>
      </c>
    </row>
    <row r="17">
      <c r="A17" t="inlineStr">
        <is>
          <t>iPad Pro  M4  11" 256 GB Wifi</t>
        </is>
      </c>
      <c r="B17" s="4" t="n">
        <v>27990000</v>
      </c>
      <c r="C17" s="4" t="n">
        <v>27990000</v>
      </c>
      <c r="D17" s="4" t="n">
        <v>27890000</v>
      </c>
      <c r="E17" s="4" t="n">
        <v>27690000</v>
      </c>
      <c r="F17" s="34" t="n">
        <v>27490000</v>
      </c>
      <c r="G17" s="4" t="n">
        <v>27190000</v>
      </c>
    </row>
    <row r="18">
      <c r="A18" t="inlineStr">
        <is>
          <t>iPad Pro  M4  13" 256 GB Wifi</t>
        </is>
      </c>
      <c r="B18" s="4" t="n">
        <v>37490000</v>
      </c>
      <c r="C18" s="4" t="n">
        <v>37490000</v>
      </c>
      <c r="D18" s="4" t="n">
        <v>37690000</v>
      </c>
      <c r="E18" s="4" t="n">
        <v>36490000</v>
      </c>
      <c r="F18" s="34" t="n">
        <v>37490000</v>
      </c>
      <c r="G18" s="4" t="n">
        <v>36890000</v>
      </c>
    </row>
    <row r="19">
      <c r="A19" t="inlineStr">
        <is>
          <t>AW SE 2023 (40mm GPS)</t>
        </is>
      </c>
      <c r="B19" s="4" t="n">
        <v>6040000</v>
      </c>
      <c r="C19" s="4" t="n">
        <v>6040000</v>
      </c>
      <c r="D19" s="4" t="n">
        <v>5940000</v>
      </c>
      <c r="E19" s="4" t="n">
        <v>5890000</v>
      </c>
      <c r="F19" s="34" t="n">
        <v>5990000</v>
      </c>
      <c r="G19" s="4" t="n">
        <v>5890000</v>
      </c>
    </row>
    <row r="20">
      <c r="A20" t="inlineStr">
        <is>
          <t>AW SE 2023 (40mm LTE)</t>
        </is>
      </c>
      <c r="B20" s="4" t="n">
        <v>7440000</v>
      </c>
      <c r="C20" s="4" t="n">
        <v>7440000</v>
      </c>
      <c r="D20" s="4" t="n">
        <v>7340000</v>
      </c>
      <c r="E20" s="4" t="n">
        <v>7190000</v>
      </c>
      <c r="F20" s="39" t="n">
        <v>7390000</v>
      </c>
      <c r="G20" s="4" t="n">
        <v>7390000</v>
      </c>
    </row>
    <row r="21">
      <c r="A21" t="inlineStr">
        <is>
          <t>AW SE 2023 (44mm GPS)</t>
        </is>
      </c>
      <c r="B21" s="3" t="n">
        <v>6940000</v>
      </c>
      <c r="C21" s="4" t="n">
        <v>6940000</v>
      </c>
      <c r="D21" s="4" t="n">
        <v>6940000</v>
      </c>
      <c r="E21" s="34" t="n">
        <v>6590000</v>
      </c>
      <c r="F21" s="39" t="n">
        <v>6990000</v>
      </c>
      <c r="G21" s="3" t="n">
        <v>6390000</v>
      </c>
    </row>
    <row r="22">
      <c r="A22" t="inlineStr">
        <is>
          <t>AW SE 2023 (44mm LTE)</t>
        </is>
      </c>
      <c r="B22" s="3" t="n">
        <v>8240000</v>
      </c>
      <c r="C22" s="4" t="inlineStr">
        <is>
          <t>OOS</t>
        </is>
      </c>
      <c r="D22" s="4" t="n">
        <v>8140000</v>
      </c>
      <c r="E22" s="4" t="n">
        <v>7790000</v>
      </c>
      <c r="F22" s="39" t="n">
        <v>8190000</v>
      </c>
      <c r="G22" s="4" t="n">
        <v>8090000</v>
      </c>
    </row>
    <row r="23">
      <c r="A23" t="inlineStr">
        <is>
          <t>AW S9 (41mm GPS)</t>
        </is>
      </c>
      <c r="B23" s="4" t="n">
        <v>9790000</v>
      </c>
      <c r="C23" s="4" t="n">
        <v>9790000</v>
      </c>
      <c r="D23" s="4" t="n">
        <v>9440000</v>
      </c>
      <c r="E23" s="4" t="n">
        <v>8990000</v>
      </c>
      <c r="F23" s="34" t="n">
        <v>9490000</v>
      </c>
      <c r="G23" s="3" t="n">
        <v>9190000</v>
      </c>
    </row>
    <row r="24">
      <c r="A24" t="inlineStr">
        <is>
          <t>AW S9 (41mm CEL)</t>
        </is>
      </c>
      <c r="B24" s="4" t="n">
        <v>12490000</v>
      </c>
      <c r="C24" s="4" t="inlineStr">
        <is>
          <t>OOS</t>
        </is>
      </c>
      <c r="D24" s="4" t="n">
        <v>12190000</v>
      </c>
      <c r="E24" s="4" t="n">
        <v>11690000</v>
      </c>
      <c r="F24" s="34" t="n">
        <v>12390000</v>
      </c>
      <c r="G24" s="3" t="n">
        <v>11690000</v>
      </c>
    </row>
    <row r="25">
      <c r="A25" t="inlineStr">
        <is>
          <t>AW S9 (45mm GPS)</t>
        </is>
      </c>
      <c r="B25" s="4" t="n">
        <v>10790000</v>
      </c>
      <c r="C25" s="4" t="n">
        <v>10790000</v>
      </c>
      <c r="D25" s="4" t="n">
        <v>10490000</v>
      </c>
      <c r="E25" s="4" t="n">
        <v>9790000</v>
      </c>
      <c r="F25" s="39" t="n">
        <v>10590000</v>
      </c>
      <c r="G25" s="3" t="n">
        <v>10190000</v>
      </c>
    </row>
    <row r="26">
      <c r="A26" t="inlineStr">
        <is>
          <t>AW S9 (45mm CEL)</t>
        </is>
      </c>
      <c r="B26" s="4" t="n">
        <v>13590000</v>
      </c>
      <c r="C26" s="4" t="inlineStr">
        <is>
          <t>OOS</t>
        </is>
      </c>
      <c r="D26" s="4" t="n">
        <v>13390000</v>
      </c>
      <c r="E26" s="4" t="n">
        <v>12690000</v>
      </c>
      <c r="F26" s="34" t="inlineStr">
        <is>
          <t>OOS</t>
        </is>
      </c>
      <c r="G26" s="3" t="n">
        <v>12690000</v>
      </c>
    </row>
    <row r="27">
      <c r="A27" t="inlineStr">
        <is>
          <t>AW Ultra 2 (49mm)</t>
        </is>
      </c>
      <c r="B27" s="4" t="n">
        <v>20990000</v>
      </c>
      <c r="C27" s="4" t="n">
        <v>20990000</v>
      </c>
      <c r="D27" s="4" t="n">
        <v>20590000</v>
      </c>
      <c r="E27" s="4" t="n">
        <v>19990000</v>
      </c>
      <c r="F27" s="39" t="n">
        <v>21390000</v>
      </c>
      <c r="G27" s="4" t="n">
        <v>20890000</v>
      </c>
    </row>
    <row r="28">
      <c r="A28" t="inlineStr">
        <is>
          <t>AirPods Pro 2 - 2023 (C-Type)</t>
        </is>
      </c>
      <c r="B28" s="4" t="n">
        <v>5690000</v>
      </c>
      <c r="C28" s="4" t="n">
        <v>5690000</v>
      </c>
      <c r="D28" s="34" t="n">
        <v>5640000</v>
      </c>
      <c r="E28" s="4" t="n">
        <v>5336100</v>
      </c>
      <c r="F28" s="39" t="n">
        <v>5550000</v>
      </c>
      <c r="G28" s="3" t="n">
        <v>5450000</v>
      </c>
    </row>
    <row r="29">
      <c r="A29" t="inlineStr">
        <is>
          <t>AirPods 3 with charging case</t>
        </is>
      </c>
      <c r="B29" s="4" t="n">
        <v>4090000</v>
      </c>
      <c r="C29" s="4" t="n">
        <v>4090000</v>
      </c>
      <c r="D29" s="4" t="n">
        <v>4040000</v>
      </c>
      <c r="E29" s="4" t="n">
        <v>4049100</v>
      </c>
      <c r="F29" s="34" t="n">
        <v>4090000</v>
      </c>
      <c r="G29" s="3" t="inlineStr">
        <is>
          <t>3.890.000</t>
        </is>
      </c>
    </row>
    <row r="30">
      <c r="A30" t="inlineStr">
        <is>
          <t>AirPods 2 with charging case</t>
        </is>
      </c>
      <c r="B30" s="4" t="n">
        <v>2690000</v>
      </c>
      <c r="C30" s="4" t="n">
        <v>2690000</v>
      </c>
      <c r="D30" s="34" t="n">
        <v>2640000</v>
      </c>
      <c r="E30" s="4" t="n">
        <v>2861100</v>
      </c>
      <c r="F30" s="34" t="n">
        <v>2690000</v>
      </c>
      <c r="G30" s="3" t="n">
        <v>2750000</v>
      </c>
    </row>
    <row r="31">
      <c r="A31" t="inlineStr">
        <is>
          <t>MacBook Air 13" M1 8/256Gb</t>
        </is>
      </c>
      <c r="B31" s="3" t="n">
        <v>18490000</v>
      </c>
      <c r="C31" s="34" t="n">
        <v>18490000</v>
      </c>
      <c r="D31" s="34" t="n">
        <v>18490000</v>
      </c>
      <c r="E31" s="4" t="n"/>
      <c r="F31" s="39" t="n">
        <v>18590000</v>
      </c>
      <c r="G31" s="3" t="n">
        <v>17750000</v>
      </c>
    </row>
    <row r="32">
      <c r="A32" t="inlineStr">
        <is>
          <t>MacBook Air 13" M2 8/256GB</t>
        </is>
      </c>
      <c r="B32" s="3" t="n">
        <v>23690000</v>
      </c>
      <c r="C32" s="34" t="n">
        <v>23690000</v>
      </c>
      <c r="D32" s="4" t="n">
        <v>23590000</v>
      </c>
      <c r="E32" s="4" t="n"/>
      <c r="F32" s="34" t="n">
        <v>23490000</v>
      </c>
      <c r="G32" s="4" t="n">
        <v>23190000</v>
      </c>
    </row>
    <row r="33">
      <c r="A33" t="inlineStr">
        <is>
          <t>MacBook Air 13" M3 8/256GB</t>
        </is>
      </c>
      <c r="B33" s="3" t="n">
        <v>26890000</v>
      </c>
      <c r="C33" s="34" t="n">
        <v>26890000</v>
      </c>
      <c r="D33" s="34" t="n">
        <v>27090000</v>
      </c>
      <c r="E33" s="4" t="n"/>
      <c r="F33" s="34" t="n">
        <v>26890000</v>
      </c>
      <c r="G33" s="4" t="n">
        <v>26690000</v>
      </c>
    </row>
    <row r="34">
      <c r="A34" t="inlineStr">
        <is>
          <t>MacBook Air 15" M3 8/256GB</t>
        </is>
      </c>
      <c r="B34" s="4" t="n">
        <v>31290000</v>
      </c>
      <c r="C34" s="4" t="n">
        <v>31290000</v>
      </c>
      <c r="D34" s="4" t="n">
        <v>31090000</v>
      </c>
      <c r="E34" s="4" t="n"/>
      <c r="F34" s="34" t="n">
        <v>31290000</v>
      </c>
      <c r="G34" s="4" t="n">
        <v>30990000</v>
      </c>
    </row>
    <row r="35">
      <c r="A35" t="inlineStr">
        <is>
          <t>MacBook Pro 14" M3 8/512GB</t>
        </is>
      </c>
      <c r="B35" s="3" t="n">
        <v>38290000</v>
      </c>
      <c r="C35" s="34" t="n">
        <v>38290000</v>
      </c>
      <c r="D35" s="4" t="n">
        <v>38290000</v>
      </c>
      <c r="E35" s="4" t="n"/>
      <c r="F35" s="34" t="n">
        <v>38390000</v>
      </c>
      <c r="G35" s="4" t="n">
        <v>37790000</v>
      </c>
    </row>
  </sheetData>
  <pageMargins left="0.7" right="0.7" top="0.75" bottom="0.75" header="0.3" footer="0.3"/>
  <pageSetup orientation="portrait" horizontalDpi="0" verticalDpi="0"/>
  <legacyDrawing xmlns:r="http://schemas.openxmlformats.org/officeDocument/2006/relationships" r:id="anysvml"/>
</worksheet>
</file>

<file path=xl/worksheets/sheet18.xml><?xml version="1.0" encoding="utf-8"?>
<worksheet xmlns="http://schemas.openxmlformats.org/spreadsheetml/2006/main">
  <sheetPr codeName="Sheet17">
    <outlinePr summaryBelow="1" summaryRight="1"/>
    <pageSetUpPr/>
  </sheetPr>
  <dimension ref="A1:P35"/>
  <sheetViews>
    <sheetView showRuler="0" showWhiteSpace="0" topLeftCell="A8" zoomScale="113" zoomScaleNormal="130" workbookViewId="0">
      <pane xSplit="1" topLeftCell="AH1" activePane="topRight" state="frozen"/>
      <selection pane="topRight" activeCell="A8" sqref="A8"/>
      <selection activeCell="A8" sqref="A8"/>
    </sheetView>
  </sheetViews>
  <sheetFormatPr baseColWidth="8" defaultColWidth="11" defaultRowHeight="15.95"/>
  <cols>
    <col width="25.375" bestFit="1" customWidth="1" style="35" min="1" max="1"/>
    <col width="10.875" customWidth="1" style="35" min="2" max="2"/>
    <col width="23.125" customWidth="1" style="35" min="11" max="11"/>
  </cols>
  <sheetData>
    <row r="1">
      <c r="B1" t="inlineStr">
        <is>
          <t>TZ</t>
        </is>
      </c>
      <c r="C1" t="inlineStr">
        <is>
          <t>MW</t>
        </is>
      </c>
      <c r="D1" t="inlineStr">
        <is>
          <t>FPT</t>
        </is>
      </c>
      <c r="E1" t="inlineStr">
        <is>
          <t>Viettel</t>
        </is>
      </c>
      <c r="F1" t="inlineStr">
        <is>
          <t>CPS</t>
        </is>
      </c>
      <c r="G1" t="inlineStr">
        <is>
          <t>Shopdunk</t>
        </is>
      </c>
    </row>
    <row r="2">
      <c r="A2" t="inlineStr">
        <is>
          <t>iPhone 15  128GB</t>
        </is>
      </c>
      <c r="B2" s="3" t="n">
        <v>19690000</v>
      </c>
      <c r="C2" s="42" t="n">
        <v>19690000</v>
      </c>
      <c r="D2" s="37" t="n">
        <v>19890000</v>
      </c>
      <c r="E2" s="37" t="n">
        <v>19490000</v>
      </c>
      <c r="F2" s="38" t="n">
        <v>19190000</v>
      </c>
      <c r="G2" s="3" t="n">
        <v>19390000</v>
      </c>
    </row>
    <row r="3">
      <c r="A3" t="inlineStr">
        <is>
          <t>iPhone 15  Plus 128GB</t>
        </is>
      </c>
      <c r="B3" s="3" t="n">
        <v>22690000</v>
      </c>
      <c r="C3" s="42" t="n">
        <v>22690000</v>
      </c>
      <c r="D3" s="37" t="n">
        <v>22890000</v>
      </c>
      <c r="E3" s="37" t="n">
        <v>22490000</v>
      </c>
      <c r="F3" s="38" t="n">
        <v>22290000</v>
      </c>
      <c r="G3" s="4" t="n">
        <v>22250000</v>
      </c>
      <c r="J3" t="inlineStr">
        <is>
          <t xml:space="preserve">MW </t>
        </is>
      </c>
      <c r="K3" t="inlineStr">
        <is>
          <t>A Duy</t>
        </is>
      </c>
      <c r="L3" t="b">
        <v>1</v>
      </c>
    </row>
    <row r="4">
      <c r="A4" t="inlineStr">
        <is>
          <t>iPhone 15 Pro  128GB</t>
        </is>
      </c>
      <c r="B4" s="3" t="n">
        <v>24690000</v>
      </c>
      <c r="C4" s="42" t="n">
        <v>24690000</v>
      </c>
      <c r="D4" s="37" t="n">
        <v>24890000</v>
      </c>
      <c r="E4" s="37" t="n">
        <v>23990000</v>
      </c>
      <c r="F4" s="38" t="n">
        <v>24290000</v>
      </c>
      <c r="G4" s="4" t="n">
        <v>24390000</v>
      </c>
      <c r="J4" t="inlineStr">
        <is>
          <t>TZ</t>
        </is>
      </c>
      <c r="K4" t="inlineStr">
        <is>
          <t>A Nghĩa</t>
        </is>
      </c>
      <c r="L4" t="b">
        <v>1</v>
      </c>
    </row>
    <row r="5">
      <c r="A5" t="inlineStr">
        <is>
          <t>iPhone 15 Pro Max 256GB</t>
        </is>
      </c>
      <c r="B5" s="37" t="n">
        <v>29390000</v>
      </c>
      <c r="C5" s="37" t="n">
        <v>29390000</v>
      </c>
      <c r="D5" s="4" t="n">
        <v>29390000</v>
      </c>
      <c r="E5" s="38" t="n">
        <v>28700000</v>
      </c>
      <c r="F5" s="40" t="n">
        <v>28790000</v>
      </c>
      <c r="G5" s="4" t="n">
        <v>28850000</v>
      </c>
      <c r="J5" t="inlineStr">
        <is>
          <t>FPT</t>
        </is>
      </c>
      <c r="K5" t="inlineStr">
        <is>
          <t>Việt Béo</t>
        </is>
      </c>
      <c r="L5" t="b">
        <v>1</v>
      </c>
    </row>
    <row r="6">
      <c r="A6" t="inlineStr">
        <is>
          <t>iPhone 14 Plus 128GB</t>
        </is>
      </c>
      <c r="B6" s="37" t="n">
        <v>19790000</v>
      </c>
      <c r="C6" s="37" t="n">
        <v>19790000</v>
      </c>
      <c r="D6" s="4" t="n">
        <v>19890000</v>
      </c>
      <c r="E6" s="37" t="n">
        <v>19690000</v>
      </c>
      <c r="F6" s="39" t="n">
        <v>19890000</v>
      </c>
      <c r="G6" s="4" t="n">
        <v>19390000</v>
      </c>
      <c r="J6" t="inlineStr">
        <is>
          <t>Viettel</t>
        </is>
      </c>
      <c r="K6" t="inlineStr">
        <is>
          <t>A Sơn</t>
        </is>
      </c>
      <c r="L6" t="b">
        <v>1</v>
      </c>
    </row>
    <row r="7">
      <c r="A7" t="inlineStr">
        <is>
          <t>iPhone 14 128GB</t>
        </is>
      </c>
      <c r="B7" s="3" t="n">
        <v>16890000</v>
      </c>
      <c r="C7" s="42" t="n">
        <v>16890000</v>
      </c>
      <c r="D7" s="39" t="n">
        <v>17390000</v>
      </c>
      <c r="E7" s="37" t="n">
        <v>17690000</v>
      </c>
      <c r="F7" s="39" t="n">
        <v>17190000</v>
      </c>
      <c r="G7" s="4" t="n">
        <v>17290000</v>
      </c>
      <c r="J7" t="inlineStr">
        <is>
          <t>CPS</t>
        </is>
      </c>
      <c r="K7" t="inlineStr">
        <is>
          <t>C Trang</t>
        </is>
      </c>
      <c r="L7" t="b">
        <v>1</v>
      </c>
    </row>
    <row r="8">
      <c r="A8" t="inlineStr">
        <is>
          <t>iPhone 13  128GB</t>
        </is>
      </c>
      <c r="B8" s="37" t="n">
        <v>13890000</v>
      </c>
      <c r="C8" s="37" t="n">
        <v>13890000</v>
      </c>
      <c r="D8" s="39" t="n">
        <v>13890000</v>
      </c>
      <c r="E8" s="37" t="n">
        <v>13690000</v>
      </c>
      <c r="F8" s="34" t="n">
        <v>13790000</v>
      </c>
      <c r="G8" s="4" t="n">
        <v>13690000</v>
      </c>
      <c r="J8" t="inlineStr">
        <is>
          <t>ShopDunk</t>
        </is>
      </c>
      <c r="K8" t="inlineStr">
        <is>
          <t>Đạt</t>
        </is>
      </c>
      <c r="L8" t="b">
        <v>1</v>
      </c>
    </row>
    <row r="9">
      <c r="A9" t="inlineStr">
        <is>
          <t>iPhone 12 64GB</t>
        </is>
      </c>
      <c r="B9" s="37" t="n">
        <v>11490000</v>
      </c>
      <c r="C9" s="37" t="n">
        <v>11490000</v>
      </c>
      <c r="D9" s="4" t="n">
        <v>11490000</v>
      </c>
      <c r="E9" s="37" t="n">
        <v>11390000</v>
      </c>
      <c r="F9" s="34" t="n">
        <v>11290000</v>
      </c>
      <c r="G9" s="4" t="n">
        <v>12290000</v>
      </c>
    </row>
    <row r="10">
      <c r="A10" t="inlineStr">
        <is>
          <t>iPhone 11 64GB</t>
        </is>
      </c>
      <c r="B10" s="37" t="n">
        <v>8940000</v>
      </c>
      <c r="C10" s="37" t="n">
        <v>8940000</v>
      </c>
      <c r="D10" s="4" t="n">
        <v>8840000</v>
      </c>
      <c r="E10" s="37" t="n">
        <v>8490000</v>
      </c>
      <c r="F10" s="34" t="n">
        <v>8650000</v>
      </c>
      <c r="G10" s="3" t="n">
        <v>8590000</v>
      </c>
    </row>
    <row r="11">
      <c r="A11" t="inlineStr">
        <is>
          <t>iPad Air 5 M1 64GB Wifi</t>
        </is>
      </c>
      <c r="B11" s="37" t="n">
        <v>13990000</v>
      </c>
      <c r="C11" s="37" t="inlineStr">
        <is>
          <t>OOS</t>
        </is>
      </c>
      <c r="D11" s="4" t="n">
        <v>13890000</v>
      </c>
      <c r="E11" s="38" t="n">
        <v>13990000</v>
      </c>
      <c r="F11" s="34" t="n">
        <v>14890000</v>
      </c>
      <c r="G11" s="4" t="n">
        <v>14290000</v>
      </c>
    </row>
    <row r="12">
      <c r="A12" t="inlineStr">
        <is>
          <t>iPad Mini 6 64GB Wifi</t>
        </is>
      </c>
      <c r="B12" s="37" t="n">
        <v>12790000</v>
      </c>
      <c r="C12" s="37" t="inlineStr">
        <is>
          <t>OOS</t>
        </is>
      </c>
      <c r="D12" s="4" t="n">
        <v>12690000</v>
      </c>
      <c r="E12" s="37" t="inlineStr">
        <is>
          <t>N/A</t>
        </is>
      </c>
      <c r="F12" s="39" t="n">
        <v>12790000</v>
      </c>
      <c r="G12" s="4" t="n">
        <v>12650000</v>
      </c>
    </row>
    <row r="13">
      <c r="A13" t="inlineStr">
        <is>
          <t>iPad Gen 10th 64GB Wifi</t>
        </is>
      </c>
      <c r="B13" s="37" t="n">
        <v>10190000</v>
      </c>
      <c r="C13" s="37" t="n">
        <v>10190000</v>
      </c>
      <c r="D13" s="4" t="n">
        <v>9840000</v>
      </c>
      <c r="E13" s="37" t="n">
        <v>9490000</v>
      </c>
      <c r="F13" s="34" t="n">
        <v>9790000</v>
      </c>
      <c r="G13" s="3" t="n">
        <v>9490000</v>
      </c>
    </row>
    <row r="14">
      <c r="A14" t="inlineStr">
        <is>
          <t>iPad Gen 9th  64GB Wifi</t>
        </is>
      </c>
      <c r="B14" s="37" t="n">
        <v>7140000</v>
      </c>
      <c r="C14" s="37" t="n">
        <v>7140000</v>
      </c>
      <c r="D14" s="4" t="n">
        <v>7140000</v>
      </c>
      <c r="E14" s="37" t="n">
        <v>6990000</v>
      </c>
      <c r="F14" s="39" t="n">
        <v>7090000</v>
      </c>
      <c r="G14" s="4" t="n">
        <v>7090000</v>
      </c>
      <c r="L14" t="inlineStr">
        <is>
          <t>MW</t>
        </is>
      </c>
      <c r="M14" t="inlineStr">
        <is>
          <t>FPT</t>
        </is>
      </c>
      <c r="N14" t="inlineStr">
        <is>
          <t>Viettel</t>
        </is>
      </c>
      <c r="O14" t="inlineStr">
        <is>
          <t>CPS</t>
        </is>
      </c>
      <c r="P14" t="inlineStr">
        <is>
          <t>Shopdunk</t>
        </is>
      </c>
    </row>
    <row r="15">
      <c r="A15" t="inlineStr">
        <is>
          <t>iPad Air M2  11" 128 GB Wifi</t>
        </is>
      </c>
      <c r="B15" s="3" t="n">
        <v>16890000</v>
      </c>
      <c r="C15" s="37" t="inlineStr">
        <is>
          <t>OOS</t>
        </is>
      </c>
      <c r="D15" s="4" t="n">
        <v>16890000</v>
      </c>
      <c r="E15" s="38" t="n">
        <v>16325000</v>
      </c>
      <c r="F15" s="39" t="n">
        <v>16990000</v>
      </c>
      <c r="G15" s="3" t="n">
        <v>16490000</v>
      </c>
      <c r="K15" t="inlineStr">
        <is>
          <t>iPhone 15 Pro Max 256GB</t>
        </is>
      </c>
      <c r="L15" t="n">
        <v>350</v>
      </c>
      <c r="M15" t="n">
        <v>316</v>
      </c>
      <c r="N15" t="n">
        <v>68</v>
      </c>
      <c r="O15" t="n">
        <v>388</v>
      </c>
      <c r="P15" t="n">
        <v>89</v>
      </c>
    </row>
    <row r="16">
      <c r="A16" t="inlineStr">
        <is>
          <t>iPad Air M2  13" 128 GB Wifi</t>
        </is>
      </c>
      <c r="B16" s="37" t="n">
        <v>22290000</v>
      </c>
      <c r="C16" s="37" t="n">
        <v>22290000</v>
      </c>
      <c r="D16" s="4" t="n">
        <v>22390000</v>
      </c>
      <c r="E16" s="37" t="n">
        <v>21490000</v>
      </c>
      <c r="F16" s="39" t="n">
        <v>21690000</v>
      </c>
      <c r="G16" s="4" t="n">
        <v>21490000</v>
      </c>
      <c r="K16" t="inlineStr">
        <is>
          <t>iPhone 15 Pro Max 256GB</t>
        </is>
      </c>
      <c r="L16" s="37" t="n">
        <v>29390000</v>
      </c>
      <c r="M16" s="4" t="n">
        <v>29390000</v>
      </c>
      <c r="N16" s="38" t="n">
        <v>28700000</v>
      </c>
      <c r="O16" s="40" t="n">
        <v>28790000</v>
      </c>
      <c r="P16" s="4" t="n">
        <v>28850000</v>
      </c>
    </row>
    <row r="17">
      <c r="A17" t="inlineStr">
        <is>
          <t>iPad Pro  M4  11" 256 GB Wifi</t>
        </is>
      </c>
      <c r="B17" s="3" t="n">
        <v>27790000</v>
      </c>
      <c r="C17" s="42" t="n">
        <v>27790000</v>
      </c>
      <c r="D17" s="4" t="n">
        <v>27890000</v>
      </c>
      <c r="E17" s="38" t="n">
        <v>27215000</v>
      </c>
      <c r="F17" s="34" t="n">
        <v>27590000</v>
      </c>
      <c r="G17" s="4" t="n">
        <v>27190000</v>
      </c>
    </row>
    <row r="18">
      <c r="A18" t="inlineStr">
        <is>
          <t>iPad Pro  M4  13" 256 GB Wifi</t>
        </is>
      </c>
      <c r="B18" s="37" t="n">
        <v>37490000</v>
      </c>
      <c r="C18" s="37" t="n">
        <v>37490000</v>
      </c>
      <c r="D18" s="4" t="n">
        <v>37690000</v>
      </c>
      <c r="E18" s="37" t="n">
        <v>36490000</v>
      </c>
      <c r="F18" s="34" t="n">
        <v>36990000</v>
      </c>
      <c r="G18" s="4" t="n">
        <v>36890000</v>
      </c>
    </row>
    <row r="19">
      <c r="A19" t="inlineStr">
        <is>
          <t>AW SE 2023 (40mm GPS)</t>
        </is>
      </c>
      <c r="B19" s="37" t="n">
        <v>6040000</v>
      </c>
      <c r="C19" s="37" t="n">
        <v>6040000</v>
      </c>
      <c r="D19" s="4" t="n">
        <v>5940000</v>
      </c>
      <c r="E19" s="38" t="n">
        <v>5690000</v>
      </c>
      <c r="F19" s="39" t="n">
        <v>5990000</v>
      </c>
      <c r="G19" s="4" t="n">
        <v>5890000</v>
      </c>
    </row>
    <row r="20">
      <c r="A20" t="inlineStr">
        <is>
          <t>AW SE 2023 (40mm LTE)</t>
        </is>
      </c>
      <c r="B20" s="37" t="n">
        <v>7440000</v>
      </c>
      <c r="C20" s="37" t="n">
        <v>7440000</v>
      </c>
      <c r="D20" s="4" t="n">
        <v>7340000</v>
      </c>
      <c r="E20" s="37" t="n">
        <v>7190000</v>
      </c>
      <c r="F20" s="39" t="n">
        <v>7390000</v>
      </c>
      <c r="G20" s="4" t="n">
        <v>7390000</v>
      </c>
    </row>
    <row r="21">
      <c r="A21" t="inlineStr">
        <is>
          <t>AW SE 2023 (44mm GPS)</t>
        </is>
      </c>
      <c r="B21" s="37" t="n">
        <v>6940000</v>
      </c>
      <c r="C21" s="37" t="n">
        <v>6940000</v>
      </c>
      <c r="D21" s="4" t="n">
        <v>6940000</v>
      </c>
      <c r="E21" s="37" t="n">
        <v>6590000</v>
      </c>
      <c r="F21" s="34" t="n">
        <v>7190000</v>
      </c>
      <c r="G21" s="3" t="n">
        <v>6790000</v>
      </c>
    </row>
    <row r="22">
      <c r="A22" t="inlineStr">
        <is>
          <t>AW SE 2023 (44mm LTE)</t>
        </is>
      </c>
      <c r="B22" s="37" t="n">
        <v>8240000</v>
      </c>
      <c r="C22" s="37" t="inlineStr">
        <is>
          <t>OOS</t>
        </is>
      </c>
      <c r="D22" s="4" t="n">
        <v>8140000</v>
      </c>
      <c r="E22" s="38" t="n">
        <v>7990000</v>
      </c>
      <c r="F22" s="39" t="n">
        <v>8190000</v>
      </c>
      <c r="G22" s="4" t="n">
        <v>8090000</v>
      </c>
    </row>
    <row r="23">
      <c r="A23" t="inlineStr">
        <is>
          <t>AW S9 (41mm GPS)</t>
        </is>
      </c>
      <c r="B23" s="37" t="n">
        <v>9790000</v>
      </c>
      <c r="C23" s="37" t="n">
        <v>9790000</v>
      </c>
      <c r="D23" s="4" t="n">
        <v>9440000</v>
      </c>
      <c r="E23" s="38" t="n">
        <v>8870000</v>
      </c>
      <c r="F23" s="34" t="n">
        <v>9490000</v>
      </c>
      <c r="G23" s="3" t="n">
        <v>9390000</v>
      </c>
    </row>
    <row r="24">
      <c r="A24" t="inlineStr">
        <is>
          <t>AW S9 (41mm CEL)</t>
        </is>
      </c>
      <c r="B24" s="3" t="n">
        <v>12390000</v>
      </c>
      <c r="C24" s="37" t="inlineStr">
        <is>
          <t>OOS</t>
        </is>
      </c>
      <c r="D24" s="4" t="n">
        <v>12190000</v>
      </c>
      <c r="E24" s="38" t="n">
        <v>11570000</v>
      </c>
      <c r="F24" s="34" t="n">
        <v>12590000</v>
      </c>
      <c r="G24" s="3" t="n">
        <v>11890000</v>
      </c>
    </row>
    <row r="25">
      <c r="A25" t="inlineStr">
        <is>
          <t>AW S9 (45mm GPS)</t>
        </is>
      </c>
      <c r="B25" s="37" t="n">
        <v>10790000</v>
      </c>
      <c r="C25" s="37" t="n">
        <v>10790000</v>
      </c>
      <c r="D25" s="4" t="n">
        <v>10490000</v>
      </c>
      <c r="E25" s="38" t="n">
        <v>9670000</v>
      </c>
      <c r="F25" s="34" t="n">
        <v>10890000</v>
      </c>
      <c r="G25" s="3" t="n">
        <v>10390000</v>
      </c>
    </row>
    <row r="26">
      <c r="A26" t="inlineStr">
        <is>
          <t>AW S9 (45mm CEL)</t>
        </is>
      </c>
      <c r="B26" s="37" t="n">
        <v>13590000</v>
      </c>
      <c r="C26" s="37" t="inlineStr">
        <is>
          <t>OOS</t>
        </is>
      </c>
      <c r="D26" s="4" t="n">
        <v>13390000</v>
      </c>
      <c r="E26" s="38" t="n">
        <v>12590000</v>
      </c>
      <c r="F26" s="34" t="inlineStr">
        <is>
          <t>OOS</t>
        </is>
      </c>
      <c r="G26" s="3" t="n">
        <v>12890000</v>
      </c>
    </row>
    <row r="27">
      <c r="A27" t="inlineStr">
        <is>
          <t>AW Ultra 2 (49mm)</t>
        </is>
      </c>
      <c r="B27" s="37" t="n">
        <v>20990000</v>
      </c>
      <c r="C27" s="37" t="n">
        <v>20990000</v>
      </c>
      <c r="D27" s="4" t="n">
        <v>20590000</v>
      </c>
      <c r="E27" s="38" t="n">
        <v>19690000</v>
      </c>
      <c r="F27" s="34" t="n">
        <v>21290000</v>
      </c>
      <c r="G27" s="4" t="n">
        <v>20890000</v>
      </c>
    </row>
    <row r="28">
      <c r="A28" t="inlineStr">
        <is>
          <t>AirPods Pro 2 - 2023 (C-Type)</t>
        </is>
      </c>
      <c r="B28" s="37" t="n">
        <v>5690000</v>
      </c>
      <c r="C28" s="37" t="n">
        <v>5690000</v>
      </c>
      <c r="D28" s="39" t="n">
        <v>5640000</v>
      </c>
      <c r="E28" s="38" t="n">
        <v>5270000</v>
      </c>
      <c r="F28" s="39" t="n">
        <v>5550000</v>
      </c>
      <c r="G28" s="4" t="n">
        <v>5450000</v>
      </c>
      <c r="H28" s="41" t="n"/>
    </row>
    <row r="29">
      <c r="A29" t="inlineStr">
        <is>
          <t>AirPods 3 with charging case</t>
        </is>
      </c>
      <c r="B29" s="3" t="n">
        <v>3990000</v>
      </c>
      <c r="C29" s="42" t="n">
        <v>3990000</v>
      </c>
      <c r="D29" s="3" t="n">
        <v>3790000</v>
      </c>
      <c r="E29" s="38" t="n">
        <v>3890000</v>
      </c>
      <c r="F29" s="34" t="n">
        <v>3850000</v>
      </c>
      <c r="G29" s="4" t="inlineStr">
        <is>
          <t>3.890.000</t>
        </is>
      </c>
    </row>
    <row r="30">
      <c r="A30" t="inlineStr">
        <is>
          <t>AirPods 2 with charging case</t>
        </is>
      </c>
      <c r="B30" s="37" t="n">
        <v>2690000</v>
      </c>
      <c r="C30" s="37" t="n">
        <v>2690000</v>
      </c>
      <c r="D30" s="39" t="n">
        <v>2690000</v>
      </c>
      <c r="E30" s="38" t="n">
        <v>2570000</v>
      </c>
      <c r="F30" s="39" t="n">
        <v>2690000</v>
      </c>
      <c r="G30" s="4" t="n">
        <v>2750000</v>
      </c>
    </row>
    <row r="31">
      <c r="A31" t="inlineStr">
        <is>
          <t>MacBook Air 13" M1 8/256Gb</t>
        </is>
      </c>
      <c r="B31" s="3" t="n">
        <v>18190000</v>
      </c>
      <c r="C31" s="42" t="n">
        <v>18190000</v>
      </c>
      <c r="D31" s="34" t="n">
        <v>18290000</v>
      </c>
      <c r="E31" s="37" t="n"/>
      <c r="F31" s="34" t="n">
        <v>18490000</v>
      </c>
      <c r="G31" s="4" t="n">
        <v>17750000</v>
      </c>
    </row>
    <row r="32">
      <c r="A32" t="inlineStr">
        <is>
          <t>MacBook Air 13" M2 8/256GB</t>
        </is>
      </c>
      <c r="B32" s="3" t="n">
        <v>23190000</v>
      </c>
      <c r="C32" s="38" t="n">
        <v>23190000</v>
      </c>
      <c r="D32" s="3" t="n">
        <v>23190000</v>
      </c>
      <c r="E32" s="37" t="n"/>
      <c r="F32" s="34" t="n">
        <v>23290000</v>
      </c>
      <c r="G32" s="3" t="n">
        <v>22990000</v>
      </c>
    </row>
    <row r="33">
      <c r="A33" t="inlineStr">
        <is>
          <t>MacBook Air 13" M3 8/256GB</t>
        </is>
      </c>
      <c r="B33" s="3" t="n">
        <v>26890000</v>
      </c>
      <c r="C33" s="37" t="n">
        <v>26890000</v>
      </c>
      <c r="D33" s="34" t="n">
        <v>26590000</v>
      </c>
      <c r="E33" s="37" t="n"/>
      <c r="F33" s="34" t="n">
        <v>26990000</v>
      </c>
      <c r="G33" s="4" t="n">
        <v>26190000</v>
      </c>
    </row>
    <row r="34">
      <c r="A34" t="inlineStr">
        <is>
          <t>MacBook Air 15" M3 8/256GB</t>
        </is>
      </c>
      <c r="B34" s="3" t="n">
        <v>31190000</v>
      </c>
      <c r="C34" s="38" t="n">
        <v>31190000</v>
      </c>
      <c r="D34" s="4" t="n">
        <v>31090000</v>
      </c>
      <c r="E34" s="37" t="n"/>
      <c r="F34" s="34" t="n">
        <v>31590000</v>
      </c>
      <c r="G34" s="3" t="n">
        <v>30790000</v>
      </c>
    </row>
    <row r="35">
      <c r="A35" t="inlineStr">
        <is>
          <t>MacBook Pro 14" M3 8/512GB</t>
        </is>
      </c>
      <c r="B35" s="37" t="n">
        <v>38290000</v>
      </c>
      <c r="C35" s="37" t="n">
        <v>38290000</v>
      </c>
      <c r="D35" s="4" t="n">
        <v>38290000</v>
      </c>
      <c r="E35" s="37" t="n"/>
      <c r="F35" s="34" t="n">
        <v>38490000</v>
      </c>
      <c r="G35" s="4" t="n">
        <v>37790000</v>
      </c>
    </row>
  </sheetData>
  <pageMargins left="0.7" right="0.7" top="0.75" bottom="0.75" header="0.3" footer="0.3"/>
  <pageSetup orientation="portrait" horizontalDpi="0" verticalDpi="0"/>
  <drawing xmlns:r="http://schemas.openxmlformats.org/officeDocument/2006/relationships" r:id="rId1"/>
  <legacyDrawing xmlns:r="http://schemas.openxmlformats.org/officeDocument/2006/relationships" r:id="anysvml"/>
</worksheet>
</file>

<file path=xl/worksheets/sheet19.xml><?xml version="1.0" encoding="utf-8"?>
<worksheet xmlns="http://schemas.openxmlformats.org/spreadsheetml/2006/main">
  <sheetPr codeName="Sheet18">
    <outlinePr summaryBelow="1" summaryRight="1"/>
    <pageSetUpPr/>
  </sheetPr>
  <dimension ref="A1:L35"/>
  <sheetViews>
    <sheetView showRuler="0" showWhiteSpace="0" zoomScale="113" zoomScaleNormal="130" workbookViewId="0">
      <pane xSplit="1" topLeftCell="B1" activePane="topRight" state="frozen"/>
      <selection pane="topRight" activeCell="F29" sqref="F29"/>
    </sheetView>
  </sheetViews>
  <sheetFormatPr baseColWidth="8" defaultColWidth="11" defaultRowHeight="15.95"/>
  <cols>
    <col width="25.375" bestFit="1" customWidth="1" style="35" min="1" max="1"/>
    <col width="10.875" customWidth="1" style="35" min="2" max="2"/>
    <col width="23.125" customWidth="1" style="35" min="11" max="11"/>
  </cols>
  <sheetData>
    <row r="1">
      <c r="B1" t="inlineStr">
        <is>
          <t>TZ</t>
        </is>
      </c>
      <c r="C1" t="inlineStr">
        <is>
          <t>MW</t>
        </is>
      </c>
      <c r="D1" t="inlineStr">
        <is>
          <t>FPT</t>
        </is>
      </c>
      <c r="E1" t="inlineStr">
        <is>
          <t>Viettel</t>
        </is>
      </c>
      <c r="F1" t="inlineStr">
        <is>
          <t>CPS</t>
        </is>
      </c>
      <c r="G1" t="inlineStr">
        <is>
          <t>Shopdunk</t>
        </is>
      </c>
    </row>
    <row r="2">
      <c r="A2" t="inlineStr">
        <is>
          <t>iPhone 15  128GB</t>
        </is>
      </c>
      <c r="B2" s="37" t="n">
        <v>19690000</v>
      </c>
      <c r="C2" s="37" t="n">
        <v>19690000</v>
      </c>
      <c r="D2" s="42" t="n">
        <v>19690000</v>
      </c>
      <c r="E2" s="37" t="n">
        <v>19490000</v>
      </c>
      <c r="F2" s="40" t="n">
        <v>19190000</v>
      </c>
      <c r="G2" s="4" t="n">
        <v>19390000</v>
      </c>
    </row>
    <row r="3">
      <c r="A3" t="inlineStr">
        <is>
          <t>iPhone 15  Plus 128GB</t>
        </is>
      </c>
      <c r="B3" s="37" t="n">
        <v>22690000</v>
      </c>
      <c r="C3" s="37" t="n">
        <v>22690000</v>
      </c>
      <c r="D3" s="42" t="n">
        <v>22590000</v>
      </c>
      <c r="E3" s="37" t="n">
        <v>22490000</v>
      </c>
      <c r="F3" s="38" t="n">
        <v>22090000</v>
      </c>
      <c r="G3" s="4" t="n">
        <v>22250000</v>
      </c>
      <c r="J3" t="inlineStr">
        <is>
          <t xml:space="preserve">MW </t>
        </is>
      </c>
      <c r="K3" t="inlineStr">
        <is>
          <t>Duy</t>
        </is>
      </c>
      <c r="L3" t="b">
        <v>1</v>
      </c>
    </row>
    <row r="4">
      <c r="A4" t="inlineStr">
        <is>
          <t>iPhone 15 Pro  128GB</t>
        </is>
      </c>
      <c r="B4" s="3" t="n">
        <v>24890000</v>
      </c>
      <c r="C4" s="42" t="n">
        <v>24890000</v>
      </c>
      <c r="D4" s="42" t="n">
        <v>24790000</v>
      </c>
      <c r="E4" s="37" t="n">
        <v>23990000</v>
      </c>
      <c r="F4" s="40" t="n">
        <v>24290000</v>
      </c>
      <c r="G4" s="3" t="n">
        <v>24290000</v>
      </c>
      <c r="J4" t="inlineStr">
        <is>
          <t>TZ</t>
        </is>
      </c>
      <c r="K4" t="inlineStr">
        <is>
          <t>Nghĩa</t>
        </is>
      </c>
      <c r="L4" t="b">
        <v>1</v>
      </c>
    </row>
    <row r="5">
      <c r="A5" t="inlineStr">
        <is>
          <t>iPhone 15 Pro Max 256GB</t>
        </is>
      </c>
      <c r="B5" s="3" t="n">
        <v>29490000</v>
      </c>
      <c r="C5" s="42" t="n">
        <v>29490000</v>
      </c>
      <c r="D5" s="3" t="n">
        <v>29290000</v>
      </c>
      <c r="E5" s="40" t="n">
        <v>28700000</v>
      </c>
      <c r="F5" s="40" t="n">
        <v>28890000</v>
      </c>
      <c r="G5" s="4" t="n">
        <v>28850000</v>
      </c>
      <c r="J5" t="inlineStr">
        <is>
          <t>FPT</t>
        </is>
      </c>
      <c r="K5" t="inlineStr">
        <is>
          <t>Việt</t>
        </is>
      </c>
      <c r="L5" t="b">
        <v>1</v>
      </c>
    </row>
    <row r="6">
      <c r="A6" t="inlineStr">
        <is>
          <t>iPhone 14 Plus 128GB</t>
        </is>
      </c>
      <c r="B6" s="3" t="n">
        <v>19890000</v>
      </c>
      <c r="C6" s="42" t="n">
        <v>19890000</v>
      </c>
      <c r="D6" s="4" t="n">
        <v>19890000</v>
      </c>
      <c r="E6" s="37" t="n">
        <v>19690000</v>
      </c>
      <c r="F6" s="39" t="n">
        <v>19890000</v>
      </c>
      <c r="G6" s="4" t="n">
        <v>19390000</v>
      </c>
      <c r="J6" t="inlineStr">
        <is>
          <t>Viettel</t>
        </is>
      </c>
      <c r="K6" t="inlineStr">
        <is>
          <t>Sơn</t>
        </is>
      </c>
      <c r="L6" t="b">
        <v>1</v>
      </c>
    </row>
    <row r="7">
      <c r="A7" t="inlineStr">
        <is>
          <t>iPhone 14 128GB</t>
        </is>
      </c>
      <c r="B7" s="3" t="n">
        <v>17090000</v>
      </c>
      <c r="C7" s="42" t="n">
        <v>17090000</v>
      </c>
      <c r="D7" s="34" t="n">
        <v>16890000</v>
      </c>
      <c r="E7" s="37" t="n">
        <v>17690000</v>
      </c>
      <c r="F7" s="39" t="n">
        <v>17190000</v>
      </c>
      <c r="G7" s="4" t="n">
        <v>17290000</v>
      </c>
      <c r="J7" t="inlineStr">
        <is>
          <t>CPS</t>
        </is>
      </c>
      <c r="K7" t="inlineStr">
        <is>
          <t>Trang</t>
        </is>
      </c>
      <c r="L7" t="b">
        <v>1</v>
      </c>
    </row>
    <row r="8">
      <c r="A8" t="inlineStr">
        <is>
          <t>iPhone 13  128GB</t>
        </is>
      </c>
      <c r="B8" s="37" t="n">
        <v>13890000</v>
      </c>
      <c r="C8" s="37" t="n">
        <v>13890000</v>
      </c>
      <c r="D8" s="39" t="n">
        <v>13890000</v>
      </c>
      <c r="E8" s="37" t="n">
        <v>13690000</v>
      </c>
      <c r="F8" s="34" t="n">
        <v>13850000</v>
      </c>
      <c r="G8" s="4" t="n">
        <v>13690000</v>
      </c>
      <c r="J8" t="inlineStr">
        <is>
          <t>ShopDunk</t>
        </is>
      </c>
      <c r="K8" t="inlineStr">
        <is>
          <t>Đạt</t>
        </is>
      </c>
      <c r="L8" t="b">
        <v>1</v>
      </c>
    </row>
    <row r="9">
      <c r="A9" t="inlineStr">
        <is>
          <t>iPhone 12 64GB</t>
        </is>
      </c>
      <c r="B9" s="3" t="n">
        <v>11590000</v>
      </c>
      <c r="C9" s="42" t="n">
        <v>11590000</v>
      </c>
      <c r="D9" s="3" t="n">
        <v>10890000</v>
      </c>
      <c r="E9" s="37" t="n">
        <v>11390000</v>
      </c>
      <c r="F9" s="34" t="n">
        <v>10990000</v>
      </c>
      <c r="G9" s="4" t="n">
        <v>12290000</v>
      </c>
    </row>
    <row r="10">
      <c r="A10" t="inlineStr">
        <is>
          <t>iPhone 11 64GB</t>
        </is>
      </c>
      <c r="B10" s="3" t="n">
        <v>8990000</v>
      </c>
      <c r="C10" s="42" t="n">
        <v>8990000</v>
      </c>
      <c r="D10" s="4" t="n">
        <v>8840000</v>
      </c>
      <c r="E10" s="37" t="n">
        <v>8490000</v>
      </c>
      <c r="F10" s="39" t="n">
        <v>8650000</v>
      </c>
      <c r="G10" s="3" t="n">
        <v>8690000</v>
      </c>
    </row>
    <row r="11">
      <c r="A11" t="inlineStr">
        <is>
          <t>iPad Air 5 M1 64GB Wifi</t>
        </is>
      </c>
      <c r="B11" s="3" t="inlineStr">
        <is>
          <t>OOS</t>
        </is>
      </c>
      <c r="C11" s="37" t="inlineStr">
        <is>
          <t>OOS</t>
        </is>
      </c>
      <c r="D11" s="4" t="n">
        <v>13890000</v>
      </c>
      <c r="E11" s="40" t="n">
        <v>13990000</v>
      </c>
      <c r="F11" s="39" t="n">
        <v>14890000</v>
      </c>
      <c r="G11" s="4" t="n">
        <v>14290000</v>
      </c>
    </row>
    <row r="12">
      <c r="A12" t="inlineStr">
        <is>
          <t>iPad Mini 6 64GB Wifi</t>
        </is>
      </c>
      <c r="B12" s="3" t="n">
        <v>12890000</v>
      </c>
      <c r="C12" s="37" t="inlineStr">
        <is>
          <t>OOS</t>
        </is>
      </c>
      <c r="D12" s="4" t="n">
        <v>12690000</v>
      </c>
      <c r="E12" s="37" t="inlineStr">
        <is>
          <t>N/A</t>
        </is>
      </c>
      <c r="F12" s="34" t="n">
        <v>12690000</v>
      </c>
      <c r="G12" s="4" t="n">
        <v>12650000</v>
      </c>
    </row>
    <row r="13">
      <c r="A13" t="inlineStr">
        <is>
          <t>iPad Gen 10th 64GB Wifi</t>
        </is>
      </c>
      <c r="B13" s="3" t="n">
        <v>9990000</v>
      </c>
      <c r="C13" s="42" t="n">
        <v>9990000</v>
      </c>
      <c r="D13" s="3" t="n">
        <v>9740000</v>
      </c>
      <c r="E13" s="37" t="n">
        <v>9490000</v>
      </c>
      <c r="F13" s="34" t="n">
        <v>9690000</v>
      </c>
      <c r="G13" s="4" t="n">
        <v>9490000</v>
      </c>
    </row>
    <row r="14">
      <c r="A14" t="inlineStr">
        <is>
          <t>iPad Gen 9th  64GB Wifi</t>
        </is>
      </c>
      <c r="B14" s="3" t="n">
        <v>7190000</v>
      </c>
      <c r="C14" s="42" t="n">
        <v>7190000</v>
      </c>
      <c r="D14" s="4" t="n">
        <v>7140000</v>
      </c>
      <c r="E14" s="37" t="n">
        <v>6990000</v>
      </c>
      <c r="F14" s="39" t="n">
        <v>7090000</v>
      </c>
      <c r="G14" s="4" t="n">
        <v>7090000</v>
      </c>
    </row>
    <row r="15">
      <c r="A15" t="inlineStr">
        <is>
          <t>iPad Air M2  11" 128 GB Wifi</t>
        </is>
      </c>
      <c r="B15" s="3" t="n">
        <v>16990000</v>
      </c>
      <c r="C15" s="37" t="inlineStr">
        <is>
          <t>OOS</t>
        </is>
      </c>
      <c r="D15" s="4" t="n">
        <v>16890000</v>
      </c>
      <c r="E15" s="40" t="n">
        <v>16325000</v>
      </c>
      <c r="F15" s="39" t="n">
        <v>16790000</v>
      </c>
      <c r="G15" s="3" t="n">
        <v>16390000</v>
      </c>
    </row>
    <row r="16">
      <c r="A16" t="inlineStr">
        <is>
          <t>iPad Air M2  13" 128 GB Wifi</t>
        </is>
      </c>
      <c r="B16" s="3" t="n">
        <v>22490000</v>
      </c>
      <c r="C16" s="42" t="n">
        <v>22290000</v>
      </c>
      <c r="D16" s="4" t="n">
        <v>22390000</v>
      </c>
      <c r="E16" s="38" t="n">
        <v>21275000</v>
      </c>
      <c r="F16" s="39" t="n">
        <v>21690000</v>
      </c>
      <c r="G16" s="4" t="n">
        <v>21490000</v>
      </c>
    </row>
    <row r="17">
      <c r="A17" t="inlineStr">
        <is>
          <t>iPad Pro  M4  11" 256 GB Wifi</t>
        </is>
      </c>
      <c r="B17" s="37" t="n">
        <v>27790000</v>
      </c>
      <c r="C17" s="37" t="n">
        <v>27790000</v>
      </c>
      <c r="D17" s="3" t="n">
        <v>27590000</v>
      </c>
      <c r="E17" s="40" t="n">
        <v>27215000</v>
      </c>
      <c r="F17" s="39" t="n">
        <v>27590000</v>
      </c>
      <c r="G17" s="4" t="n">
        <v>27190000</v>
      </c>
    </row>
    <row r="18">
      <c r="A18" t="inlineStr">
        <is>
          <t>iPad Pro  M4  13" 256 GB Wifi</t>
        </is>
      </c>
      <c r="B18" s="3" t="n">
        <v>37290000</v>
      </c>
      <c r="C18" s="3" t="n">
        <v>37290000</v>
      </c>
      <c r="D18" s="4" t="n">
        <v>37690000</v>
      </c>
      <c r="E18" s="37" t="n">
        <v>36490000</v>
      </c>
      <c r="F18" s="39" t="n">
        <v>36990000</v>
      </c>
      <c r="G18" s="4" t="n">
        <v>36890000</v>
      </c>
    </row>
    <row r="19">
      <c r="A19" t="inlineStr">
        <is>
          <t>AW SE 2023 (40mm GPS)</t>
        </is>
      </c>
      <c r="B19" s="3" t="n">
        <v>6090000</v>
      </c>
      <c r="C19" s="3" t="n">
        <v>6090000</v>
      </c>
      <c r="D19" s="4" t="n">
        <v>5940000</v>
      </c>
      <c r="E19" s="40" t="n">
        <v>5690000</v>
      </c>
      <c r="F19" s="39" t="n">
        <v>5990000</v>
      </c>
      <c r="G19" s="4" t="n">
        <v>5890000</v>
      </c>
    </row>
    <row r="20">
      <c r="A20" t="inlineStr">
        <is>
          <t>AW SE 2023 (40mm LTE)</t>
        </is>
      </c>
      <c r="B20" s="3" t="n">
        <v>7490000</v>
      </c>
      <c r="C20" s="3" t="n">
        <v>7490000</v>
      </c>
      <c r="D20" s="4" t="n">
        <v>7340000</v>
      </c>
      <c r="E20" s="37" t="n">
        <v>7190000</v>
      </c>
      <c r="F20" s="39" t="n">
        <v>7390000</v>
      </c>
      <c r="G20" s="4" t="n">
        <v>7390000</v>
      </c>
    </row>
    <row r="21">
      <c r="A21" t="inlineStr">
        <is>
          <t>AW SE 2023 (44mm GPS)</t>
        </is>
      </c>
      <c r="B21" s="3" t="n">
        <v>6990000</v>
      </c>
      <c r="C21" s="3" t="n">
        <v>6990000</v>
      </c>
      <c r="D21" s="4" t="n">
        <v>6940000</v>
      </c>
      <c r="E21" s="37" t="n">
        <v>6590000</v>
      </c>
      <c r="F21" s="34" t="n">
        <v>6990000</v>
      </c>
      <c r="G21" s="4" t="n">
        <v>6790000</v>
      </c>
    </row>
    <row r="22">
      <c r="A22" t="inlineStr">
        <is>
          <t>AW SE 2023 (44mm LTE)</t>
        </is>
      </c>
      <c r="B22" s="3" t="n">
        <v>8290000</v>
      </c>
      <c r="C22" s="37" t="inlineStr">
        <is>
          <t>OOS</t>
        </is>
      </c>
      <c r="D22" s="4" t="n">
        <v>8140000</v>
      </c>
      <c r="E22" s="40" t="n">
        <v>7990000</v>
      </c>
      <c r="F22" s="39" t="n">
        <v>8190000</v>
      </c>
      <c r="G22" s="4" t="n">
        <v>8090000</v>
      </c>
    </row>
    <row r="23">
      <c r="A23" t="inlineStr">
        <is>
          <t>AW S9 (41mm GPS)</t>
        </is>
      </c>
      <c r="B23" s="3" t="n">
        <v>9890000</v>
      </c>
      <c r="C23" s="3" t="n">
        <v>9890000</v>
      </c>
      <c r="D23" s="4" t="n">
        <v>9440000</v>
      </c>
      <c r="E23" s="40" t="n">
        <v>8990000</v>
      </c>
      <c r="F23" s="34" t="n">
        <v>9590000</v>
      </c>
      <c r="G23" s="4" t="n">
        <v>9390000</v>
      </c>
    </row>
    <row r="24">
      <c r="A24" t="inlineStr">
        <is>
          <t>AW S9 (41mm CEL)</t>
        </is>
      </c>
      <c r="B24" s="3" t="n">
        <v>12490000</v>
      </c>
      <c r="C24" s="37" t="inlineStr">
        <is>
          <t>OOS</t>
        </is>
      </c>
      <c r="D24" s="4" t="n">
        <v>12190000</v>
      </c>
      <c r="E24" s="40" t="n">
        <v>11690000</v>
      </c>
      <c r="F24" s="39" t="n">
        <v>12590000</v>
      </c>
      <c r="G24" s="4" t="n">
        <v>11890000</v>
      </c>
    </row>
    <row r="25">
      <c r="A25" t="inlineStr">
        <is>
          <t>AW S9 (45mm GPS)</t>
        </is>
      </c>
      <c r="B25" s="3" t="n">
        <v>10890000</v>
      </c>
      <c r="C25" s="3" t="n">
        <v>10890000</v>
      </c>
      <c r="D25" s="4" t="n">
        <v>10490000</v>
      </c>
      <c r="E25" s="40" t="n">
        <v>9790000</v>
      </c>
      <c r="F25" s="34" t="n">
        <v>10690000</v>
      </c>
      <c r="G25" s="4" t="n">
        <v>10390000</v>
      </c>
    </row>
    <row r="26">
      <c r="A26" t="inlineStr">
        <is>
          <t>AW S9 (45mm CEL)</t>
        </is>
      </c>
      <c r="B26" s="3" t="n">
        <v>13690000</v>
      </c>
      <c r="C26" s="37" t="inlineStr">
        <is>
          <t>OOS</t>
        </is>
      </c>
      <c r="D26" s="4" t="n">
        <v>13390000</v>
      </c>
      <c r="E26" s="40" t="n">
        <v>12690000</v>
      </c>
      <c r="F26" s="39" t="inlineStr">
        <is>
          <t>OOS</t>
        </is>
      </c>
      <c r="G26" s="4" t="n">
        <v>12890000</v>
      </c>
    </row>
    <row r="27">
      <c r="A27" t="inlineStr">
        <is>
          <t>AW Ultra 2 (49mm)</t>
        </is>
      </c>
      <c r="B27" s="3" t="n">
        <v>21190000</v>
      </c>
      <c r="C27" s="3" t="n">
        <v>21190000</v>
      </c>
      <c r="D27" s="4" t="n">
        <v>20590000</v>
      </c>
      <c r="E27" s="40" t="n">
        <v>19990000</v>
      </c>
      <c r="F27" s="39" t="n">
        <v>21290000</v>
      </c>
      <c r="G27" s="4" t="n">
        <v>20890000</v>
      </c>
    </row>
    <row r="28">
      <c r="A28" t="inlineStr">
        <is>
          <t>AirPods Pro 2 - 2023 (C-Type)</t>
        </is>
      </c>
      <c r="B28" s="37" t="n">
        <v>5690000</v>
      </c>
      <c r="C28" s="37" t="n">
        <v>5690000</v>
      </c>
      <c r="D28" s="39" t="n">
        <v>5640000</v>
      </c>
      <c r="E28" s="38" t="n">
        <v>5290000</v>
      </c>
      <c r="F28" s="39" t="n">
        <v>5550000</v>
      </c>
      <c r="G28" s="4" t="n">
        <v>5450000</v>
      </c>
      <c r="H28" s="41" t="n"/>
    </row>
    <row r="29">
      <c r="A29" t="inlineStr">
        <is>
          <t>AirPods 3 with charging case</t>
        </is>
      </c>
      <c r="B29" s="37" t="n">
        <v>3990000</v>
      </c>
      <c r="C29" s="37" t="n">
        <v>3990000</v>
      </c>
      <c r="D29" s="25" t="n">
        <v>3790000</v>
      </c>
      <c r="E29" s="40" t="n">
        <v>3890000</v>
      </c>
      <c r="F29" s="39" t="n">
        <v>3850000</v>
      </c>
      <c r="G29" s="4" t="inlineStr">
        <is>
          <t>3.890.000</t>
        </is>
      </c>
    </row>
    <row r="30">
      <c r="A30" t="inlineStr">
        <is>
          <t>AirPods 2 with charging case</t>
        </is>
      </c>
      <c r="B30" s="37" t="n">
        <v>2690000</v>
      </c>
      <c r="C30" s="37" t="n">
        <v>2690000</v>
      </c>
      <c r="D30" s="39" t="n">
        <v>2690000</v>
      </c>
      <c r="E30" s="38" t="n">
        <v>2690000</v>
      </c>
      <c r="F30" s="39" t="n">
        <v>2690000</v>
      </c>
      <c r="G30" s="4" t="n">
        <v>2750000</v>
      </c>
    </row>
    <row r="31">
      <c r="A31" t="inlineStr">
        <is>
          <t>MacBook Air 13" M1 8/256Gb</t>
        </is>
      </c>
      <c r="B31" s="3" t="n">
        <v>18490000</v>
      </c>
      <c r="C31" s="42" t="n">
        <v>18490000</v>
      </c>
      <c r="D31" s="39" t="n">
        <v>18290000</v>
      </c>
      <c r="E31" s="37" t="n"/>
      <c r="F31" s="39" t="n">
        <v>18490000</v>
      </c>
      <c r="G31" s="4" t="n">
        <v>17750000</v>
      </c>
    </row>
    <row r="32">
      <c r="A32" t="inlineStr">
        <is>
          <t>MacBook Air 13" M2 8/256GB</t>
        </is>
      </c>
      <c r="B32" s="3" t="n">
        <v>23090000</v>
      </c>
      <c r="C32" s="38" t="n">
        <v>23090000</v>
      </c>
      <c r="D32" s="3" t="n">
        <v>22790000</v>
      </c>
      <c r="E32" s="37" t="n"/>
      <c r="F32" s="39" t="n">
        <v>23290000</v>
      </c>
      <c r="G32" s="4" t="n">
        <v>22990000</v>
      </c>
    </row>
    <row r="33">
      <c r="A33" t="inlineStr">
        <is>
          <t>MacBook Air 13" M3 8/256GB</t>
        </is>
      </c>
      <c r="B33" s="3" t="n">
        <v>26490000</v>
      </c>
      <c r="C33" s="42" t="n">
        <v>26490000</v>
      </c>
      <c r="D33" s="34" t="n">
        <v>26190000</v>
      </c>
      <c r="E33" s="37" t="n"/>
      <c r="F33" s="34" t="n">
        <v>26690000</v>
      </c>
      <c r="G33" s="4" t="n">
        <v>26190000</v>
      </c>
    </row>
    <row r="34">
      <c r="A34" t="inlineStr">
        <is>
          <t>MacBook Air 15" M3 8/256GB</t>
        </is>
      </c>
      <c r="B34" s="3" t="n">
        <v>31390000</v>
      </c>
      <c r="C34" s="38" t="n">
        <v>31390000</v>
      </c>
      <c r="D34" s="4" t="n">
        <v>31090000</v>
      </c>
      <c r="E34" s="37" t="n"/>
      <c r="F34" s="39" t="n">
        <v>31590000</v>
      </c>
      <c r="G34" s="4" t="n">
        <v>30790000</v>
      </c>
    </row>
    <row r="35">
      <c r="A35" t="inlineStr">
        <is>
          <t>MacBook Pro 14" M3 8/512GB</t>
        </is>
      </c>
      <c r="B35" s="37" t="n">
        <v>38290000</v>
      </c>
      <c r="C35" s="37" t="n">
        <v>38290000</v>
      </c>
      <c r="D35" s="4" t="n">
        <v>38290000</v>
      </c>
      <c r="E35" s="37" t="n"/>
      <c r="F35" s="39" t="n">
        <v>38490000</v>
      </c>
      <c r="G35" s="4" t="n">
        <v>37790000</v>
      </c>
    </row>
  </sheetData>
  <pageMargins left="0.7" right="0.7" top="0.75" bottom="0.75" header="0.3" footer="0.3"/>
  <pageSetup orientation="portrait" horizontalDpi="0" verticalDpi="0"/>
  <drawing xmlns:r="http://schemas.openxmlformats.org/officeDocument/2006/relationships" r:id="rId1"/>
  <legacyDrawing xmlns:r="http://schemas.openxmlformats.org/officeDocument/2006/relationships" r:id="anysvml"/>
</worksheet>
</file>

<file path=xl/worksheets/sheet20.xml><?xml version="1.0" encoding="utf-8"?>
<worksheet xmlns="http://schemas.openxmlformats.org/spreadsheetml/2006/main">
  <sheetPr codeName="Sheet19">
    <outlinePr summaryBelow="1" summaryRight="1"/>
    <pageSetUpPr/>
  </sheetPr>
  <dimension ref="A1:L35"/>
  <sheetViews>
    <sheetView topLeftCell="A5" workbookViewId="0">
      <selection activeCell="L3" sqref="L3:L8"/>
    </sheetView>
  </sheetViews>
  <sheetFormatPr baseColWidth="8" defaultColWidth="8.875" defaultRowHeight="15.95"/>
  <cols>
    <col width="25.125" bestFit="1" customWidth="1" style="35" min="1" max="1"/>
    <col width="13" customWidth="1" style="35" min="2" max="2"/>
    <col width="10.125" bestFit="1" customWidth="1" style="35" min="3" max="7"/>
  </cols>
  <sheetData>
    <row r="1">
      <c r="B1" t="inlineStr">
        <is>
          <t>TZ</t>
        </is>
      </c>
      <c r="C1" t="inlineStr">
        <is>
          <t>MW</t>
        </is>
      </c>
      <c r="D1" t="inlineStr">
        <is>
          <t>FPT</t>
        </is>
      </c>
      <c r="E1" t="inlineStr">
        <is>
          <t>Viettel</t>
        </is>
      </c>
      <c r="F1" t="inlineStr">
        <is>
          <t>CPS</t>
        </is>
      </c>
      <c r="G1" t="inlineStr">
        <is>
          <t>Shopdunk</t>
        </is>
      </c>
    </row>
    <row r="2">
      <c r="A2" t="inlineStr">
        <is>
          <t>iPhone 15  128GB</t>
        </is>
      </c>
      <c r="B2" s="3" t="n">
        <v>19590000</v>
      </c>
      <c r="C2" s="42" t="n">
        <v>19590000</v>
      </c>
      <c r="D2" s="42" t="n">
        <v>19490000</v>
      </c>
      <c r="E2" s="37" t="n">
        <v>19490000</v>
      </c>
      <c r="F2" s="40" t="n">
        <v>19190000</v>
      </c>
      <c r="G2" s="34" t="inlineStr">
        <is>
          <t>18.990.000</t>
        </is>
      </c>
    </row>
    <row r="3">
      <c r="A3" t="inlineStr">
        <is>
          <t>iPhone 15  Plus 128GB</t>
        </is>
      </c>
      <c r="B3" s="3" t="n">
        <v>22590000</v>
      </c>
      <c r="C3" s="42" t="n">
        <v>22590000</v>
      </c>
      <c r="D3" s="42" t="n">
        <v>22490000</v>
      </c>
      <c r="E3" s="37" t="n">
        <v>22490000</v>
      </c>
      <c r="F3" s="40" t="n">
        <v>22090000</v>
      </c>
      <c r="G3" s="4" t="n">
        <v>22250000</v>
      </c>
      <c r="J3" t="inlineStr">
        <is>
          <t xml:space="preserve">MW </t>
        </is>
      </c>
      <c r="K3" t="inlineStr">
        <is>
          <t>Duy</t>
        </is>
      </c>
      <c r="L3" t="b">
        <v>1</v>
      </c>
    </row>
    <row r="4">
      <c r="A4" t="inlineStr">
        <is>
          <t>iPhone 15 Pro  128GB</t>
        </is>
      </c>
      <c r="B4" s="37" t="n">
        <v>24890000</v>
      </c>
      <c r="C4" s="37" t="n">
        <v>24890000</v>
      </c>
      <c r="D4" s="43" t="n">
        <v>24790000</v>
      </c>
      <c r="E4" s="37" t="n">
        <v>24490000</v>
      </c>
      <c r="F4" s="40" t="n">
        <v>24290000</v>
      </c>
      <c r="G4" s="4" t="n">
        <v>24290000</v>
      </c>
      <c r="J4" t="inlineStr">
        <is>
          <t>TZ</t>
        </is>
      </c>
      <c r="K4" t="inlineStr">
        <is>
          <t>Nghĩa</t>
        </is>
      </c>
      <c r="L4" t="b">
        <v>1</v>
      </c>
    </row>
    <row r="5">
      <c r="A5" t="inlineStr">
        <is>
          <t>iPhone 15 Pro Max 256GB</t>
        </is>
      </c>
      <c r="B5" s="3" t="n">
        <v>29390000</v>
      </c>
      <c r="C5" s="42" t="n">
        <v>29390000</v>
      </c>
      <c r="D5" s="25" t="n">
        <v>29290000</v>
      </c>
      <c r="E5" s="40" t="n">
        <v>28700000</v>
      </c>
      <c r="F5" s="40" t="n">
        <v>28890000</v>
      </c>
      <c r="G5" s="4" t="n">
        <v>28850000</v>
      </c>
      <c r="J5" t="inlineStr">
        <is>
          <t>FPT</t>
        </is>
      </c>
      <c r="K5" t="inlineStr">
        <is>
          <t>Việt</t>
        </is>
      </c>
      <c r="L5" t="b">
        <v>1</v>
      </c>
    </row>
    <row r="6">
      <c r="A6" t="inlineStr">
        <is>
          <t>iPhone 14 Plus 128GB</t>
        </is>
      </c>
      <c r="B6" s="37" t="n">
        <v>19890000</v>
      </c>
      <c r="C6" s="37" t="n">
        <v>19890000</v>
      </c>
      <c r="D6" s="3" t="n">
        <v>19690000</v>
      </c>
      <c r="E6" s="37" t="n">
        <v>19690000</v>
      </c>
      <c r="F6" s="39" t="n">
        <v>19890000</v>
      </c>
      <c r="G6" s="4" t="n">
        <v>19390000</v>
      </c>
      <c r="J6" t="inlineStr">
        <is>
          <t>Viettel</t>
        </is>
      </c>
      <c r="K6" t="inlineStr">
        <is>
          <t>Sơn</t>
        </is>
      </c>
      <c r="L6" t="b">
        <v>1</v>
      </c>
    </row>
    <row r="7">
      <c r="A7" t="inlineStr">
        <is>
          <t>iPhone 14 128GB</t>
        </is>
      </c>
      <c r="B7" s="37" t="n">
        <v>17090000</v>
      </c>
      <c r="C7" s="37" t="n">
        <v>17090000</v>
      </c>
      <c r="D7" s="39" t="n">
        <v>16890000</v>
      </c>
      <c r="E7" s="37" t="n">
        <v>17690000</v>
      </c>
      <c r="F7" s="39" t="n">
        <v>17190000</v>
      </c>
      <c r="G7" s="4" t="n">
        <v>17290000</v>
      </c>
      <c r="J7" t="inlineStr">
        <is>
          <t>CPS</t>
        </is>
      </c>
      <c r="K7" t="inlineStr">
        <is>
          <t>Trang</t>
        </is>
      </c>
      <c r="L7" t="b">
        <v>1</v>
      </c>
    </row>
    <row r="8">
      <c r="A8" t="inlineStr">
        <is>
          <t>iPhone 13  128GB</t>
        </is>
      </c>
      <c r="B8" s="37" t="n">
        <v>13890000</v>
      </c>
      <c r="C8" s="37" t="n">
        <v>13890000</v>
      </c>
      <c r="D8" s="34" t="n">
        <v>13790000</v>
      </c>
      <c r="E8" s="37" t="n">
        <v>13690000</v>
      </c>
      <c r="F8" s="39" t="n">
        <v>13850000</v>
      </c>
      <c r="G8" s="4" t="n">
        <v>13690000</v>
      </c>
      <c r="J8" t="inlineStr">
        <is>
          <t>ShopDunk</t>
        </is>
      </c>
      <c r="K8" t="inlineStr">
        <is>
          <t>Đạt</t>
        </is>
      </c>
      <c r="L8" t="b">
        <v>1</v>
      </c>
    </row>
    <row r="9">
      <c r="A9" t="inlineStr">
        <is>
          <t>iPhone 12 64GB</t>
        </is>
      </c>
      <c r="B9" s="37" t="n">
        <v>11590000</v>
      </c>
      <c r="C9" s="37" t="n">
        <v>11590000</v>
      </c>
      <c r="D9" s="3" t="n">
        <v>10990000</v>
      </c>
      <c r="E9" s="37" t="n">
        <v>11390000</v>
      </c>
      <c r="F9" s="39" t="n">
        <v>10990000</v>
      </c>
      <c r="G9" s="4" t="n">
        <v>12290000</v>
      </c>
    </row>
    <row r="10">
      <c r="A10" t="inlineStr">
        <is>
          <t>iPhone 11 64GB</t>
        </is>
      </c>
      <c r="B10" s="37" t="n">
        <v>8990000</v>
      </c>
      <c r="C10" s="37" t="n">
        <v>8990000</v>
      </c>
      <c r="D10" s="4" t="n">
        <v>8840000</v>
      </c>
      <c r="E10" s="37" t="n">
        <v>8490000</v>
      </c>
      <c r="F10" s="39" t="n">
        <v>8650000</v>
      </c>
      <c r="G10" s="3" t="n">
        <v>8790000</v>
      </c>
    </row>
    <row r="11">
      <c r="A11" t="inlineStr">
        <is>
          <t>iPad Air 5 M1 64GB Wifi</t>
        </is>
      </c>
      <c r="B11" s="37" t="inlineStr">
        <is>
          <t>OOS</t>
        </is>
      </c>
      <c r="C11" s="37" t="inlineStr">
        <is>
          <t>OOS</t>
        </is>
      </c>
      <c r="D11" s="4" t="inlineStr">
        <is>
          <t>OOS</t>
        </is>
      </c>
      <c r="E11" s="40" t="n">
        <v>13990000</v>
      </c>
      <c r="F11" s="39" t="n">
        <v>14890000</v>
      </c>
      <c r="G11" s="4" t="n">
        <v>14290000</v>
      </c>
    </row>
    <row r="12">
      <c r="A12" t="inlineStr">
        <is>
          <t>iPad Mini 6 64GB Wifi</t>
        </is>
      </c>
      <c r="B12" s="37" t="n">
        <v>12890000</v>
      </c>
      <c r="C12" s="37" t="inlineStr">
        <is>
          <t>OOS</t>
        </is>
      </c>
      <c r="D12" s="4" t="n">
        <v>12690000</v>
      </c>
      <c r="E12" s="37" t="inlineStr">
        <is>
          <t>N/A</t>
        </is>
      </c>
      <c r="F12" s="39" t="n">
        <v>12690000</v>
      </c>
      <c r="G12" s="4" t="n">
        <v>12650000</v>
      </c>
    </row>
    <row r="13">
      <c r="A13" t="inlineStr">
        <is>
          <t>iPad Gen 10th 64GB Wifi</t>
        </is>
      </c>
      <c r="B13" s="37" t="n">
        <v>9990000</v>
      </c>
      <c r="C13" s="37" t="n">
        <v>9990000</v>
      </c>
      <c r="D13" s="25" t="n">
        <v>9740000</v>
      </c>
      <c r="E13" s="37" t="n">
        <v>9490000</v>
      </c>
      <c r="F13" s="39" t="n">
        <v>9690000</v>
      </c>
      <c r="G13" s="4" t="n">
        <v>9490000</v>
      </c>
    </row>
    <row r="14">
      <c r="A14" t="inlineStr">
        <is>
          <t>iPad Gen 9th  64GB Wifi</t>
        </is>
      </c>
      <c r="B14" s="37" t="n">
        <v>7190000</v>
      </c>
      <c r="C14" s="37" t="n">
        <v>7190000</v>
      </c>
      <c r="D14" s="4" t="n">
        <v>7140000</v>
      </c>
      <c r="E14" s="37" t="n">
        <v>6990000</v>
      </c>
      <c r="F14" s="39" t="n">
        <v>7090000</v>
      </c>
      <c r="G14" s="4" t="n">
        <v>7090000</v>
      </c>
    </row>
    <row r="15">
      <c r="A15" t="inlineStr">
        <is>
          <t>iPad Air M2  11" 128 GB Wifi</t>
        </is>
      </c>
      <c r="B15" s="37" t="n">
        <v>16990000</v>
      </c>
      <c r="C15" s="37" t="inlineStr">
        <is>
          <t>OOS</t>
        </is>
      </c>
      <c r="D15" s="4" t="n">
        <v>16890000</v>
      </c>
      <c r="E15" s="40" t="n">
        <v>16325000</v>
      </c>
      <c r="F15" s="34" t="n">
        <v>16790000</v>
      </c>
      <c r="G15" s="4" t="n">
        <v>16390000</v>
      </c>
    </row>
    <row r="16">
      <c r="A16" t="inlineStr">
        <is>
          <t>iPad Air M2  13" 128 GB Wifi</t>
        </is>
      </c>
      <c r="B16" s="37" t="n">
        <v>22490000</v>
      </c>
      <c r="C16" s="37" t="n">
        <v>22490000</v>
      </c>
      <c r="D16" s="3" t="n">
        <v>21890000</v>
      </c>
      <c r="E16" s="40" t="n">
        <v>21275000</v>
      </c>
      <c r="F16" s="39" t="n">
        <v>21690000</v>
      </c>
      <c r="G16" s="3" t="n">
        <v>21990000</v>
      </c>
    </row>
    <row r="17">
      <c r="A17" t="inlineStr">
        <is>
          <t>iPad Pro  M4  11" 256 GB Wifi</t>
        </is>
      </c>
      <c r="B17" s="37" t="n">
        <v>27790000</v>
      </c>
      <c r="C17" s="37" t="n">
        <v>27790000</v>
      </c>
      <c r="D17" s="25" t="n">
        <v>27590000</v>
      </c>
      <c r="E17" s="40" t="n">
        <v>27215000</v>
      </c>
      <c r="F17" s="39" t="n">
        <v>27590000</v>
      </c>
      <c r="G17" s="4" t="n">
        <v>27190000</v>
      </c>
    </row>
    <row r="18">
      <c r="A18" t="inlineStr">
        <is>
          <t>iPad Pro  M4  13" 256 GB Wifi</t>
        </is>
      </c>
      <c r="B18" s="37" t="n">
        <v>37290000</v>
      </c>
      <c r="C18" s="37" t="n">
        <v>37290000</v>
      </c>
      <c r="D18" s="3" t="n">
        <v>36790000</v>
      </c>
      <c r="E18" s="37" t="n">
        <v>36490000</v>
      </c>
      <c r="F18" s="39" t="n">
        <v>36990000</v>
      </c>
      <c r="G18" s="4" t="n">
        <v>36890000</v>
      </c>
    </row>
    <row r="19">
      <c r="A19" t="inlineStr">
        <is>
          <t>AW SE 2023 (40mm GPS)</t>
        </is>
      </c>
      <c r="B19" s="37" t="n">
        <v>6090000</v>
      </c>
      <c r="C19" s="37" t="n">
        <v>6090000</v>
      </c>
      <c r="D19" s="4" t="n">
        <v>5940000</v>
      </c>
      <c r="E19" s="40" t="n">
        <v>5690000</v>
      </c>
      <c r="F19" s="34" t="n">
        <v>6190000</v>
      </c>
      <c r="G19" s="4" t="n">
        <v>5890000</v>
      </c>
    </row>
    <row r="20">
      <c r="A20" t="inlineStr">
        <is>
          <t>AW SE 2023 (40mm LTE)</t>
        </is>
      </c>
      <c r="B20" s="37" t="n">
        <v>7490000</v>
      </c>
      <c r="C20" s="37" t="n">
        <v>7490000</v>
      </c>
      <c r="D20" s="4" t="n">
        <v>7340000</v>
      </c>
      <c r="E20" s="37" t="n">
        <v>7190000</v>
      </c>
      <c r="F20" s="39" t="n">
        <v>7390000</v>
      </c>
      <c r="G20" s="4" t="n">
        <v>7390000</v>
      </c>
    </row>
    <row r="21">
      <c r="A21" t="inlineStr">
        <is>
          <t>AW SE 2023 (44mm GPS)</t>
        </is>
      </c>
      <c r="B21" s="37" t="n">
        <v>6990000</v>
      </c>
      <c r="C21" s="37" t="n">
        <v>6990000</v>
      </c>
      <c r="D21" s="4" t="n">
        <v>6940000</v>
      </c>
      <c r="E21" s="37" t="n">
        <v>6590000</v>
      </c>
      <c r="F21" s="39" t="n">
        <v>6990000</v>
      </c>
      <c r="G21" s="34" t="n">
        <v>6390000</v>
      </c>
    </row>
    <row r="22">
      <c r="A22" t="inlineStr">
        <is>
          <t>AW SE 2023 (44mm LTE)</t>
        </is>
      </c>
      <c r="B22" s="37" t="n">
        <v>8290000</v>
      </c>
      <c r="C22" s="37" t="inlineStr">
        <is>
          <t>OOS</t>
        </is>
      </c>
      <c r="D22" s="4" t="n">
        <v>8140000</v>
      </c>
      <c r="E22" s="40" t="n">
        <v>7990000</v>
      </c>
      <c r="F22" s="39" t="n">
        <v>8190000</v>
      </c>
      <c r="G22" s="4" t="n">
        <v>8090000</v>
      </c>
    </row>
    <row r="23">
      <c r="A23" t="inlineStr">
        <is>
          <t>AW S9 (41mm GPS)</t>
        </is>
      </c>
      <c r="B23" s="37" t="n">
        <v>9890000</v>
      </c>
      <c r="C23" s="37" t="n">
        <v>9890000</v>
      </c>
      <c r="D23" s="4" t="n">
        <v>9440000</v>
      </c>
      <c r="E23" s="40" t="n">
        <v>8990000</v>
      </c>
      <c r="F23" s="39" t="n">
        <v>9590000</v>
      </c>
      <c r="G23" s="4" t="n">
        <v>9390000</v>
      </c>
    </row>
    <row r="24">
      <c r="A24" t="inlineStr">
        <is>
          <t>AW S9 (41mm CEL)</t>
        </is>
      </c>
      <c r="B24" s="37" t="n">
        <v>12490000</v>
      </c>
      <c r="C24" s="37" t="inlineStr">
        <is>
          <t>OOS</t>
        </is>
      </c>
      <c r="D24" s="4" t="n">
        <v>12190000</v>
      </c>
      <c r="E24" s="40" t="n">
        <v>11690000</v>
      </c>
      <c r="F24" s="39" t="n">
        <v>12590000</v>
      </c>
      <c r="G24" s="4" t="n">
        <v>11890000</v>
      </c>
    </row>
    <row r="25">
      <c r="A25" t="inlineStr">
        <is>
          <t>AW S9 (45mm GPS)</t>
        </is>
      </c>
      <c r="B25" s="37" t="n">
        <v>10890000</v>
      </c>
      <c r="C25" s="37" t="n">
        <v>10890000</v>
      </c>
      <c r="D25" s="4" t="n">
        <v>10490000</v>
      </c>
      <c r="E25" s="40" t="n">
        <v>9790000</v>
      </c>
      <c r="F25" s="39" t="n">
        <v>10690000</v>
      </c>
      <c r="G25" s="4" t="n">
        <v>10390000</v>
      </c>
    </row>
    <row r="26">
      <c r="A26" t="inlineStr">
        <is>
          <t>AW S9 (45mm CEL)</t>
        </is>
      </c>
      <c r="B26" s="37" t="n">
        <v>13690000</v>
      </c>
      <c r="C26" s="37" t="inlineStr">
        <is>
          <t>OOS</t>
        </is>
      </c>
      <c r="D26" s="4" t="n">
        <v>13390000</v>
      </c>
      <c r="E26" s="40" t="n">
        <v>12690000</v>
      </c>
      <c r="F26" s="39" t="inlineStr">
        <is>
          <t>OOS</t>
        </is>
      </c>
      <c r="G26" s="4" t="n">
        <v>12890000</v>
      </c>
    </row>
    <row r="27">
      <c r="A27" t="inlineStr">
        <is>
          <t>AW Ultra 2 (49mm)</t>
        </is>
      </c>
      <c r="B27" s="37" t="n">
        <v>21190000</v>
      </c>
      <c r="C27" s="37" t="n">
        <v>21190000</v>
      </c>
      <c r="D27" s="4" t="n">
        <v>20590000</v>
      </c>
      <c r="E27" s="40" t="n">
        <v>19990000</v>
      </c>
      <c r="F27" s="39" t="n">
        <v>21290000</v>
      </c>
      <c r="G27" s="4" t="n">
        <v>20890000</v>
      </c>
    </row>
    <row r="28">
      <c r="A28" t="inlineStr">
        <is>
          <t>AirPods Pro 2 - 2023 (C-Type)</t>
        </is>
      </c>
      <c r="B28" s="37" t="n">
        <v>5690000</v>
      </c>
      <c r="C28" s="37" t="n">
        <v>5690000</v>
      </c>
      <c r="D28" s="39" t="n">
        <v>5640000</v>
      </c>
      <c r="E28" s="38" t="n">
        <v>5390000</v>
      </c>
      <c r="F28" s="39" t="n">
        <v>5550000</v>
      </c>
      <c r="G28" s="4" t="n">
        <v>5450000</v>
      </c>
    </row>
    <row r="29">
      <c r="A29" t="inlineStr">
        <is>
          <t>AirPods 3 with charging case</t>
        </is>
      </c>
      <c r="B29" s="3" t="n">
        <v>3790000</v>
      </c>
      <c r="C29" s="42" t="n">
        <v>3790000</v>
      </c>
      <c r="D29" s="25" t="n">
        <v>3790000</v>
      </c>
      <c r="E29" s="40" t="n">
        <v>3890000</v>
      </c>
      <c r="F29" s="39" t="n">
        <v>3850000</v>
      </c>
      <c r="G29" s="4" t="inlineStr">
        <is>
          <t>3.890.000</t>
        </is>
      </c>
    </row>
    <row r="30">
      <c r="A30" t="inlineStr">
        <is>
          <t>AirPods 2 with charging case</t>
        </is>
      </c>
      <c r="B30" s="37" t="n">
        <v>2690000</v>
      </c>
      <c r="C30" s="37" t="n">
        <v>2690000</v>
      </c>
      <c r="D30" s="39" t="n">
        <v>2690000</v>
      </c>
      <c r="E30" s="40" t="n">
        <v>2690000</v>
      </c>
      <c r="F30" s="39" t="n">
        <v>2690000</v>
      </c>
      <c r="G30" s="4" t="n">
        <v>2750000</v>
      </c>
    </row>
    <row r="31">
      <c r="A31" t="inlineStr">
        <is>
          <t>MacBook Air 13" M1 8/256Gb</t>
        </is>
      </c>
      <c r="B31" s="37" t="n">
        <v>18490000</v>
      </c>
      <c r="C31" s="37" t="n">
        <v>18490000</v>
      </c>
      <c r="D31" s="39" t="n">
        <v>18290000</v>
      </c>
      <c r="E31" s="37" t="n"/>
      <c r="F31" s="39" t="n">
        <v>18490000</v>
      </c>
      <c r="G31" s="4" t="n">
        <v>17750000</v>
      </c>
    </row>
    <row r="32">
      <c r="A32" t="inlineStr">
        <is>
          <t>MacBook Air 13" M2 8/256GB</t>
        </is>
      </c>
      <c r="B32" s="37" t="n">
        <v>23090000</v>
      </c>
      <c r="C32" s="37" t="n">
        <v>23090000</v>
      </c>
      <c r="D32" s="25" t="n">
        <v>22790000</v>
      </c>
      <c r="E32" s="37" t="n"/>
      <c r="F32" s="39" t="n">
        <v>23290000</v>
      </c>
      <c r="G32" s="4" t="n">
        <v>22990000</v>
      </c>
    </row>
    <row r="33">
      <c r="A33" t="inlineStr">
        <is>
          <t>MacBook Air 13" M3 8/256GB</t>
        </is>
      </c>
      <c r="B33" s="37" t="n">
        <v>26490000</v>
      </c>
      <c r="C33" s="37" t="n">
        <v>26490000</v>
      </c>
      <c r="D33" s="39" t="n">
        <v>26190000</v>
      </c>
      <c r="E33" s="37" t="n"/>
      <c r="F33" s="39" t="n">
        <v>26690000</v>
      </c>
      <c r="G33" s="34" t="n">
        <v>26290000</v>
      </c>
    </row>
    <row r="34">
      <c r="A34" t="inlineStr">
        <is>
          <t>MacBook Air 15" M3 8/256GB</t>
        </is>
      </c>
      <c r="B34" s="37" t="n">
        <v>31390000</v>
      </c>
      <c r="C34" s="37" t="n">
        <v>31390000</v>
      </c>
      <c r="D34" s="4" t="n">
        <v>31090000</v>
      </c>
      <c r="E34" s="37" t="n"/>
      <c r="F34" s="39" t="n">
        <v>31590000</v>
      </c>
      <c r="G34" s="4" t="n">
        <v>30790000</v>
      </c>
    </row>
    <row r="35">
      <c r="A35" t="inlineStr">
        <is>
          <t>MacBook Pro 14" M3 8/512GB</t>
        </is>
      </c>
      <c r="B35" s="37" t="n">
        <v>38290000</v>
      </c>
      <c r="C35" s="37" t="n">
        <v>38290000</v>
      </c>
      <c r="D35" s="3" t="n">
        <v>37890000</v>
      </c>
      <c r="E35" s="37" t="n"/>
      <c r="F35" s="39" t="n">
        <v>38490000</v>
      </c>
      <c r="G35" s="4" t="n">
        <v>37790000</v>
      </c>
    </row>
  </sheetData>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codeName="Sheet20">
    <outlinePr summaryBelow="1" summaryRight="1"/>
    <pageSetUpPr/>
  </sheetPr>
  <dimension ref="A1:L41"/>
  <sheetViews>
    <sheetView workbookViewId="0">
      <selection activeCell="F12" sqref="F12"/>
    </sheetView>
  </sheetViews>
  <sheetFormatPr baseColWidth="8" defaultColWidth="8.875" defaultRowHeight="15.75" customHeight="1"/>
  <cols>
    <col width="25.125" bestFit="1" customWidth="1" style="35" min="1" max="1"/>
    <col width="13" customWidth="1" style="35" min="2" max="2"/>
    <col width="10.125" bestFit="1" customWidth="1" style="35" min="3" max="7"/>
  </cols>
  <sheetData>
    <row r="1" ht="15.95" customHeight="1" s="35">
      <c r="B1" t="inlineStr">
        <is>
          <t>TZ</t>
        </is>
      </c>
      <c r="C1" t="inlineStr">
        <is>
          <t>MW</t>
        </is>
      </c>
      <c r="D1" t="inlineStr">
        <is>
          <t>FPT</t>
        </is>
      </c>
      <c r="E1" t="inlineStr">
        <is>
          <t>Viettel</t>
        </is>
      </c>
      <c r="F1" t="inlineStr">
        <is>
          <t>CPS</t>
        </is>
      </c>
      <c r="G1" t="inlineStr">
        <is>
          <t>Shopdunk</t>
        </is>
      </c>
    </row>
    <row r="2" ht="15.95" customHeight="1" s="35">
      <c r="A2" t="inlineStr">
        <is>
          <t>iPhone 15  128GB</t>
        </is>
      </c>
      <c r="B2" s="37" t="n">
        <v>19590000</v>
      </c>
      <c r="C2" s="37" t="n">
        <v>19590000</v>
      </c>
      <c r="D2" s="43" t="n">
        <v>19490000</v>
      </c>
      <c r="E2" s="37" t="n">
        <v>19490000</v>
      </c>
      <c r="F2" s="38" t="n">
        <v>19090000</v>
      </c>
      <c r="G2" s="34" t="inlineStr">
        <is>
          <t>19.190.000</t>
        </is>
      </c>
    </row>
    <row r="3" ht="15.95" customHeight="1" s="35">
      <c r="A3" t="inlineStr">
        <is>
          <t>iPhone 15  Plus 128GB</t>
        </is>
      </c>
      <c r="B3" s="37" t="n">
        <v>22590000</v>
      </c>
      <c r="C3" s="37" t="n">
        <v>22590000</v>
      </c>
      <c r="D3" s="43" t="n">
        <v>22490000</v>
      </c>
      <c r="E3" s="37" t="n">
        <v>22490000</v>
      </c>
      <c r="F3" s="40" t="n">
        <v>22090000</v>
      </c>
      <c r="G3" s="4" t="n">
        <v>22250000</v>
      </c>
      <c r="J3" t="inlineStr">
        <is>
          <t xml:space="preserve">MW </t>
        </is>
      </c>
      <c r="K3" t="inlineStr">
        <is>
          <t>Duy</t>
        </is>
      </c>
      <c r="L3" t="b">
        <v>1</v>
      </c>
    </row>
    <row r="4" ht="15.95" customHeight="1" s="35">
      <c r="A4" t="inlineStr">
        <is>
          <t>iPhone 15 Pro  128GB</t>
        </is>
      </c>
      <c r="B4" s="37" t="n">
        <v>24890000</v>
      </c>
      <c r="C4" s="37" t="n">
        <v>24890000</v>
      </c>
      <c r="D4" s="43" t="n">
        <v>24790000</v>
      </c>
      <c r="E4" s="42" t="n">
        <v>23990000</v>
      </c>
      <c r="F4" s="38" t="n">
        <v>24390000</v>
      </c>
      <c r="G4" s="3" t="n">
        <v>24390000</v>
      </c>
      <c r="J4" t="inlineStr">
        <is>
          <t>TZ</t>
        </is>
      </c>
      <c r="K4" t="inlineStr">
        <is>
          <t>Nghĩa</t>
        </is>
      </c>
      <c r="L4" t="b">
        <v>1</v>
      </c>
    </row>
    <row r="5" ht="15.95" customHeight="1" s="35">
      <c r="A5" t="inlineStr">
        <is>
          <t>iPhone 15 Pro Max 256GB</t>
        </is>
      </c>
      <c r="B5" s="37" t="n">
        <v>29390000</v>
      </c>
      <c r="C5" s="37" t="n">
        <v>29390000</v>
      </c>
      <c r="D5" s="25" t="n">
        <v>29290000</v>
      </c>
      <c r="E5" s="38" t="n">
        <v>28690000</v>
      </c>
      <c r="F5" s="38" t="n">
        <v>28790000</v>
      </c>
      <c r="G5" s="4" t="n">
        <v>28850000</v>
      </c>
      <c r="J5" t="inlineStr">
        <is>
          <t>FPT</t>
        </is>
      </c>
      <c r="K5" t="inlineStr">
        <is>
          <t>Việt</t>
        </is>
      </c>
      <c r="L5" t="b">
        <v>1</v>
      </c>
    </row>
    <row r="6" ht="15.95" customHeight="1" s="35">
      <c r="A6" t="inlineStr">
        <is>
          <t>iPhone 14 Plus 128GB</t>
        </is>
      </c>
      <c r="B6" s="37" t="n">
        <v>19890000</v>
      </c>
      <c r="C6" s="37" t="n">
        <v>19890000</v>
      </c>
      <c r="D6" s="25" t="n">
        <v>19690000</v>
      </c>
      <c r="E6" s="37" t="n">
        <v>19690000</v>
      </c>
      <c r="F6" s="34" t="n">
        <v>19790000</v>
      </c>
      <c r="G6" s="4" t="n">
        <v>19390000</v>
      </c>
      <c r="J6" t="inlineStr">
        <is>
          <t>Viettel</t>
        </is>
      </c>
      <c r="K6" t="inlineStr">
        <is>
          <t>Sơn</t>
        </is>
      </c>
      <c r="L6" t="b">
        <v>1</v>
      </c>
    </row>
    <row r="7" ht="15.95" customHeight="1" s="35">
      <c r="A7" t="inlineStr">
        <is>
          <t>iPhone 14 128GB</t>
        </is>
      </c>
      <c r="B7" s="37" t="n">
        <v>17090000</v>
      </c>
      <c r="C7" s="37" t="n">
        <v>17090000</v>
      </c>
      <c r="D7" s="39" t="n">
        <v>16890000</v>
      </c>
      <c r="E7" s="37" t="n">
        <v>17690000</v>
      </c>
      <c r="F7" s="39" t="n">
        <v>17190000</v>
      </c>
      <c r="G7" s="4" t="n">
        <v>17290000</v>
      </c>
      <c r="J7" t="inlineStr">
        <is>
          <t>CPS</t>
        </is>
      </c>
      <c r="K7" t="inlineStr">
        <is>
          <t>Trang</t>
        </is>
      </c>
      <c r="L7" t="b">
        <v>1</v>
      </c>
    </row>
    <row r="8" ht="15.95" customHeight="1" s="35">
      <c r="A8" t="inlineStr">
        <is>
          <t>iPhone 13  128GB</t>
        </is>
      </c>
      <c r="B8" s="37" t="n">
        <v>13890000</v>
      </c>
      <c r="C8" s="37" t="n">
        <v>13890000</v>
      </c>
      <c r="D8" s="39" t="n">
        <v>13790000</v>
      </c>
      <c r="E8" s="37" t="n">
        <v>13690000</v>
      </c>
      <c r="F8" s="39" t="n">
        <v>13850000</v>
      </c>
      <c r="G8" s="4" t="n">
        <v>13690000</v>
      </c>
      <c r="J8" t="inlineStr">
        <is>
          <t>ShopDunk</t>
        </is>
      </c>
      <c r="K8" t="inlineStr">
        <is>
          <t>Đạt</t>
        </is>
      </c>
      <c r="L8" t="b">
        <v>1</v>
      </c>
    </row>
    <row r="9" ht="15.95" customHeight="1" s="35">
      <c r="A9" t="inlineStr">
        <is>
          <t>iPhone 12 64GB</t>
        </is>
      </c>
      <c r="B9" s="37" t="n">
        <v>11590000</v>
      </c>
      <c r="C9" s="37" t="n">
        <v>11590000</v>
      </c>
      <c r="D9" s="3" t="n">
        <v>10890000</v>
      </c>
      <c r="E9" s="37" t="n">
        <v>11390000</v>
      </c>
      <c r="F9" s="39" t="n">
        <v>10990000</v>
      </c>
      <c r="G9" s="4" t="n">
        <v>12290000</v>
      </c>
    </row>
    <row r="10" ht="15.95" customHeight="1" s="35">
      <c r="A10" t="inlineStr">
        <is>
          <t>iPhone 11 64GB</t>
        </is>
      </c>
      <c r="B10" s="37" t="n">
        <v>8990000</v>
      </c>
      <c r="C10" s="37" t="n">
        <v>8990000</v>
      </c>
      <c r="D10" s="4" t="n">
        <v>8840000</v>
      </c>
      <c r="E10" s="37" t="n">
        <v>8490000</v>
      </c>
      <c r="F10" s="39" t="n">
        <v>8690000</v>
      </c>
      <c r="G10" s="4" t="n">
        <v>8790000</v>
      </c>
    </row>
    <row r="11" ht="15.95" customHeight="1" s="35">
      <c r="A11" t="inlineStr">
        <is>
          <t>iPad Air 5 M1 64GB Wifi</t>
        </is>
      </c>
      <c r="B11" s="37" t="inlineStr">
        <is>
          <t>OOS</t>
        </is>
      </c>
      <c r="C11" s="37" t="inlineStr">
        <is>
          <t>OOS</t>
        </is>
      </c>
      <c r="D11" s="4" t="inlineStr">
        <is>
          <t>OOS</t>
        </is>
      </c>
      <c r="E11" s="40" t="n">
        <v>13990000</v>
      </c>
      <c r="F11" s="39" t="n">
        <v>14890000</v>
      </c>
      <c r="G11" s="4" t="n">
        <v>14290000</v>
      </c>
    </row>
    <row r="12" ht="15.95" customHeight="1" s="35">
      <c r="A12" t="inlineStr">
        <is>
          <t>iPad Mini 6 64GB Wifi</t>
        </is>
      </c>
      <c r="B12" s="37" t="n">
        <v>12890000</v>
      </c>
      <c r="C12" s="37" t="inlineStr">
        <is>
          <t>OOS</t>
        </is>
      </c>
      <c r="D12" s="4" t="n">
        <v>12690000</v>
      </c>
      <c r="E12" s="37" t="inlineStr">
        <is>
          <t>OOS</t>
        </is>
      </c>
      <c r="F12" s="39" t="n">
        <v>12650000</v>
      </c>
      <c r="G12" s="4" t="n">
        <v>12650000</v>
      </c>
    </row>
    <row r="13" ht="15.95" customHeight="1" s="35">
      <c r="A13" t="inlineStr">
        <is>
          <t>iPad Gen 10th 64GB Wifi</t>
        </is>
      </c>
      <c r="B13" s="37" t="n">
        <v>9990000</v>
      </c>
      <c r="C13" s="37" t="n">
        <v>9990000</v>
      </c>
      <c r="D13" s="25" t="n">
        <v>9740000</v>
      </c>
      <c r="E13" s="37" t="n">
        <v>9490000</v>
      </c>
      <c r="F13" s="39" t="n">
        <v>9690000</v>
      </c>
      <c r="G13" s="4" t="n">
        <v>9490000</v>
      </c>
    </row>
    <row r="14" ht="15.95" customHeight="1" s="35">
      <c r="A14" t="inlineStr">
        <is>
          <t>iPad Gen 9th  64GB Wifi</t>
        </is>
      </c>
      <c r="B14" s="37" t="n">
        <v>7190000</v>
      </c>
      <c r="C14" s="37" t="n">
        <v>7190000</v>
      </c>
      <c r="D14" s="4" t="n">
        <v>7140000</v>
      </c>
      <c r="E14" s="37" t="n">
        <v>6990000</v>
      </c>
      <c r="F14" s="39" t="n">
        <v>7090000</v>
      </c>
      <c r="G14" s="4" t="n">
        <v>7090000</v>
      </c>
    </row>
    <row r="15" ht="15.95" customHeight="1" s="35">
      <c r="A15" t="inlineStr">
        <is>
          <t>iPad Air M2  11" 128 GB Wifi</t>
        </is>
      </c>
      <c r="B15" s="37" t="n">
        <v>16990000</v>
      </c>
      <c r="C15" s="37" t="inlineStr">
        <is>
          <t>OOS</t>
        </is>
      </c>
      <c r="D15" s="4" t="n">
        <v>16890000</v>
      </c>
      <c r="E15" s="40" t="n">
        <v>16325000</v>
      </c>
      <c r="F15" s="34" t="n">
        <v>16690000</v>
      </c>
      <c r="G15" s="4" t="n">
        <v>16390000</v>
      </c>
    </row>
    <row r="16" ht="15.95" customHeight="1" s="35">
      <c r="A16" t="inlineStr">
        <is>
          <t>iPad Air M2  13" 128 GB Wifi</t>
        </is>
      </c>
      <c r="B16" s="37" t="n">
        <v>22490000</v>
      </c>
      <c r="C16" s="37" t="n">
        <v>22490000</v>
      </c>
      <c r="D16" s="25" t="n">
        <v>21890000</v>
      </c>
      <c r="E16" s="40" t="n">
        <v>21275000</v>
      </c>
      <c r="F16" s="39" t="n">
        <v>21490000</v>
      </c>
      <c r="G16" s="4" t="n">
        <v>21990000</v>
      </c>
    </row>
    <row r="17" ht="15.95" customHeight="1" s="35">
      <c r="A17" t="inlineStr">
        <is>
          <t>iPad Pro  M4  11" 256 GB Wifi</t>
        </is>
      </c>
      <c r="B17" s="37" t="n">
        <v>27790000</v>
      </c>
      <c r="C17" s="37" t="n">
        <v>27790000</v>
      </c>
      <c r="D17" s="25" t="n">
        <v>27590000</v>
      </c>
      <c r="E17" s="40" t="n">
        <v>27215000</v>
      </c>
      <c r="F17" s="39" t="n">
        <v>27590000</v>
      </c>
      <c r="G17" s="4" t="n">
        <v>27190000</v>
      </c>
    </row>
    <row r="18" ht="15.95" customHeight="1" s="35">
      <c r="A18" t="inlineStr">
        <is>
          <t>iPad Pro  M4  13" 256 GB Wifi</t>
        </is>
      </c>
      <c r="B18" s="37" t="n">
        <v>37290000</v>
      </c>
      <c r="C18" s="37" t="n">
        <v>37290000</v>
      </c>
      <c r="D18" s="3" t="n">
        <v>36490000</v>
      </c>
      <c r="E18" s="37" t="n">
        <v>36490000</v>
      </c>
      <c r="F18" s="39" t="n">
        <v>36990000</v>
      </c>
      <c r="G18" s="4" t="n">
        <v>36890000</v>
      </c>
    </row>
    <row r="19" ht="15.95" customHeight="1" s="35">
      <c r="A19" t="inlineStr">
        <is>
          <t>AW SE 2023 (40mm GPS)</t>
        </is>
      </c>
      <c r="B19" s="37" t="n">
        <v>6090000</v>
      </c>
      <c r="C19" s="37" t="n">
        <v>6090000</v>
      </c>
      <c r="D19" s="4" t="n">
        <v>5940000</v>
      </c>
      <c r="E19" s="38" t="n">
        <v>5870000</v>
      </c>
      <c r="F19" s="39" t="n">
        <v>6190000</v>
      </c>
      <c r="G19" s="4" t="n">
        <v>5890000</v>
      </c>
    </row>
    <row r="20" ht="15.95" customHeight="1" s="35">
      <c r="A20" t="inlineStr">
        <is>
          <t>AW SE 2023 (40mm LTE)</t>
        </is>
      </c>
      <c r="B20" s="37" t="n">
        <v>7490000</v>
      </c>
      <c r="C20" s="37" t="n">
        <v>7490000</v>
      </c>
      <c r="D20" s="4" t="n">
        <v>7340000</v>
      </c>
      <c r="E20" s="42" t="n">
        <v>7170000</v>
      </c>
      <c r="F20" s="39" t="n">
        <v>7390000</v>
      </c>
      <c r="G20" s="4" t="n">
        <v>7390000</v>
      </c>
    </row>
    <row r="21" ht="15.95" customHeight="1" s="35">
      <c r="A21" t="inlineStr">
        <is>
          <t>AW SE 2023 (44mm GPS)</t>
        </is>
      </c>
      <c r="B21" s="37" t="n">
        <v>6990000</v>
      </c>
      <c r="C21" s="37" t="n">
        <v>6990000</v>
      </c>
      <c r="D21" s="4" t="n">
        <v>6940000</v>
      </c>
      <c r="E21" s="42" t="n">
        <v>6470000</v>
      </c>
      <c r="F21" s="39" t="n">
        <v>6990000</v>
      </c>
      <c r="G21" s="34" t="n">
        <v>6790000</v>
      </c>
    </row>
    <row r="22" ht="15.95" customHeight="1" s="35">
      <c r="A22" t="inlineStr">
        <is>
          <t>AW SE 2023 (44mm LTE)</t>
        </is>
      </c>
      <c r="B22" s="37" t="n">
        <v>8290000</v>
      </c>
      <c r="C22" s="37" t="inlineStr">
        <is>
          <t>OOS</t>
        </is>
      </c>
      <c r="D22" s="4" t="n">
        <v>8140000</v>
      </c>
      <c r="E22" s="38" t="n">
        <v>7870000</v>
      </c>
      <c r="F22" s="39" t="n">
        <v>8190000</v>
      </c>
      <c r="G22" s="4" t="n">
        <v>8090000</v>
      </c>
    </row>
    <row r="23" ht="15.95" customHeight="1" s="35">
      <c r="A23" t="inlineStr">
        <is>
          <t>AW S9 (41mm GPS)</t>
        </is>
      </c>
      <c r="B23" s="37" t="n">
        <v>9890000</v>
      </c>
      <c r="C23" s="37" t="n">
        <v>9890000</v>
      </c>
      <c r="D23" s="4" t="n">
        <v>9440000</v>
      </c>
      <c r="E23" s="38" t="n">
        <v>9670000</v>
      </c>
      <c r="F23" s="34" t="n">
        <v>9490000</v>
      </c>
      <c r="G23" s="3" t="n">
        <v>9190000</v>
      </c>
    </row>
    <row r="24" ht="15.95" customHeight="1" s="35">
      <c r="A24" t="inlineStr">
        <is>
          <t>AW S9 (41mm CEL)</t>
        </is>
      </c>
      <c r="B24" s="3" t="n">
        <v>12590000</v>
      </c>
      <c r="C24" s="37" t="inlineStr">
        <is>
          <t>OOS</t>
        </is>
      </c>
      <c r="D24" s="4" t="n">
        <v>12190000</v>
      </c>
      <c r="E24" s="38" t="n">
        <v>12070000</v>
      </c>
      <c r="F24" s="39" t="n">
        <v>12590000</v>
      </c>
      <c r="G24" s="3" t="n">
        <v>11690000</v>
      </c>
    </row>
    <row r="25" ht="15.95" customHeight="1" s="35">
      <c r="A25" t="inlineStr">
        <is>
          <t>AW S9 (45mm GPS)</t>
        </is>
      </c>
      <c r="B25" s="37" t="n">
        <v>10890000</v>
      </c>
      <c r="C25" s="37" t="n">
        <v>10890000</v>
      </c>
      <c r="D25" s="4" t="n">
        <v>10490000</v>
      </c>
      <c r="E25" s="38" t="n">
        <v>10370000</v>
      </c>
      <c r="F25" s="34" t="n">
        <v>10590000</v>
      </c>
      <c r="G25" s="3" t="n">
        <v>10190000</v>
      </c>
    </row>
    <row r="26" ht="15.95" customHeight="1" s="35">
      <c r="A26" t="inlineStr">
        <is>
          <t>AW S9 (45mm CEL)</t>
        </is>
      </c>
      <c r="B26" s="37" t="n">
        <v>13690000</v>
      </c>
      <c r="C26" s="37" t="inlineStr">
        <is>
          <t>OOS</t>
        </is>
      </c>
      <c r="D26" s="4" t="n">
        <v>13390000</v>
      </c>
      <c r="E26" s="38" t="n">
        <v>12870000</v>
      </c>
      <c r="F26" s="39" t="inlineStr">
        <is>
          <t>OOS</t>
        </is>
      </c>
      <c r="G26" s="3" t="n">
        <v>12690000</v>
      </c>
    </row>
    <row r="27" ht="15.95" customHeight="1" s="35">
      <c r="A27" t="inlineStr">
        <is>
          <t>AW Ultra 2 (49mm)</t>
        </is>
      </c>
      <c r="B27" s="37" t="n">
        <v>21190000</v>
      </c>
      <c r="C27" s="37" t="n">
        <v>21190000</v>
      </c>
      <c r="D27" s="3" t="n">
        <v>20890000</v>
      </c>
      <c r="E27" s="37" t="inlineStr">
        <is>
          <t>OOS</t>
        </is>
      </c>
      <c r="F27" s="39" t="n">
        <v>21290000</v>
      </c>
      <c r="G27" s="4" t="n">
        <v>20890000</v>
      </c>
    </row>
    <row r="28" ht="15.95" customHeight="1" s="35">
      <c r="A28" t="inlineStr">
        <is>
          <t>AirPods Pro 2 - 2023 (C-Type)</t>
        </is>
      </c>
      <c r="B28" s="37" t="n">
        <v>5690000</v>
      </c>
      <c r="C28" s="37" t="n">
        <v>5690000</v>
      </c>
      <c r="D28" s="34" t="n">
        <v>5740000</v>
      </c>
      <c r="E28" s="38" t="n">
        <v>5370000</v>
      </c>
      <c r="F28" s="39" t="n">
        <v>5550000</v>
      </c>
      <c r="G28" s="4" t="n">
        <v>5450000</v>
      </c>
    </row>
    <row r="29" ht="15.95" customHeight="1" s="35">
      <c r="A29" t="inlineStr">
        <is>
          <t>AirPods 3 with charging case</t>
        </is>
      </c>
      <c r="B29" s="3" t="n">
        <v>3790000</v>
      </c>
      <c r="C29" s="42" t="n">
        <v>3790000</v>
      </c>
      <c r="D29" s="3" t="n">
        <v>4090000</v>
      </c>
      <c r="E29" s="38" t="n">
        <v>3770000</v>
      </c>
      <c r="F29" s="34" t="n">
        <v>3950000</v>
      </c>
      <c r="G29" s="4" t="inlineStr">
        <is>
          <t>3.890.000</t>
        </is>
      </c>
    </row>
    <row r="30" ht="15.95" customHeight="1" s="35">
      <c r="A30" t="inlineStr">
        <is>
          <t>AirPods 2 with charging case</t>
        </is>
      </c>
      <c r="B30" s="37" t="n">
        <v>2690000</v>
      </c>
      <c r="C30" s="37" t="n">
        <v>2690000</v>
      </c>
      <c r="D30" s="34" t="n">
        <v>2790000</v>
      </c>
      <c r="E30" s="40" t="n">
        <v>2690000</v>
      </c>
      <c r="F30" s="34" t="n">
        <v>2790000</v>
      </c>
      <c r="G30" s="4" t="n">
        <v>2750000</v>
      </c>
    </row>
    <row r="31" ht="15.95" customHeight="1" s="35">
      <c r="A31" t="inlineStr">
        <is>
          <t>MacBook Air 13" M1 8/256Gb</t>
        </is>
      </c>
      <c r="B31" s="37" t="n">
        <v>18490000</v>
      </c>
      <c r="C31" s="37" t="n">
        <v>18490000</v>
      </c>
      <c r="D31" s="34" t="n">
        <v>18390000</v>
      </c>
      <c r="E31" s="37" t="n"/>
      <c r="F31" s="34" t="n">
        <v>18390000</v>
      </c>
      <c r="G31" s="4" t="n">
        <v>17750000</v>
      </c>
    </row>
    <row r="32" ht="15.95" customHeight="1" s="35">
      <c r="A32" t="inlineStr">
        <is>
          <t>MacBook Air 13" M2 8/256GB</t>
        </is>
      </c>
      <c r="B32" s="3" t="n">
        <v>23890000</v>
      </c>
      <c r="C32" s="42" t="n">
        <v>23890000</v>
      </c>
      <c r="D32" s="3" t="n">
        <v>23590000</v>
      </c>
      <c r="E32" s="37" t="n"/>
      <c r="F32" s="34" t="n">
        <v>23490000</v>
      </c>
      <c r="G32" s="4" t="n">
        <v>22990000</v>
      </c>
    </row>
    <row r="33" ht="15.95" customHeight="1" s="35">
      <c r="A33" t="inlineStr">
        <is>
          <t>MacBook Air 13" M3 8/256GB</t>
        </is>
      </c>
      <c r="B33" s="3" t="n">
        <v>27090000</v>
      </c>
      <c r="C33" s="42" t="n">
        <v>27090000</v>
      </c>
      <c r="D33" s="34" t="n">
        <v>26790000</v>
      </c>
      <c r="E33" s="37" t="n"/>
      <c r="F33" s="34" t="n">
        <v>26890000</v>
      </c>
      <c r="G33" s="4" t="n">
        <v>26290000</v>
      </c>
    </row>
    <row r="34" ht="15.95" customHeight="1" s="35">
      <c r="A34" t="inlineStr">
        <is>
          <t>MacBook Air 15" M3 8/256GB</t>
        </is>
      </c>
      <c r="B34" s="37" t="n">
        <v>31390000</v>
      </c>
      <c r="C34" s="37" t="n">
        <v>31390000</v>
      </c>
      <c r="D34" s="4" t="n">
        <v>31090000</v>
      </c>
      <c r="E34" s="37" t="n"/>
      <c r="F34" s="34" t="n">
        <v>31190000</v>
      </c>
      <c r="G34" s="4" t="n">
        <v>30790000</v>
      </c>
    </row>
    <row r="35" ht="15.95" customHeight="1" s="35">
      <c r="A35" t="inlineStr">
        <is>
          <t>MacBook Pro 14" M3 8/512GB</t>
        </is>
      </c>
      <c r="B35" s="37" t="n">
        <v>38290000</v>
      </c>
      <c r="C35" s="37" t="n">
        <v>38290000</v>
      </c>
      <c r="D35" s="3" t="n">
        <v>37990000</v>
      </c>
      <c r="E35" s="37" t="n"/>
      <c r="F35" s="34" t="n">
        <v>38190000</v>
      </c>
      <c r="G35" s="4" t="n">
        <v>37790000</v>
      </c>
    </row>
    <row r="41" ht="15.95" customHeight="1" s="35">
      <c r="G41" s="44" t="n"/>
    </row>
  </sheetData>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codeName="Sheet21">
    <outlinePr summaryBelow="1" summaryRight="1"/>
    <pageSetUpPr/>
  </sheetPr>
  <dimension ref="A1:K35"/>
  <sheetViews>
    <sheetView topLeftCell="A5" workbookViewId="0">
      <selection activeCell="K21" sqref="K21"/>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15  128GB</t>
        </is>
      </c>
      <c r="B2" s="3" t="n">
        <v>19690000</v>
      </c>
      <c r="C2" s="42" t="n">
        <v>19690000</v>
      </c>
      <c r="D2" s="42" t="n">
        <v>19590000</v>
      </c>
      <c r="E2" s="37" t="n">
        <v>19490000</v>
      </c>
      <c r="F2" s="40" t="n">
        <v>19090000</v>
      </c>
      <c r="G2" s="34" t="inlineStr">
        <is>
          <t>19.190.000</t>
        </is>
      </c>
    </row>
    <row r="3">
      <c r="A3" t="inlineStr">
        <is>
          <t>iPhone 15  Plus 128GB</t>
        </is>
      </c>
      <c r="B3" s="3" t="n">
        <v>22690000</v>
      </c>
      <c r="C3" s="42" t="n">
        <v>22690000</v>
      </c>
      <c r="D3" s="42" t="n">
        <v>22590000</v>
      </c>
      <c r="E3" s="37" t="n">
        <v>22490000</v>
      </c>
      <c r="F3" s="40" t="n">
        <v>22090000</v>
      </c>
      <c r="G3" s="4" t="n">
        <v>22250000</v>
      </c>
      <c r="I3" t="inlineStr">
        <is>
          <t xml:space="preserve">MW </t>
        </is>
      </c>
      <c r="J3" t="inlineStr">
        <is>
          <t>Duy</t>
        </is>
      </c>
      <c r="K3" t="b">
        <v>1</v>
      </c>
    </row>
    <row r="4">
      <c r="A4" t="inlineStr">
        <is>
          <t>iPhone 15 Pro  128GB</t>
        </is>
      </c>
      <c r="B4" s="3" t="n">
        <v>24990000</v>
      </c>
      <c r="C4" s="42" t="n">
        <v>24990000</v>
      </c>
      <c r="D4" s="42" t="n">
        <v>24890000</v>
      </c>
      <c r="E4" s="40" t="n">
        <v>23990000</v>
      </c>
      <c r="F4" s="40" t="n">
        <v>24390000</v>
      </c>
      <c r="G4" s="3" t="n">
        <v>24390000</v>
      </c>
      <c r="I4" t="inlineStr">
        <is>
          <t>TZ</t>
        </is>
      </c>
      <c r="J4" t="inlineStr">
        <is>
          <t>Nghĩa</t>
        </is>
      </c>
      <c r="K4" t="b">
        <v>1</v>
      </c>
    </row>
    <row r="5">
      <c r="A5" t="inlineStr">
        <is>
          <t>iPhone 15 Pro Max 256GB</t>
        </is>
      </c>
      <c r="B5" s="3" t="n">
        <v>29490000</v>
      </c>
      <c r="C5" s="42" t="n">
        <v>29490000</v>
      </c>
      <c r="D5" s="25" t="n">
        <v>29290000</v>
      </c>
      <c r="E5" s="38" t="n">
        <v>28990000</v>
      </c>
      <c r="F5" s="40" t="n">
        <v>28790000</v>
      </c>
      <c r="G5" s="4" t="n">
        <v>28850000</v>
      </c>
      <c r="I5" t="inlineStr">
        <is>
          <t>FPT</t>
        </is>
      </c>
      <c r="J5" t="inlineStr">
        <is>
          <t>Việt</t>
        </is>
      </c>
      <c r="K5" t="b">
        <v>1</v>
      </c>
    </row>
    <row r="6">
      <c r="A6" t="inlineStr">
        <is>
          <t>iPhone 14 Plus 128GB</t>
        </is>
      </c>
      <c r="B6" s="37" t="n">
        <v>19890000</v>
      </c>
      <c r="C6" s="37" t="n">
        <v>19890000</v>
      </c>
      <c r="D6" s="3" t="n">
        <v>19790000</v>
      </c>
      <c r="E6" s="37" t="n">
        <v>19690000</v>
      </c>
      <c r="F6" s="39" t="n">
        <v>19790000</v>
      </c>
      <c r="G6" s="4" t="n">
        <v>19390000</v>
      </c>
      <c r="I6" t="inlineStr">
        <is>
          <t>Viettel</t>
        </is>
      </c>
      <c r="J6" t="inlineStr">
        <is>
          <t>Sơn</t>
        </is>
      </c>
      <c r="K6" t="b">
        <v>1</v>
      </c>
    </row>
    <row r="7">
      <c r="A7" t="inlineStr">
        <is>
          <t>iPhone 14 128GB</t>
        </is>
      </c>
      <c r="B7" s="3" t="n">
        <v>16990000</v>
      </c>
      <c r="C7" s="42" t="n">
        <v>16990000</v>
      </c>
      <c r="D7" s="39" t="n">
        <v>16890000</v>
      </c>
      <c r="E7" s="37" t="n">
        <v>17690000</v>
      </c>
      <c r="F7" s="39" t="n">
        <v>16990000</v>
      </c>
      <c r="G7" s="4" t="n">
        <v>17290000</v>
      </c>
      <c r="I7" t="inlineStr">
        <is>
          <t>CPS</t>
        </is>
      </c>
      <c r="J7" t="inlineStr">
        <is>
          <t>Trang</t>
        </is>
      </c>
      <c r="K7" t="b">
        <v>1</v>
      </c>
    </row>
    <row r="8">
      <c r="A8" t="inlineStr">
        <is>
          <t>iPhone 13  128GB</t>
        </is>
      </c>
      <c r="B8" s="3" t="n">
        <v>13990000</v>
      </c>
      <c r="C8" s="42" t="n">
        <v>13990000</v>
      </c>
      <c r="D8" s="34" t="n">
        <v>13890000</v>
      </c>
      <c r="E8" s="37" t="n">
        <v>13690000</v>
      </c>
      <c r="F8" s="34" t="n">
        <v>13890000</v>
      </c>
      <c r="G8" s="4" t="n">
        <v>13690000</v>
      </c>
      <c r="I8" t="inlineStr">
        <is>
          <t>ShopDunk</t>
        </is>
      </c>
      <c r="J8" t="inlineStr">
        <is>
          <t>Đạt</t>
        </is>
      </c>
      <c r="K8" t="b">
        <v>0</v>
      </c>
    </row>
    <row r="9">
      <c r="A9" t="inlineStr">
        <is>
          <t>iPhone 12 64GB</t>
        </is>
      </c>
      <c r="B9" s="37" t="n">
        <v>11590000</v>
      </c>
      <c r="C9" s="37" t="n">
        <v>11590000</v>
      </c>
      <c r="D9" s="25" t="n">
        <v>10890000</v>
      </c>
      <c r="E9" s="37" t="n">
        <v>10990000</v>
      </c>
      <c r="F9" s="39" t="n">
        <v>10990000</v>
      </c>
      <c r="G9" s="4" t="n">
        <v>12290000</v>
      </c>
    </row>
    <row r="10">
      <c r="A10" t="inlineStr">
        <is>
          <t>iPhone 11 64GB</t>
        </is>
      </c>
      <c r="B10" s="3" t="n">
        <v>8890000</v>
      </c>
      <c r="C10" s="42" t="n">
        <v>8890000</v>
      </c>
      <c r="D10" s="4" t="n">
        <v>8840000</v>
      </c>
      <c r="E10" s="37" t="n">
        <v>8490000</v>
      </c>
      <c r="F10" s="34" t="n">
        <v>8890000</v>
      </c>
      <c r="G10" s="4" t="n">
        <v>8790000</v>
      </c>
    </row>
    <row r="11">
      <c r="A11" t="inlineStr">
        <is>
          <t>iPad Air 5 M1 64GB Wifi</t>
        </is>
      </c>
      <c r="B11" s="37" t="inlineStr">
        <is>
          <t>OOS</t>
        </is>
      </c>
      <c r="C11" s="37" t="inlineStr">
        <is>
          <t>OOS</t>
        </is>
      </c>
      <c r="D11" s="4" t="inlineStr">
        <is>
          <t>OOS</t>
        </is>
      </c>
      <c r="E11" s="40" t="n">
        <v>13990000</v>
      </c>
      <c r="F11" s="39" t="inlineStr">
        <is>
          <t>OOS</t>
        </is>
      </c>
      <c r="G11" s="4" t="n">
        <v>14290000</v>
      </c>
    </row>
    <row r="12">
      <c r="A12" t="inlineStr">
        <is>
          <t>iPad Mini 6 64GB Wifi</t>
        </is>
      </c>
      <c r="B12" s="37" t="n">
        <v>12890000</v>
      </c>
      <c r="C12" s="37" t="inlineStr">
        <is>
          <t>OOS</t>
        </is>
      </c>
      <c r="D12" s="4" t="n">
        <v>12690000</v>
      </c>
      <c r="E12" s="37" t="inlineStr">
        <is>
          <t>OOS</t>
        </is>
      </c>
      <c r="F12" s="34" t="n">
        <v>12790000</v>
      </c>
      <c r="G12" s="4" t="n">
        <v>12650000</v>
      </c>
    </row>
    <row r="13">
      <c r="A13" t="inlineStr">
        <is>
          <t>iPad Gen 10th 64GB Wifi</t>
        </is>
      </c>
      <c r="B13" s="37" t="n">
        <v>9990000</v>
      </c>
      <c r="C13" s="37" t="n">
        <v>9990000</v>
      </c>
      <c r="D13" s="3" t="n">
        <v>9940000</v>
      </c>
      <c r="E13" s="37" t="n">
        <v>9490000</v>
      </c>
      <c r="F13" s="34" t="n">
        <v>9790000</v>
      </c>
      <c r="G13" s="4" t="n">
        <v>9490000</v>
      </c>
    </row>
    <row r="14">
      <c r="A14" t="inlineStr">
        <is>
          <t>iPad Gen 9th  64GB Wifi</t>
        </is>
      </c>
      <c r="B14" s="37" t="n">
        <v>7190000</v>
      </c>
      <c r="C14" s="37" t="n">
        <v>7190000</v>
      </c>
      <c r="D14" s="4" t="n">
        <v>7140000</v>
      </c>
      <c r="E14" s="37" t="n">
        <v>6990000</v>
      </c>
      <c r="F14" s="39" t="n">
        <v>7150000</v>
      </c>
      <c r="G14" s="4" t="n">
        <v>7090000</v>
      </c>
    </row>
    <row r="15">
      <c r="A15" t="inlineStr">
        <is>
          <t>iPad Air M2  11" 128 GB Wifi</t>
        </is>
      </c>
      <c r="B15" s="37" t="n">
        <v>16990000</v>
      </c>
      <c r="C15" s="37" t="inlineStr">
        <is>
          <t>OOS</t>
        </is>
      </c>
      <c r="D15" s="4" t="n">
        <v>16890000</v>
      </c>
      <c r="E15" s="38" t="n">
        <v>16490000</v>
      </c>
      <c r="F15" s="34" t="n">
        <v>16990000</v>
      </c>
      <c r="G15" s="4" t="n">
        <v>16390000</v>
      </c>
    </row>
    <row r="16">
      <c r="A16" t="inlineStr">
        <is>
          <t>iPad Air M2  13" 128 GB Wifi</t>
        </is>
      </c>
      <c r="B16" s="37" t="n">
        <v>22490000</v>
      </c>
      <c r="C16" s="37" t="n">
        <v>22490000</v>
      </c>
      <c r="D16" s="25" t="n">
        <v>21890000</v>
      </c>
      <c r="E16" s="38" t="n">
        <v>21390000</v>
      </c>
      <c r="F16" s="34" t="n">
        <v>29990000</v>
      </c>
      <c r="G16" s="4" t="n">
        <v>21990000</v>
      </c>
    </row>
    <row r="17">
      <c r="A17" t="inlineStr">
        <is>
          <t>iPad Pro  M4  11" 256 GB Wifi</t>
        </is>
      </c>
      <c r="B17" s="37" t="n">
        <v>27790000</v>
      </c>
      <c r="C17" s="37" t="n">
        <v>27790000</v>
      </c>
      <c r="D17" s="25" t="n">
        <v>27590000</v>
      </c>
      <c r="E17" s="38" t="n">
        <v>27490000</v>
      </c>
      <c r="F17" s="34" t="n">
        <v>27490000</v>
      </c>
      <c r="G17" s="4" t="n">
        <v>27190000</v>
      </c>
    </row>
    <row r="18">
      <c r="A18" t="inlineStr">
        <is>
          <t>iPad Pro  M4  13" 256 GB Wifi</t>
        </is>
      </c>
      <c r="B18" s="37" t="n">
        <v>37290000</v>
      </c>
      <c r="C18" s="37" t="n">
        <v>37290000</v>
      </c>
      <c r="D18" s="25" t="n">
        <v>36490000</v>
      </c>
      <c r="E18" s="37" t="n">
        <v>36490000</v>
      </c>
      <c r="F18" s="34" t="n">
        <v>36790000</v>
      </c>
      <c r="G18" s="4" t="n">
        <v>36890000</v>
      </c>
    </row>
    <row r="19">
      <c r="A19" t="inlineStr">
        <is>
          <t>AW SE 2023 (40mm GPS)</t>
        </is>
      </c>
      <c r="B19" s="37" t="n">
        <v>6090000</v>
      </c>
      <c r="C19" s="37" t="n">
        <v>6090000</v>
      </c>
      <c r="D19" s="4" t="n">
        <v>5940000</v>
      </c>
      <c r="E19" s="38" t="n">
        <v>5990000</v>
      </c>
      <c r="F19" s="34" t="n">
        <v>5990000</v>
      </c>
      <c r="G19" s="4" t="n">
        <v>5890000</v>
      </c>
    </row>
    <row r="20">
      <c r="A20" t="inlineStr">
        <is>
          <t>AW SE 2023 (40mm LTE)</t>
        </is>
      </c>
      <c r="B20" s="37" t="n">
        <v>7490000</v>
      </c>
      <c r="C20" s="37" t="n">
        <v>7490000</v>
      </c>
      <c r="D20" s="4" t="n">
        <v>7340000</v>
      </c>
      <c r="E20" s="42" t="inlineStr">
        <is>
          <t>OOS</t>
        </is>
      </c>
      <c r="F20" s="39" t="n">
        <v>7390000</v>
      </c>
      <c r="G20" s="4" t="n">
        <v>7390000</v>
      </c>
    </row>
    <row r="21">
      <c r="A21" t="inlineStr">
        <is>
          <t>AW SE 2023 (44mm GPS)</t>
        </is>
      </c>
      <c r="B21" s="3" t="n">
        <v>6890000</v>
      </c>
      <c r="C21" s="42" t="n">
        <v>6890000</v>
      </c>
      <c r="D21" s="4" t="n">
        <v>6940000</v>
      </c>
      <c r="E21" s="42" t="n">
        <v>6590000</v>
      </c>
      <c r="F21" s="39" t="n">
        <v>6990000</v>
      </c>
      <c r="G21" s="34" t="n">
        <v>6790000</v>
      </c>
    </row>
    <row r="22">
      <c r="A22" t="inlineStr">
        <is>
          <t>AW SE 2023 (44mm LTE)</t>
        </is>
      </c>
      <c r="B22" s="37" t="n">
        <v>8290000</v>
      </c>
      <c r="C22" s="37" t="inlineStr">
        <is>
          <t>OOS</t>
        </is>
      </c>
      <c r="D22" s="4" t="n">
        <v>8140000</v>
      </c>
      <c r="E22" s="38" t="n">
        <v>7990000</v>
      </c>
      <c r="F22" s="39" t="n">
        <v>8190000</v>
      </c>
      <c r="G22" s="4" t="n">
        <v>8090000</v>
      </c>
    </row>
    <row r="23">
      <c r="A23" t="inlineStr">
        <is>
          <t>AW S9 (41mm GPS)</t>
        </is>
      </c>
      <c r="B23" s="37" t="n">
        <v>9890000</v>
      </c>
      <c r="C23" s="37" t="n">
        <v>9890000</v>
      </c>
      <c r="D23" s="4" t="n">
        <v>9440000</v>
      </c>
      <c r="E23" s="38" t="n">
        <v>9670000</v>
      </c>
      <c r="F23" s="34" t="n">
        <v>9790000</v>
      </c>
      <c r="G23" s="3" t="n">
        <v>9190000</v>
      </c>
    </row>
    <row r="24">
      <c r="A24" t="inlineStr">
        <is>
          <t>AW S9 (41mm CEL)</t>
        </is>
      </c>
      <c r="B24" s="3" t="n">
        <v>12490000</v>
      </c>
      <c r="C24" s="37" t="inlineStr">
        <is>
          <t>OOS</t>
        </is>
      </c>
      <c r="D24" s="4" t="n">
        <v>12190000</v>
      </c>
      <c r="E24" s="38" t="n">
        <v>12190000</v>
      </c>
      <c r="F24" s="39" t="n">
        <v>12590000</v>
      </c>
      <c r="G24" s="3" t="n">
        <v>11690000</v>
      </c>
    </row>
    <row r="25">
      <c r="A25" t="inlineStr">
        <is>
          <t>AW S9 (45mm GPS)</t>
        </is>
      </c>
      <c r="B25" s="37" t="n">
        <v>10890000</v>
      </c>
      <c r="C25" s="37" t="n">
        <v>10890000</v>
      </c>
      <c r="D25" s="4" t="n">
        <v>10490000</v>
      </c>
      <c r="E25" s="38" t="n">
        <v>10490000</v>
      </c>
      <c r="F25" s="34" t="n">
        <v>10790000</v>
      </c>
      <c r="G25" s="3" t="n">
        <v>10190000</v>
      </c>
    </row>
    <row r="26">
      <c r="A26" t="inlineStr">
        <is>
          <t>AW S9 (45mm CEL)</t>
        </is>
      </c>
      <c r="B26" s="37" t="n">
        <v>13690000</v>
      </c>
      <c r="C26" s="37" t="inlineStr">
        <is>
          <t>OOS</t>
        </is>
      </c>
      <c r="D26" s="4" t="n">
        <v>13390000</v>
      </c>
      <c r="E26" s="40" t="n">
        <v>12990000</v>
      </c>
      <c r="F26" s="39" t="inlineStr">
        <is>
          <t>OOS</t>
        </is>
      </c>
      <c r="G26" s="3" t="n">
        <v>12690000</v>
      </c>
    </row>
    <row r="27">
      <c r="A27" t="inlineStr">
        <is>
          <t>AW Ultra 2 (49mm)</t>
        </is>
      </c>
      <c r="B27" s="37" t="n">
        <v>21190000</v>
      </c>
      <c r="C27" s="37" t="n">
        <v>21190000</v>
      </c>
      <c r="D27" s="25" t="n">
        <v>20890000</v>
      </c>
      <c r="E27" s="37" t="inlineStr">
        <is>
          <t>OOS</t>
        </is>
      </c>
      <c r="F27" s="34" t="n">
        <v>21190000</v>
      </c>
      <c r="G27" s="4" t="n">
        <v>20890000</v>
      </c>
    </row>
    <row r="28">
      <c r="A28" t="inlineStr">
        <is>
          <t>AirPods Pro 2 - 2023 (C-Type)</t>
        </is>
      </c>
      <c r="B28" s="3" t="n">
        <v>5790000</v>
      </c>
      <c r="C28" s="42" t="n">
        <v>5790000</v>
      </c>
      <c r="D28" s="39" t="n">
        <v>5740000</v>
      </c>
      <c r="E28" s="38" t="n">
        <v>5520000</v>
      </c>
      <c r="F28" s="34" t="n">
        <v>5790000</v>
      </c>
      <c r="G28" s="4" t="n">
        <v>5450000</v>
      </c>
    </row>
    <row r="29">
      <c r="A29" t="inlineStr">
        <is>
          <t>AirPods 3 with charging case</t>
        </is>
      </c>
      <c r="B29" s="3" t="n">
        <v>4090000</v>
      </c>
      <c r="C29" s="42" t="n">
        <v>4090000</v>
      </c>
      <c r="D29" s="25" t="n">
        <v>4090000</v>
      </c>
      <c r="E29" s="38" t="n">
        <v>4150000</v>
      </c>
      <c r="F29" s="34" t="n">
        <v>4090000</v>
      </c>
      <c r="G29" s="4" t="inlineStr">
        <is>
          <t>3.890.000</t>
        </is>
      </c>
    </row>
    <row r="30">
      <c r="A30" t="inlineStr">
        <is>
          <t>AirPods 2 with charging case</t>
        </is>
      </c>
      <c r="B30" s="3" t="n">
        <v>2790000</v>
      </c>
      <c r="C30" s="42" t="n">
        <v>2790000</v>
      </c>
      <c r="D30" s="39" t="n">
        <v>2790000</v>
      </c>
      <c r="E30" s="40" t="n">
        <v>2690000</v>
      </c>
      <c r="F30" s="39" t="n">
        <v>2790000</v>
      </c>
      <c r="G30" s="4" t="n">
        <v>2750000</v>
      </c>
    </row>
    <row r="31">
      <c r="A31" t="inlineStr">
        <is>
          <t>MacBook Air 13" M1 8/256Gb</t>
        </is>
      </c>
      <c r="B31" s="3" t="n">
        <v>18490000</v>
      </c>
      <c r="C31" s="37" t="n">
        <v>18490000</v>
      </c>
      <c r="D31" s="34" t="n">
        <v>18290000</v>
      </c>
      <c r="E31" s="37" t="n"/>
      <c r="F31" s="34" t="n">
        <v>18290000</v>
      </c>
      <c r="G31" s="4" t="n">
        <v>17750000</v>
      </c>
    </row>
    <row r="32">
      <c r="A32" t="inlineStr">
        <is>
          <t>MacBook Air 13" M2 8/256GB</t>
        </is>
      </c>
      <c r="B32" s="37" t="n">
        <v>23890000</v>
      </c>
      <c r="C32" s="37" t="n">
        <v>23890000</v>
      </c>
      <c r="D32" s="3" t="n">
        <v>23690000</v>
      </c>
      <c r="E32" s="37" t="n"/>
      <c r="F32" s="34" t="n">
        <v>23790000</v>
      </c>
      <c r="G32" s="4" t="n">
        <v>22990000</v>
      </c>
    </row>
    <row r="33">
      <c r="A33" t="inlineStr">
        <is>
          <t>MacBook Air 13" M3 8/256GB</t>
        </is>
      </c>
      <c r="B33" s="37" t="n">
        <v>27090000</v>
      </c>
      <c r="C33" s="37" t="n">
        <v>27090000</v>
      </c>
      <c r="D33" s="39" t="n">
        <v>26790000</v>
      </c>
      <c r="E33" s="37" t="n"/>
      <c r="F33" s="39" t="n">
        <v>26990000</v>
      </c>
      <c r="G33" s="4" t="n">
        <v>26290000</v>
      </c>
    </row>
    <row r="34">
      <c r="A34" t="inlineStr">
        <is>
          <t>MacBook Air 15" M3 8/256GB</t>
        </is>
      </c>
      <c r="B34" s="3" t="n">
        <v>31290000</v>
      </c>
      <c r="C34" s="42" t="n">
        <v>31290000</v>
      </c>
      <c r="D34" s="4" t="n">
        <v>31090000</v>
      </c>
      <c r="E34" s="37" t="n"/>
      <c r="F34" s="39" t="n">
        <v>31190000</v>
      </c>
      <c r="G34" s="4" t="n">
        <v>30790000</v>
      </c>
    </row>
    <row r="35">
      <c r="A35" t="inlineStr">
        <is>
          <t>MacBook Pro 14" M3 8/512GB</t>
        </is>
      </c>
      <c r="B35" s="37" t="n">
        <v>38290000</v>
      </c>
      <c r="C35" s="37" t="n">
        <v>38290000</v>
      </c>
      <c r="D35" s="25" t="n">
        <v>37990000</v>
      </c>
      <c r="E35" s="37" t="n"/>
      <c r="F35" s="39" t="n">
        <v>38190000</v>
      </c>
      <c r="G35" s="4" t="n">
        <v>37790000</v>
      </c>
    </row>
  </sheetData>
  <pageMargins left="0.7" right="0.7" top="0.75" bottom="0.75" header="0.3" footer="0.3"/>
  <legacyDrawing xmlns:r="http://schemas.openxmlformats.org/officeDocument/2006/relationships" r:id="anysvml"/>
</worksheet>
</file>

<file path=xl/worksheets/sheet23.xml><?xml version="1.0" encoding="utf-8"?>
<worksheet xmlns="http://schemas.openxmlformats.org/spreadsheetml/2006/main">
  <sheetPr codeName="Sheet22">
    <outlinePr summaryBelow="1" summaryRight="1"/>
    <pageSetUpPr/>
  </sheetPr>
  <dimension ref="A1:K35"/>
  <sheetViews>
    <sheetView workbookViewId="0">
      <selection activeCell="L1" sqref="L1"/>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15  128GB</t>
        </is>
      </c>
      <c r="B2" s="37" t="n">
        <v>19690000</v>
      </c>
      <c r="C2" s="43" t="n">
        <v>19690000</v>
      </c>
      <c r="D2" s="43" t="n">
        <v>19590000</v>
      </c>
      <c r="E2" s="37" t="n">
        <v>19490000</v>
      </c>
      <c r="F2" s="40" t="n">
        <v>19090000</v>
      </c>
      <c r="G2" s="4" t="inlineStr">
        <is>
          <t>19.190.000</t>
        </is>
      </c>
    </row>
    <row r="3">
      <c r="A3" t="inlineStr">
        <is>
          <t>iPhone 15  Plus 128GB</t>
        </is>
      </c>
      <c r="B3" s="37" t="n">
        <v>22690000</v>
      </c>
      <c r="C3" s="43" t="n">
        <v>22690000</v>
      </c>
      <c r="D3" s="43" t="n">
        <v>22590000</v>
      </c>
      <c r="E3" s="37" t="n">
        <v>22490000</v>
      </c>
      <c r="F3" s="40" t="n">
        <v>22090000</v>
      </c>
      <c r="G3" s="4" t="n">
        <v>22250000</v>
      </c>
      <c r="I3" t="inlineStr">
        <is>
          <t xml:space="preserve">MW </t>
        </is>
      </c>
      <c r="J3" t="inlineStr">
        <is>
          <t>Duy</t>
        </is>
      </c>
      <c r="K3" t="b">
        <v>1</v>
      </c>
    </row>
    <row r="4">
      <c r="A4" t="inlineStr">
        <is>
          <t>iPhone 15 Pro  128GB</t>
        </is>
      </c>
      <c r="B4" s="3" t="n">
        <v>25090000</v>
      </c>
      <c r="C4" s="37" t="inlineStr">
        <is>
          <t>OOS</t>
        </is>
      </c>
      <c r="D4" s="42" t="n">
        <v>24990000</v>
      </c>
      <c r="E4" s="40" t="n">
        <v>23990000</v>
      </c>
      <c r="F4" s="38" t="n">
        <v>24490000</v>
      </c>
      <c r="G4" s="4" t="n">
        <v>24390000</v>
      </c>
      <c r="I4" t="inlineStr">
        <is>
          <t>TZ</t>
        </is>
      </c>
      <c r="J4" t="inlineStr">
        <is>
          <t>Nghĩa</t>
        </is>
      </c>
      <c r="K4" t="b">
        <v>1</v>
      </c>
    </row>
    <row r="5">
      <c r="A5" t="inlineStr">
        <is>
          <t>iPhone 15 Pro Max 256GB</t>
        </is>
      </c>
      <c r="B5" s="3" t="n">
        <v>29590000</v>
      </c>
      <c r="C5" s="42" t="n">
        <v>29590000</v>
      </c>
      <c r="D5" s="25" t="n">
        <v>29290000</v>
      </c>
      <c r="E5" s="40" t="n">
        <v>28990000</v>
      </c>
      <c r="F5" s="40" t="n">
        <v>28790000</v>
      </c>
      <c r="G5" s="4" t="n">
        <v>28850000</v>
      </c>
      <c r="I5" t="inlineStr">
        <is>
          <t>FPT</t>
        </is>
      </c>
      <c r="J5" t="inlineStr">
        <is>
          <t>Việt</t>
        </is>
      </c>
      <c r="K5" t="b">
        <v>1</v>
      </c>
    </row>
    <row r="6">
      <c r="A6" t="inlineStr">
        <is>
          <t>iPhone 14 Plus 128GB</t>
        </is>
      </c>
      <c r="B6" s="3" t="n">
        <v>20590000</v>
      </c>
      <c r="C6" s="38" t="n">
        <v>20590000</v>
      </c>
      <c r="D6" s="3" t="n">
        <v>20090000</v>
      </c>
      <c r="E6" s="37" t="n">
        <v>19690000</v>
      </c>
      <c r="F6" s="34" t="n">
        <v>19790000</v>
      </c>
      <c r="G6" s="4" t="n">
        <v>19390000</v>
      </c>
      <c r="I6" t="inlineStr">
        <is>
          <t>Viettel</t>
        </is>
      </c>
      <c r="J6" t="inlineStr">
        <is>
          <t>Sơn</t>
        </is>
      </c>
      <c r="K6" t="b">
        <v>1</v>
      </c>
    </row>
    <row r="7">
      <c r="A7" t="inlineStr">
        <is>
          <t>iPhone 14 128GB</t>
        </is>
      </c>
      <c r="B7" s="3" t="n">
        <v>17090000</v>
      </c>
      <c r="C7" s="42" t="n">
        <v>17090000</v>
      </c>
      <c r="D7" s="39" t="n">
        <v>16990000</v>
      </c>
      <c r="E7" s="37" t="n">
        <v>17690000</v>
      </c>
      <c r="F7" s="39" t="n">
        <v>16990000</v>
      </c>
      <c r="G7" s="4" t="n">
        <v>17290000</v>
      </c>
      <c r="I7" t="inlineStr">
        <is>
          <t>CPS</t>
        </is>
      </c>
      <c r="J7" t="inlineStr">
        <is>
          <t>Trang</t>
        </is>
      </c>
      <c r="K7" t="b">
        <v>1</v>
      </c>
    </row>
    <row r="8">
      <c r="A8" t="inlineStr">
        <is>
          <t>iPhone 13  128GB</t>
        </is>
      </c>
      <c r="B8" s="3" t="n">
        <v>14090000</v>
      </c>
      <c r="C8" s="42" t="n">
        <v>14090000</v>
      </c>
      <c r="D8" s="34" t="n">
        <v>13890000</v>
      </c>
      <c r="E8" s="37" t="n">
        <v>13690000</v>
      </c>
      <c r="F8" s="34" t="n">
        <v>13850000</v>
      </c>
      <c r="G8" s="3" t="inlineStr">
        <is>
          <t>13.790.000</t>
        </is>
      </c>
      <c r="I8" t="inlineStr">
        <is>
          <t>ShopDunk</t>
        </is>
      </c>
      <c r="J8" t="inlineStr">
        <is>
          <t>Đạt</t>
        </is>
      </c>
      <c r="K8" t="b">
        <v>1</v>
      </c>
    </row>
    <row r="9">
      <c r="A9" t="inlineStr">
        <is>
          <t>iPhone 12 64GB</t>
        </is>
      </c>
      <c r="B9" s="37" t="n">
        <v>11590000</v>
      </c>
      <c r="C9" s="38" t="n">
        <v>10990000</v>
      </c>
      <c r="D9" s="25" t="n">
        <v>10890000</v>
      </c>
      <c r="E9" s="37" t="n">
        <v>10990000</v>
      </c>
      <c r="F9" s="39" t="n">
        <v>10990000</v>
      </c>
      <c r="G9" s="4" t="n">
        <v>12290000</v>
      </c>
    </row>
    <row r="10">
      <c r="A10" t="inlineStr">
        <is>
          <t>iPhone 11 64GB</t>
        </is>
      </c>
      <c r="B10" s="3" t="n">
        <v>8990000</v>
      </c>
      <c r="C10" s="40" t="n">
        <v>8890000</v>
      </c>
      <c r="D10" s="3" t="n">
        <v>8940000</v>
      </c>
      <c r="E10" s="37" t="n">
        <v>8490000</v>
      </c>
      <c r="F10" s="34" t="n">
        <v>8890000</v>
      </c>
      <c r="G10" s="4" t="n">
        <v>8790000</v>
      </c>
    </row>
    <row r="11">
      <c r="A11" t="inlineStr">
        <is>
          <t>iPad Air 5 M1 64GB Wifi</t>
        </is>
      </c>
      <c r="B11" s="37" t="inlineStr">
        <is>
          <t>OOS</t>
        </is>
      </c>
      <c r="C11" s="37" t="inlineStr">
        <is>
          <t>OOS</t>
        </is>
      </c>
      <c r="D11" s="4" t="inlineStr">
        <is>
          <t>OOS</t>
        </is>
      </c>
      <c r="E11" s="40" t="n">
        <v>13990000</v>
      </c>
      <c r="F11" s="39" t="inlineStr">
        <is>
          <t>OOS</t>
        </is>
      </c>
      <c r="G11" s="4" t="n">
        <v>14290000</v>
      </c>
    </row>
    <row r="12">
      <c r="A12" t="inlineStr">
        <is>
          <t>iPad Mini 6 64GB Wifi</t>
        </is>
      </c>
      <c r="B12" s="37" t="n">
        <v>12890000</v>
      </c>
      <c r="C12" s="37" t="inlineStr">
        <is>
          <t>OOS</t>
        </is>
      </c>
      <c r="D12" s="4" t="n">
        <v>12690000</v>
      </c>
      <c r="E12" s="37" t="inlineStr">
        <is>
          <t>OOS</t>
        </is>
      </c>
      <c r="F12" s="34" t="n">
        <v>12650000</v>
      </c>
      <c r="G12" s="4" t="n">
        <v>12650000</v>
      </c>
    </row>
    <row r="13">
      <c r="A13" t="inlineStr">
        <is>
          <t>iPad Gen 10th 64GB Wifi</t>
        </is>
      </c>
      <c r="B13" s="37" t="n">
        <v>9990000</v>
      </c>
      <c r="C13" s="37" t="n">
        <v>9990000</v>
      </c>
      <c r="D13" s="25" t="n">
        <v>9940000</v>
      </c>
      <c r="E13" s="37" t="n">
        <v>9490000</v>
      </c>
      <c r="F13" s="34" t="n">
        <v>9490000</v>
      </c>
      <c r="G13" s="4" t="n">
        <v>9490000</v>
      </c>
    </row>
    <row r="14">
      <c r="A14" t="inlineStr">
        <is>
          <t>iPad Gen 9th  64GB Wifi</t>
        </is>
      </c>
      <c r="B14" s="3" t="n">
        <v>7690000</v>
      </c>
      <c r="C14" s="3" t="n">
        <v>7690000</v>
      </c>
      <c r="D14" s="4" t="n">
        <v>7140000</v>
      </c>
      <c r="E14" s="37" t="n">
        <v>6990000</v>
      </c>
      <c r="F14" s="34" t="n">
        <v>7090000</v>
      </c>
      <c r="G14" s="4" t="n">
        <v>7090000</v>
      </c>
    </row>
    <row r="15">
      <c r="A15" t="inlineStr">
        <is>
          <t>iPad Air M2  11" 128 GB Wifi</t>
        </is>
      </c>
      <c r="B15" s="37" t="n">
        <v>16990000</v>
      </c>
      <c r="C15" s="37" t="inlineStr">
        <is>
          <t>OOS</t>
        </is>
      </c>
      <c r="D15" s="4" t="n">
        <v>16890000</v>
      </c>
      <c r="E15" s="40" t="n">
        <v>16490000</v>
      </c>
      <c r="F15" s="34" t="n">
        <v>16450000</v>
      </c>
      <c r="G15" s="3" t="inlineStr">
        <is>
          <t>15.690.000</t>
        </is>
      </c>
    </row>
    <row r="16">
      <c r="A16" t="inlineStr">
        <is>
          <t>iPad Air M2  13" 128 GB Wifi</t>
        </is>
      </c>
      <c r="B16" s="37" t="n">
        <v>22490000</v>
      </c>
      <c r="C16" s="37" t="n">
        <v>22490000</v>
      </c>
      <c r="D16" s="25" t="n">
        <v>21890000</v>
      </c>
      <c r="E16" s="40" t="n">
        <v>21490000</v>
      </c>
      <c r="F16" s="34" t="n">
        <v>21490000</v>
      </c>
      <c r="G16" s="4" t="n">
        <v>21990000</v>
      </c>
    </row>
    <row r="17">
      <c r="A17" t="inlineStr">
        <is>
          <t>iPad Pro  M4  11" 256 GB Wifi</t>
        </is>
      </c>
      <c r="B17" s="37" t="n">
        <v>27790000</v>
      </c>
      <c r="C17" s="37" t="n">
        <v>27790000</v>
      </c>
      <c r="D17" s="25" t="n">
        <v>27590000</v>
      </c>
      <c r="E17" s="40" t="n">
        <v>27490000</v>
      </c>
      <c r="F17" s="34" t="n">
        <v>27590000</v>
      </c>
      <c r="G17" s="4" t="n">
        <v>27190000</v>
      </c>
    </row>
    <row r="18">
      <c r="A18" t="inlineStr">
        <is>
          <t>iPad Pro  M4  13" 256 GB Wifi</t>
        </is>
      </c>
      <c r="B18" s="37" t="n">
        <v>37290000</v>
      </c>
      <c r="C18" s="37" t="n">
        <v>37290000</v>
      </c>
      <c r="D18" s="25" t="n">
        <v>36490000</v>
      </c>
      <c r="E18" s="37" t="n">
        <v>36490000</v>
      </c>
      <c r="F18" s="34" t="n">
        <v>36990000</v>
      </c>
      <c r="G18" s="4" t="n">
        <v>36890000</v>
      </c>
    </row>
    <row r="19">
      <c r="A19" t="inlineStr">
        <is>
          <t>AW SE 2023 (40mm GPS)</t>
        </is>
      </c>
      <c r="B19" s="37" t="n">
        <v>6090000</v>
      </c>
      <c r="C19" s="37" t="n">
        <v>6090000</v>
      </c>
      <c r="D19" s="4" t="n">
        <v>5940000</v>
      </c>
      <c r="E19" s="40" t="n">
        <v>5990000</v>
      </c>
      <c r="F19" s="34" t="n">
        <v>5990000</v>
      </c>
      <c r="G19" s="4" t="n">
        <v>5890000</v>
      </c>
    </row>
    <row r="20">
      <c r="A20" t="inlineStr">
        <is>
          <t>AW SE 2023 (40mm LTE)</t>
        </is>
      </c>
      <c r="B20" s="37" t="n">
        <v>7490000</v>
      </c>
      <c r="C20" s="37" t="inlineStr">
        <is>
          <t>OOS</t>
        </is>
      </c>
      <c r="D20" s="4" t="n">
        <v>7340000</v>
      </c>
      <c r="E20" s="40" t="n">
        <v>7290000</v>
      </c>
      <c r="F20" s="39" t="n">
        <v>7390000</v>
      </c>
      <c r="G20" s="4" t="n">
        <v>7390000</v>
      </c>
    </row>
    <row r="21">
      <c r="A21" t="inlineStr">
        <is>
          <t>AW SE 2023 (44mm GPS)</t>
        </is>
      </c>
      <c r="B21" s="3" t="n">
        <v>6990000</v>
      </c>
      <c r="C21" s="42" t="n">
        <v>6990000</v>
      </c>
      <c r="D21" s="4" t="n">
        <v>6940000</v>
      </c>
      <c r="E21" s="40" t="n">
        <v>6590000</v>
      </c>
      <c r="F21" s="39" t="n">
        <v>6990000</v>
      </c>
      <c r="G21" s="4" t="n">
        <v>6790000</v>
      </c>
    </row>
    <row r="22">
      <c r="A22" t="inlineStr">
        <is>
          <t>AW SE 2023 (44mm LTE)</t>
        </is>
      </c>
      <c r="B22" s="3" t="n">
        <v>7990000</v>
      </c>
      <c r="C22" s="37" t="inlineStr">
        <is>
          <t>OOS</t>
        </is>
      </c>
      <c r="D22" s="4" t="n">
        <v>8140000</v>
      </c>
      <c r="E22" s="40" t="n">
        <v>7990000</v>
      </c>
      <c r="F22" s="39" t="n">
        <v>8190000</v>
      </c>
      <c r="G22" s="4" t="n">
        <v>8090000</v>
      </c>
    </row>
    <row r="23">
      <c r="A23" t="inlineStr">
        <is>
          <t>AW S9 (41mm GPS)</t>
        </is>
      </c>
      <c r="B23" s="3" t="n">
        <v>8990000</v>
      </c>
      <c r="C23" s="3" t="n">
        <v>8990000</v>
      </c>
      <c r="D23" s="4" t="n">
        <v>9440000</v>
      </c>
      <c r="E23" s="38" t="n">
        <v>9790000</v>
      </c>
      <c r="F23" s="34" t="n">
        <v>9090000</v>
      </c>
      <c r="G23" s="4" t="n">
        <v>9190000</v>
      </c>
    </row>
    <row r="24">
      <c r="A24" t="inlineStr">
        <is>
          <t>AW S9 (41mm CEL)</t>
        </is>
      </c>
      <c r="B24" s="3" t="n">
        <v>12790000</v>
      </c>
      <c r="C24" s="37" t="inlineStr">
        <is>
          <t>OOS</t>
        </is>
      </c>
      <c r="D24" s="4" t="n">
        <v>12190000</v>
      </c>
      <c r="E24" s="40" t="n">
        <v>12190000</v>
      </c>
      <c r="F24" s="39" t="n">
        <v>12590000</v>
      </c>
      <c r="G24" s="4" t="n">
        <v>11690000</v>
      </c>
    </row>
    <row r="25">
      <c r="A25" t="inlineStr">
        <is>
          <t>AW S9 (45mm GPS)</t>
        </is>
      </c>
      <c r="B25" s="3" t="n">
        <v>9790000</v>
      </c>
      <c r="C25" s="3" t="n">
        <v>9790000</v>
      </c>
      <c r="D25" s="4" t="n">
        <v>10490000</v>
      </c>
      <c r="E25" s="38" t="n">
        <v>10490000</v>
      </c>
      <c r="F25" s="34" t="n">
        <v>10390000</v>
      </c>
      <c r="G25" s="4" t="n">
        <v>10190000</v>
      </c>
    </row>
    <row r="26">
      <c r="A26" t="inlineStr">
        <is>
          <t>AW S9 (45mm CEL)</t>
        </is>
      </c>
      <c r="B26" s="3" t="n">
        <v>13590000</v>
      </c>
      <c r="C26" s="37" t="inlineStr">
        <is>
          <t>OOS</t>
        </is>
      </c>
      <c r="D26" s="4" t="n">
        <v>13390000</v>
      </c>
      <c r="E26" s="40" t="n">
        <v>12990000</v>
      </c>
      <c r="F26" s="39" t="inlineStr">
        <is>
          <t>OOS</t>
        </is>
      </c>
      <c r="G26" s="4" t="n">
        <v>12690000</v>
      </c>
    </row>
    <row r="27">
      <c r="A27" t="inlineStr">
        <is>
          <t>AW Ultra 2 (49mm)</t>
        </is>
      </c>
      <c r="B27" s="3" t="n">
        <v>20990000</v>
      </c>
      <c r="C27" s="37" t="n">
        <v>21190000</v>
      </c>
      <c r="D27" s="25" t="n">
        <v>20890000</v>
      </c>
      <c r="E27" s="37" t="inlineStr">
        <is>
          <t>OOS</t>
        </is>
      </c>
      <c r="F27" s="34" t="n">
        <v>21290000</v>
      </c>
      <c r="G27" s="4" t="n">
        <v>20890000</v>
      </c>
    </row>
    <row r="28">
      <c r="A28" t="inlineStr">
        <is>
          <t>AirPods Pro 2 - 2023 (C-Type)</t>
        </is>
      </c>
      <c r="B28" s="37" t="n">
        <v>5790000</v>
      </c>
      <c r="C28" s="37" t="n">
        <v>5790000</v>
      </c>
      <c r="D28" s="39" t="n">
        <v>5740000</v>
      </c>
      <c r="E28" s="38" t="n">
        <v>5419000</v>
      </c>
      <c r="F28" s="34" t="n">
        <v>5550000</v>
      </c>
      <c r="G28" s="4" t="n">
        <v>5450000</v>
      </c>
    </row>
    <row r="29">
      <c r="A29" t="inlineStr">
        <is>
          <t>AirPods 3 with charging case</t>
        </is>
      </c>
      <c r="B29" s="37" t="n">
        <v>4090000</v>
      </c>
      <c r="C29" s="37" t="n">
        <v>4090000</v>
      </c>
      <c r="D29" s="25" t="n">
        <v>4090000</v>
      </c>
      <c r="E29" s="40" t="n">
        <v>4150000</v>
      </c>
      <c r="F29" s="34" t="n">
        <v>4090000</v>
      </c>
      <c r="G29" s="4" t="inlineStr">
        <is>
          <t>3.890.000</t>
        </is>
      </c>
    </row>
    <row r="30">
      <c r="A30" t="inlineStr">
        <is>
          <t>AirPods 2 with charging case</t>
        </is>
      </c>
      <c r="B30" s="3" t="n">
        <v>3090000</v>
      </c>
      <c r="C30" s="3" t="n">
        <v>3090000</v>
      </c>
      <c r="D30" s="39" t="n">
        <v>3090000</v>
      </c>
      <c r="E30" s="40" t="n">
        <v>2690000</v>
      </c>
      <c r="F30" s="34" t="n">
        <v>3090000</v>
      </c>
      <c r="G30" s="4" t="n">
        <v>2750000</v>
      </c>
    </row>
    <row r="31">
      <c r="A31" t="inlineStr">
        <is>
          <t>MacBook Air 13" M1 8/256Gb</t>
        </is>
      </c>
      <c r="B31" s="3" t="n">
        <v>18390000</v>
      </c>
      <c r="C31" s="3" t="n">
        <v>18390000</v>
      </c>
      <c r="D31" s="34" t="n">
        <v>18490000</v>
      </c>
      <c r="E31" s="37" t="n"/>
      <c r="F31" s="34" t="n">
        <v>18390000</v>
      </c>
      <c r="G31" s="4" t="n">
        <v>17750000</v>
      </c>
    </row>
    <row r="32">
      <c r="A32" t="inlineStr">
        <is>
          <t>MacBook Air 13" M2 8/256GB</t>
        </is>
      </c>
      <c r="B32" s="3" t="n">
        <v>24790000</v>
      </c>
      <c r="C32" s="3" t="n">
        <v>24790000</v>
      </c>
      <c r="D32" s="25" t="n">
        <v>23690000</v>
      </c>
      <c r="E32" s="37" t="n"/>
      <c r="F32" s="34" t="n">
        <v>23390000</v>
      </c>
      <c r="G32" s="4" t="n">
        <v>22990000</v>
      </c>
    </row>
    <row r="33">
      <c r="A33" t="inlineStr">
        <is>
          <t>MacBook Air 13" M3 8/256GB</t>
        </is>
      </c>
      <c r="B33" s="37" t="n">
        <v>27090000</v>
      </c>
      <c r="C33" s="37" t="n">
        <v>27090000</v>
      </c>
      <c r="D33" s="39" t="n">
        <v>26790000</v>
      </c>
      <c r="E33" s="37" t="n"/>
      <c r="F33" s="39" t="n">
        <v>26790000</v>
      </c>
      <c r="G33" s="4" t="n">
        <v>26290000</v>
      </c>
    </row>
    <row r="34">
      <c r="A34" t="inlineStr">
        <is>
          <t>MacBook Air 15" M3 8/256GB</t>
        </is>
      </c>
      <c r="B34" s="3" t="n">
        <v>31290000</v>
      </c>
      <c r="C34" s="3" t="n">
        <v>31290000</v>
      </c>
      <c r="D34" s="4" t="n">
        <v>31090000</v>
      </c>
      <c r="E34" s="37" t="n"/>
      <c r="F34" s="39" t="n">
        <v>31190000</v>
      </c>
      <c r="G34" s="4" t="n">
        <v>30790000</v>
      </c>
    </row>
    <row r="35">
      <c r="A35" t="inlineStr">
        <is>
          <t>MacBook Pro 14" M3 8/512GB</t>
        </is>
      </c>
      <c r="B35" s="3" t="n">
        <v>38190000</v>
      </c>
      <c r="C35" s="3" t="n">
        <v>38190000</v>
      </c>
      <c r="D35" s="25" t="n">
        <v>37990000</v>
      </c>
      <c r="E35" s="37" t="n"/>
      <c r="F35" s="39" t="n">
        <v>38190000</v>
      </c>
      <c r="G35" s="4" t="n">
        <v>37790000</v>
      </c>
    </row>
  </sheetData>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codeName="Sheet23">
    <outlinePr summaryBelow="1" summaryRight="1"/>
    <pageSetUpPr/>
  </sheetPr>
  <dimension ref="A1:K39"/>
  <sheetViews>
    <sheetView workbookViewId="0">
      <selection activeCell="E10" sqref="E10"/>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7" t="n">
        <v>22990000</v>
      </c>
      <c r="C2" s="37" t="n">
        <v>22990000</v>
      </c>
      <c r="D2" s="37" t="n">
        <v>22990000</v>
      </c>
      <c r="E2" s="37" t="n">
        <v>22990000</v>
      </c>
      <c r="F2" s="37" t="n">
        <v>22990000</v>
      </c>
      <c r="G2" s="4" t="n">
        <v>21990000</v>
      </c>
    </row>
    <row r="3">
      <c r="A3" t="inlineStr">
        <is>
          <t>iPhone 16  Plus 128GB</t>
        </is>
      </c>
      <c r="B3" s="37" t="n">
        <v>25990000</v>
      </c>
      <c r="C3" s="37" t="n">
        <v>25990000</v>
      </c>
      <c r="D3" s="37" t="n">
        <v>25990000</v>
      </c>
      <c r="E3" s="37" t="n">
        <v>25990000</v>
      </c>
      <c r="F3" s="37" t="n">
        <v>25990000</v>
      </c>
      <c r="G3" s="4" t="n">
        <v>24990000</v>
      </c>
    </row>
    <row r="4">
      <c r="A4" t="inlineStr">
        <is>
          <t>iPhone 16 Pro  128GB</t>
        </is>
      </c>
      <c r="B4" s="37" t="n">
        <v>28990000</v>
      </c>
      <c r="C4" s="37" t="n">
        <v>28990000</v>
      </c>
      <c r="D4" s="37" t="n">
        <v>28990000</v>
      </c>
      <c r="E4" s="37" t="n">
        <v>28990000</v>
      </c>
      <c r="F4" s="37" t="n">
        <v>28990000</v>
      </c>
      <c r="G4" s="4" t="n">
        <v>28990000</v>
      </c>
    </row>
    <row r="5">
      <c r="A5" t="inlineStr">
        <is>
          <t>iPhone 16 Pro Max 256GB</t>
        </is>
      </c>
      <c r="B5" s="37" t="n">
        <v>34990000</v>
      </c>
      <c r="C5" s="37" t="n">
        <v>34990000</v>
      </c>
      <c r="D5" s="37" t="n">
        <v>34990000</v>
      </c>
      <c r="E5" s="37" t="n">
        <v>34990000</v>
      </c>
      <c r="F5" s="37" t="n">
        <v>34990000</v>
      </c>
      <c r="G5" s="4" t="n">
        <v>34990000</v>
      </c>
    </row>
    <row r="6">
      <c r="A6" t="inlineStr">
        <is>
          <t>iPhone 15  128GB</t>
        </is>
      </c>
      <c r="B6" s="3" t="n">
        <v>19590000</v>
      </c>
      <c r="C6" s="3" t="n">
        <v>19590000</v>
      </c>
      <c r="D6" s="43" t="n">
        <v>19590000</v>
      </c>
      <c r="E6" s="37" t="n">
        <v>19490000</v>
      </c>
      <c r="F6" s="40" t="n">
        <v>19090000</v>
      </c>
      <c r="G6" s="4" t="inlineStr">
        <is>
          <t>19.190.000</t>
        </is>
      </c>
    </row>
    <row r="7">
      <c r="A7" t="inlineStr">
        <is>
          <t>iPhone 15  Plus 128GB</t>
        </is>
      </c>
      <c r="B7" s="3" t="n">
        <v>22590000</v>
      </c>
      <c r="C7" s="3" t="n">
        <v>22590000</v>
      </c>
      <c r="D7" s="43" t="n">
        <v>22590000</v>
      </c>
      <c r="E7" s="37" t="n">
        <v>22490000</v>
      </c>
      <c r="F7" s="40" t="n">
        <v>22190000</v>
      </c>
      <c r="G7" s="4" t="n">
        <v>22250000</v>
      </c>
      <c r="I7" t="inlineStr">
        <is>
          <t xml:space="preserve">MW </t>
        </is>
      </c>
      <c r="J7" t="inlineStr">
        <is>
          <t>Duy</t>
        </is>
      </c>
      <c r="K7" t="b">
        <v>1</v>
      </c>
    </row>
    <row r="8">
      <c r="A8" t="inlineStr">
        <is>
          <t>iPhone 15 Pro  128GB</t>
        </is>
      </c>
      <c r="B8" s="3" t="n">
        <v>25090000</v>
      </c>
      <c r="C8" s="37" t="inlineStr">
        <is>
          <t>OOS</t>
        </is>
      </c>
      <c r="D8" s="43" t="n">
        <v>24990000</v>
      </c>
      <c r="E8" s="38" t="n">
        <v>23690000</v>
      </c>
      <c r="F8" s="38" t="n">
        <v>24790000</v>
      </c>
      <c r="G8" s="4" t="n">
        <v>24390000</v>
      </c>
      <c r="I8" t="inlineStr">
        <is>
          <t>TZ</t>
        </is>
      </c>
      <c r="J8" t="inlineStr">
        <is>
          <t>Nghĩa</t>
        </is>
      </c>
      <c r="K8" t="b">
        <v>1</v>
      </c>
    </row>
    <row r="9">
      <c r="A9" t="inlineStr">
        <is>
          <t>iPhone 15 Pro Max 256GB</t>
        </is>
      </c>
      <c r="B9" s="3" t="n">
        <v>29490000</v>
      </c>
      <c r="C9" s="42" t="n">
        <v>29490000</v>
      </c>
      <c r="D9" s="25" t="n">
        <v>29290000</v>
      </c>
      <c r="E9" s="38" t="n">
        <v>28690000</v>
      </c>
      <c r="F9" s="38" t="inlineStr">
        <is>
          <t>28.750.000</t>
        </is>
      </c>
      <c r="G9" s="3" t="n">
        <v>28790000</v>
      </c>
      <c r="I9" t="inlineStr">
        <is>
          <t>FPT</t>
        </is>
      </c>
      <c r="J9" t="inlineStr">
        <is>
          <t>Việt</t>
        </is>
      </c>
      <c r="K9" t="b">
        <v>1</v>
      </c>
    </row>
    <row r="10">
      <c r="A10" t="inlineStr">
        <is>
          <t>iPhone 14 Plus 128GB</t>
        </is>
      </c>
      <c r="B10" s="3" t="n">
        <v>19890000</v>
      </c>
      <c r="C10" s="3" t="n">
        <v>19890000</v>
      </c>
      <c r="D10" s="25" t="n">
        <v>20090000</v>
      </c>
      <c r="E10" s="37" t="n">
        <v>19690000</v>
      </c>
      <c r="F10" s="34" t="n">
        <v>19790000</v>
      </c>
      <c r="G10" s="4" t="n">
        <v>19390000</v>
      </c>
      <c r="I10" t="inlineStr">
        <is>
          <t>Viettel</t>
        </is>
      </c>
      <c r="J10" t="inlineStr">
        <is>
          <t>Sơn</t>
        </is>
      </c>
      <c r="K10" t="b">
        <v>1</v>
      </c>
    </row>
    <row r="11">
      <c r="A11" t="inlineStr">
        <is>
          <t>iPhone 14 128GB</t>
        </is>
      </c>
      <c r="B11" s="3" t="n">
        <v>17090000</v>
      </c>
      <c r="C11" s="43" t="n">
        <v>17090000</v>
      </c>
      <c r="D11" s="39" t="n">
        <v>16990000</v>
      </c>
      <c r="E11" s="37" t="n">
        <v>17690000</v>
      </c>
      <c r="F11" s="39" t="n">
        <v>16990000</v>
      </c>
      <c r="G11" s="4" t="n">
        <v>17290000</v>
      </c>
      <c r="I11" t="inlineStr">
        <is>
          <t>CPS</t>
        </is>
      </c>
      <c r="J11" t="inlineStr">
        <is>
          <t>Trang</t>
        </is>
      </c>
      <c r="K11" t="b">
        <v>1</v>
      </c>
    </row>
    <row r="12">
      <c r="A12" t="inlineStr">
        <is>
          <t>iPhone 13  128GB</t>
        </is>
      </c>
      <c r="B12" s="3" t="n">
        <v>14090000</v>
      </c>
      <c r="C12" s="43" t="n">
        <v>14090000</v>
      </c>
      <c r="D12" s="34" t="n">
        <v>13990000</v>
      </c>
      <c r="E12" s="37" t="n">
        <v>13690000</v>
      </c>
      <c r="F12" s="39" t="n">
        <v>13850000</v>
      </c>
      <c r="G12" s="4" t="inlineStr">
        <is>
          <t>13.790.000</t>
        </is>
      </c>
      <c r="I12" t="inlineStr">
        <is>
          <t>ShopDunk</t>
        </is>
      </c>
      <c r="J12" t="inlineStr">
        <is>
          <t>Đạt</t>
        </is>
      </c>
      <c r="K12" t="b">
        <v>1</v>
      </c>
    </row>
    <row r="13">
      <c r="A13" t="inlineStr">
        <is>
          <t>iPhone 12 64GB</t>
        </is>
      </c>
      <c r="B13" s="3" t="n">
        <v>11490000</v>
      </c>
      <c r="C13" s="38" t="n">
        <v>11490000</v>
      </c>
      <c r="D13" s="25" t="n">
        <v>10890000</v>
      </c>
      <c r="E13" s="37" t="n">
        <v>10990000</v>
      </c>
      <c r="F13" s="39" t="n">
        <v>10990000</v>
      </c>
      <c r="G13" s="4" t="n">
        <v>12290000</v>
      </c>
    </row>
    <row r="14">
      <c r="A14" t="inlineStr">
        <is>
          <t>iPhone 11 64GB</t>
        </is>
      </c>
      <c r="B14" s="3" t="n">
        <v>8940000</v>
      </c>
      <c r="C14" s="3" t="n">
        <v>8940000</v>
      </c>
      <c r="D14" s="25" t="n">
        <v>8940000</v>
      </c>
      <c r="E14" s="37" t="n">
        <v>8490000</v>
      </c>
      <c r="F14" s="39" t="n">
        <v>8890000</v>
      </c>
      <c r="G14" s="4" t="n">
        <v>8790000</v>
      </c>
    </row>
    <row r="15">
      <c r="A15" t="inlineStr">
        <is>
          <t>iPad Air 5 M1 64GB Wifi</t>
        </is>
      </c>
      <c r="B15" s="37" t="inlineStr">
        <is>
          <t>OOS</t>
        </is>
      </c>
      <c r="C15" s="37" t="inlineStr">
        <is>
          <t>OOS</t>
        </is>
      </c>
      <c r="D15" s="4" t="inlineStr">
        <is>
          <t>OOS</t>
        </is>
      </c>
      <c r="E15" s="40" t="n">
        <v>13990000</v>
      </c>
      <c r="F15" s="39" t="inlineStr">
        <is>
          <t>OOS</t>
        </is>
      </c>
      <c r="G15" s="4" t="n">
        <v>14290000</v>
      </c>
    </row>
    <row r="16">
      <c r="A16" t="inlineStr">
        <is>
          <t>iPad Mini 6 64GB Wifi</t>
        </is>
      </c>
      <c r="B16" s="3" t="n">
        <v>12890000</v>
      </c>
      <c r="C16" s="37" t="inlineStr">
        <is>
          <t>OOS</t>
        </is>
      </c>
      <c r="D16" s="4" t="n">
        <v>12690000</v>
      </c>
      <c r="E16" s="37" t="inlineStr">
        <is>
          <t>OOS</t>
        </is>
      </c>
      <c r="F16" s="34" t="n">
        <v>12650000</v>
      </c>
      <c r="G16" s="4" t="n">
        <v>12650000</v>
      </c>
    </row>
    <row r="17">
      <c r="A17" t="inlineStr">
        <is>
          <t>iPad Gen 10th 64GB Wifi</t>
        </is>
      </c>
      <c r="B17" s="3" t="n">
        <v>9890000</v>
      </c>
      <c r="C17" s="3" t="n">
        <v>9890000</v>
      </c>
      <c r="D17" s="25" t="n">
        <v>9940000</v>
      </c>
      <c r="E17" s="37" t="n">
        <v>9490000</v>
      </c>
      <c r="F17" s="34" t="n">
        <v>9490000</v>
      </c>
      <c r="G17" s="4" t="n">
        <v>9490000</v>
      </c>
    </row>
    <row r="18">
      <c r="A18" t="inlineStr">
        <is>
          <t>iPad Gen 9th  64GB Wifi</t>
        </is>
      </c>
      <c r="B18" s="3" t="n">
        <v>7640000</v>
      </c>
      <c r="C18" s="3" t="n">
        <v>7640000</v>
      </c>
      <c r="D18" s="4" t="n">
        <v>7140000</v>
      </c>
      <c r="E18" s="37" t="n">
        <v>6990000</v>
      </c>
      <c r="F18" s="34" t="n">
        <v>7150000</v>
      </c>
      <c r="G18" s="4" t="n">
        <v>7090000</v>
      </c>
    </row>
    <row r="19">
      <c r="A19" t="inlineStr">
        <is>
          <t>iPad Air M2  11" 128 GB Wifi</t>
        </is>
      </c>
      <c r="B19" s="3" t="n">
        <v>16890000</v>
      </c>
      <c r="C19" s="37" t="inlineStr">
        <is>
          <t>OOS</t>
        </is>
      </c>
      <c r="D19" s="4" t="n">
        <v>16890000</v>
      </c>
      <c r="E19" s="40" t="n">
        <v>16490000</v>
      </c>
      <c r="F19" s="34" t="n">
        <v>16490000</v>
      </c>
      <c r="G19" s="4" t="inlineStr">
        <is>
          <t>15.690.000</t>
        </is>
      </c>
    </row>
    <row r="20">
      <c r="A20" t="inlineStr">
        <is>
          <t>iPad Air M2  13" 128 GB Wifi</t>
        </is>
      </c>
      <c r="B20" s="3" t="n">
        <v>22390000</v>
      </c>
      <c r="C20" s="37" t="n">
        <v>22490000</v>
      </c>
      <c r="D20" s="25" t="n">
        <v>21890000</v>
      </c>
      <c r="E20" s="40" t="n">
        <v>21490000</v>
      </c>
      <c r="F20" s="39" t="n">
        <v>21490000</v>
      </c>
      <c r="G20" s="4" t="n">
        <v>21990000</v>
      </c>
    </row>
    <row r="21">
      <c r="A21" t="inlineStr">
        <is>
          <t>iPad Pro  M4  11" 256 GB Wifi</t>
        </is>
      </c>
      <c r="B21" s="3" t="n">
        <v>27690000</v>
      </c>
      <c r="C21" s="37" t="n">
        <v>27790000</v>
      </c>
      <c r="D21" s="25" t="n">
        <v>27590000</v>
      </c>
      <c r="E21" s="40" t="n">
        <v>27490000</v>
      </c>
      <c r="F21" s="34" t="n">
        <v>27690000</v>
      </c>
      <c r="G21" s="4" t="n">
        <v>27190000</v>
      </c>
    </row>
    <row r="22">
      <c r="A22" t="inlineStr">
        <is>
          <t>iPad Pro  M4  13" 256 GB Wifi</t>
        </is>
      </c>
      <c r="B22" s="3" t="n">
        <v>37190000</v>
      </c>
      <c r="C22" s="37" t="n">
        <v>37290000</v>
      </c>
      <c r="D22" s="25" t="n">
        <v>36490000</v>
      </c>
      <c r="E22" s="37" t="n">
        <v>36490000</v>
      </c>
      <c r="F22" s="39" t="n">
        <v>36990000</v>
      </c>
      <c r="G22" s="4" t="n">
        <v>36890000</v>
      </c>
    </row>
    <row r="23">
      <c r="A23" t="inlineStr">
        <is>
          <t>AW SE 2023 (40mm GPS)</t>
        </is>
      </c>
      <c r="B23" s="3" t="n">
        <v>6040000</v>
      </c>
      <c r="C23" s="37" t="n">
        <v>6090000</v>
      </c>
      <c r="D23" s="4" t="n">
        <v>5940000</v>
      </c>
      <c r="E23" s="40" t="n">
        <v>5990000</v>
      </c>
      <c r="F23" s="39" t="n">
        <v>5990000</v>
      </c>
      <c r="G23" s="4" t="n">
        <v>5890000</v>
      </c>
    </row>
    <row r="24">
      <c r="A24" t="inlineStr">
        <is>
          <t>AW SE 2023 (40mm LTE)</t>
        </is>
      </c>
      <c r="B24" s="3" t="n">
        <v>7450000</v>
      </c>
      <c r="C24" s="37" t="inlineStr">
        <is>
          <t>OOS</t>
        </is>
      </c>
      <c r="D24" s="3" t="n">
        <v>7240000</v>
      </c>
      <c r="E24" s="40" t="n">
        <v>7290000</v>
      </c>
      <c r="F24" s="39" t="n">
        <v>7390000</v>
      </c>
      <c r="G24" s="4" t="n">
        <v>7390000</v>
      </c>
    </row>
    <row r="25">
      <c r="A25" t="inlineStr">
        <is>
          <t>AW SE 2023 (44mm GPS)</t>
        </is>
      </c>
      <c r="B25" s="3" t="n">
        <v>6940000</v>
      </c>
      <c r="C25" s="3" t="n">
        <v>6940000</v>
      </c>
      <c r="D25" s="3" t="n">
        <v>6740000</v>
      </c>
      <c r="E25" s="40" t="n">
        <v>6590000</v>
      </c>
      <c r="F25" s="39" t="n">
        <v>6990000</v>
      </c>
      <c r="G25" s="4" t="n">
        <v>6790000</v>
      </c>
    </row>
    <row r="26">
      <c r="A26" t="inlineStr">
        <is>
          <t>AW SE 2023 (44mm LTE)</t>
        </is>
      </c>
      <c r="B26" s="3" t="n">
        <v>7940000</v>
      </c>
      <c r="C26" s="37" t="inlineStr">
        <is>
          <t>OOS</t>
        </is>
      </c>
      <c r="D26" s="3" t="n">
        <v>8040000</v>
      </c>
      <c r="E26" s="40" t="n">
        <v>7990000</v>
      </c>
      <c r="F26" s="39" t="n">
        <v>8190000</v>
      </c>
      <c r="G26" s="3" t="n">
        <v>7490000</v>
      </c>
    </row>
    <row r="27">
      <c r="A27" t="inlineStr">
        <is>
          <t>AW S9 (41mm GPS)</t>
        </is>
      </c>
      <c r="B27" s="3" t="n">
        <v>8940000</v>
      </c>
      <c r="C27" s="3" t="n">
        <v>8940000</v>
      </c>
      <c r="D27" s="3" t="n">
        <v>9540000</v>
      </c>
      <c r="E27" s="38" t="n">
        <v>9790000</v>
      </c>
      <c r="F27" s="39" t="n">
        <v>9090000</v>
      </c>
      <c r="G27" s="4" t="n">
        <v>9190000</v>
      </c>
    </row>
    <row r="28">
      <c r="A28" t="inlineStr">
        <is>
          <t>AW S9 (41mm CEL)</t>
        </is>
      </c>
      <c r="B28" s="3" t="n">
        <v>12690000</v>
      </c>
      <c r="C28" s="37" t="inlineStr">
        <is>
          <t>OOS</t>
        </is>
      </c>
      <c r="D28" s="4" t="n">
        <v>12190000</v>
      </c>
      <c r="E28" s="40" t="n">
        <v>12190000</v>
      </c>
      <c r="F28" s="39" t="n">
        <v>12590000</v>
      </c>
      <c r="G28" s="4" t="n">
        <v>11690000</v>
      </c>
    </row>
    <row r="29">
      <c r="A29" t="inlineStr">
        <is>
          <t>AW S9 (45mm GPS)</t>
        </is>
      </c>
      <c r="B29" s="3" t="n">
        <v>9690000</v>
      </c>
      <c r="C29" s="3" t="n">
        <v>9690000</v>
      </c>
      <c r="D29" s="4" t="n">
        <v>10490000</v>
      </c>
      <c r="E29" s="38" t="n">
        <v>10490000</v>
      </c>
      <c r="F29" s="39" t="n">
        <v>10390000</v>
      </c>
      <c r="G29" s="4" t="n">
        <v>10190000</v>
      </c>
    </row>
    <row r="30">
      <c r="A30" t="inlineStr">
        <is>
          <t>AW S9 (45mm CEL)</t>
        </is>
      </c>
      <c r="B30" s="3" t="n">
        <v>13490000</v>
      </c>
      <c r="C30" s="37" t="inlineStr">
        <is>
          <t>OOS</t>
        </is>
      </c>
      <c r="D30" s="4" t="n">
        <v>13390000</v>
      </c>
      <c r="E30" s="40" t="n">
        <v>12990000</v>
      </c>
      <c r="F30" s="39" t="inlineStr">
        <is>
          <t>OOS</t>
        </is>
      </c>
      <c r="G30" s="4" t="n">
        <v>12690000</v>
      </c>
    </row>
    <row r="31">
      <c r="A31" t="inlineStr">
        <is>
          <t>AW Ultra 2 (49mm)</t>
        </is>
      </c>
      <c r="B31" s="3" t="n">
        <v>20990000</v>
      </c>
      <c r="C31" s="37" t="n">
        <v>21190000</v>
      </c>
      <c r="D31" s="25" t="n">
        <v>20890000</v>
      </c>
      <c r="E31" s="37" t="inlineStr">
        <is>
          <t>OOS</t>
        </is>
      </c>
      <c r="F31" s="34" t="n">
        <v>21290000</v>
      </c>
      <c r="G31" s="4" t="n">
        <v>20890000</v>
      </c>
    </row>
    <row r="32">
      <c r="A32" t="inlineStr">
        <is>
          <t>AirPods Pro 2 - 2023 (C-Type)</t>
        </is>
      </c>
      <c r="B32" s="3" t="n">
        <v>5740000</v>
      </c>
      <c r="C32" s="37" t="n">
        <v>5790000</v>
      </c>
      <c r="D32" s="39" t="n">
        <v>5740000</v>
      </c>
      <c r="E32" s="38" t="n">
        <v>5419000</v>
      </c>
      <c r="F32" s="39" t="n">
        <v>5550000</v>
      </c>
      <c r="G32" s="4" t="n">
        <v>5450000</v>
      </c>
    </row>
    <row r="33">
      <c r="A33" t="inlineStr">
        <is>
          <t>AirPods 3 with charging case</t>
        </is>
      </c>
      <c r="B33" s="3" t="n">
        <v>4040000</v>
      </c>
      <c r="C33" s="37" t="n">
        <v>4090000</v>
      </c>
      <c r="D33" s="25" t="n">
        <v>4090000</v>
      </c>
      <c r="E33" s="40" t="n">
        <v>4150000</v>
      </c>
      <c r="F33" s="39" t="n">
        <v>4090000</v>
      </c>
      <c r="G33" s="4" t="inlineStr">
        <is>
          <t>3.890.000</t>
        </is>
      </c>
    </row>
    <row r="34">
      <c r="A34" t="inlineStr">
        <is>
          <t>AirPods 2 with charging case</t>
        </is>
      </c>
      <c r="B34" s="37" t="n">
        <v>3090000</v>
      </c>
      <c r="C34" s="37" t="n">
        <v>3090000</v>
      </c>
      <c r="D34" s="39" t="n">
        <v>3090000</v>
      </c>
      <c r="E34" s="40" t="n">
        <v>2690000</v>
      </c>
      <c r="F34" s="39" t="n">
        <v>3090000</v>
      </c>
      <c r="G34" s="4" t="n">
        <v>2750000</v>
      </c>
    </row>
    <row r="35">
      <c r="A35" t="inlineStr">
        <is>
          <t>MacBook Air 13" M1 8/256Gb</t>
        </is>
      </c>
      <c r="B35" s="37" t="n">
        <v>18390000</v>
      </c>
      <c r="C35" s="37" t="n">
        <v>18390000</v>
      </c>
      <c r="D35" s="39" t="n">
        <v>18490000</v>
      </c>
      <c r="E35" s="37" t="n"/>
      <c r="F35" s="34" t="n">
        <v>18290000</v>
      </c>
      <c r="G35" s="4" t="n">
        <v>17750000</v>
      </c>
    </row>
    <row r="36">
      <c r="A36" t="inlineStr">
        <is>
          <t>MacBook Air 13" M2 8/256GB</t>
        </is>
      </c>
      <c r="B36" s="3" t="n">
        <v>24690000</v>
      </c>
      <c r="C36" s="3" t="n">
        <v>24690000</v>
      </c>
      <c r="D36" s="25" t="n">
        <v>23690000</v>
      </c>
      <c r="E36" s="37" t="n"/>
      <c r="F36" s="34" t="n">
        <v>23490000</v>
      </c>
      <c r="G36" s="4" t="n">
        <v>22990000</v>
      </c>
    </row>
    <row r="37">
      <c r="A37" t="inlineStr">
        <is>
          <t>MacBook Air 13" M3 8/256GB</t>
        </is>
      </c>
      <c r="B37" s="3" t="n">
        <v>26990000</v>
      </c>
      <c r="C37" s="3" t="n">
        <v>26990000</v>
      </c>
      <c r="D37" s="39" t="n">
        <v>26790000</v>
      </c>
      <c r="E37" s="37" t="n"/>
      <c r="F37" s="34" t="n">
        <v>26990000</v>
      </c>
      <c r="G37" s="4" t="n">
        <v>26290000</v>
      </c>
    </row>
    <row r="38">
      <c r="A38" t="inlineStr">
        <is>
          <t>MacBook Air 15" M3 8/256GB</t>
        </is>
      </c>
      <c r="B38" s="3" t="n">
        <v>31190000</v>
      </c>
      <c r="C38" s="3" t="n">
        <v>31190000</v>
      </c>
      <c r="D38" s="4" t="n">
        <v>31090000</v>
      </c>
      <c r="E38" s="37" t="n"/>
      <c r="F38" s="39" t="n">
        <v>31390000</v>
      </c>
      <c r="G38" s="4" t="n">
        <v>30790000</v>
      </c>
    </row>
    <row r="39">
      <c r="A39" t="inlineStr">
        <is>
          <t>MacBook Pro 14" M3 8/512GB</t>
        </is>
      </c>
      <c r="B39" s="3" t="n">
        <v>38090000</v>
      </c>
      <c r="C39" s="3" t="n">
        <v>38090000</v>
      </c>
      <c r="D39" s="25" t="n">
        <v>37990000</v>
      </c>
      <c r="E39" s="37" t="n"/>
      <c r="F39" s="39" t="n">
        <v>38190000</v>
      </c>
      <c r="G39" s="4" t="n">
        <v>37790000</v>
      </c>
    </row>
  </sheetData>
  <pageMargins left="0.7" right="0.7" top="0.75" bottom="0.75" header="0.3" footer="0.3"/>
  <legacyDrawing xmlns:r="http://schemas.openxmlformats.org/officeDocument/2006/relationships" r:id="anysvml"/>
</worksheet>
</file>

<file path=xl/worksheets/sheet25.xml><?xml version="1.0" encoding="utf-8"?>
<worksheet xmlns="http://schemas.openxmlformats.org/spreadsheetml/2006/main">
  <sheetPr codeName="Sheet24">
    <outlinePr summaryBelow="1" summaryRight="1"/>
    <pageSetUpPr/>
  </sheetPr>
  <dimension ref="A1:K39"/>
  <sheetViews>
    <sheetView zoomScale="93" workbookViewId="0">
      <selection activeCell="J36" sqref="J36"/>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 t="n">
        <v>22890000</v>
      </c>
      <c r="C2" s="3" t="n">
        <v>22890000</v>
      </c>
      <c r="D2" s="37" t="n">
        <v>22990000</v>
      </c>
      <c r="E2" s="37" t="n">
        <v>22990000</v>
      </c>
      <c r="F2" s="38" t="n">
        <v>21990000</v>
      </c>
      <c r="G2" s="3" t="n">
        <v>21590000</v>
      </c>
    </row>
    <row r="3">
      <c r="A3" t="inlineStr">
        <is>
          <t>iPhone 16  Plus 128GB</t>
        </is>
      </c>
      <c r="B3" s="3" t="n">
        <v>25890000</v>
      </c>
      <c r="C3" s="3" t="n">
        <v>25890000</v>
      </c>
      <c r="D3" s="37" t="n">
        <v>25990000</v>
      </c>
      <c r="E3" s="37" t="n">
        <v>25990000</v>
      </c>
      <c r="F3" s="38" t="n">
        <v>24990000</v>
      </c>
      <c r="G3" s="3" t="n">
        <v>24590000</v>
      </c>
    </row>
    <row r="4">
      <c r="A4" t="inlineStr">
        <is>
          <t>iPhone 16 Pro  128GB</t>
        </is>
      </c>
      <c r="B4" s="3" t="n">
        <v>28890000</v>
      </c>
      <c r="C4" s="3" t="n">
        <v>28890000</v>
      </c>
      <c r="D4" s="37" t="n">
        <v>28990000</v>
      </c>
      <c r="E4" s="37" t="n">
        <v>28990000</v>
      </c>
      <c r="F4" s="38" t="n">
        <v>27990000</v>
      </c>
      <c r="G4" s="3" t="n">
        <v>28590000</v>
      </c>
    </row>
    <row r="5">
      <c r="A5" t="inlineStr">
        <is>
          <t>iPhone 16 Pro Max 256GB</t>
        </is>
      </c>
      <c r="B5" s="3" t="n">
        <v>34890000</v>
      </c>
      <c r="C5" s="3" t="n">
        <v>34890000</v>
      </c>
      <c r="D5" s="37" t="n">
        <v>34990000</v>
      </c>
      <c r="E5" s="37" t="n">
        <v>34990000</v>
      </c>
      <c r="F5" s="38" t="n">
        <v>33990000</v>
      </c>
      <c r="G5" s="3" t="n">
        <v>34590000</v>
      </c>
    </row>
    <row r="6">
      <c r="A6" t="inlineStr">
        <is>
          <t>iPhone 15  128GB</t>
        </is>
      </c>
      <c r="B6" s="37" t="n">
        <v>19590000</v>
      </c>
      <c r="C6" s="37" t="n">
        <v>19590000</v>
      </c>
      <c r="D6" s="42" t="n">
        <v>19690000</v>
      </c>
      <c r="E6" s="37" t="n">
        <v>19490000</v>
      </c>
      <c r="F6" s="38" t="n">
        <v>19590000</v>
      </c>
      <c r="G6" s="4" t="inlineStr">
        <is>
          <t>19.190.000</t>
        </is>
      </c>
    </row>
    <row r="7">
      <c r="A7" t="inlineStr">
        <is>
          <t>iPhone 15  Plus 128GB</t>
        </is>
      </c>
      <c r="B7" s="37" t="n">
        <v>22590000</v>
      </c>
      <c r="C7" s="37" t="n">
        <v>22590000</v>
      </c>
      <c r="D7" s="42" t="n">
        <v>22790000</v>
      </c>
      <c r="E7" s="37" t="n">
        <v>22490000</v>
      </c>
      <c r="F7" s="38" t="n">
        <v>22690000</v>
      </c>
      <c r="G7" s="4" t="n">
        <v>22250000</v>
      </c>
      <c r="I7" t="inlineStr">
        <is>
          <t xml:space="preserve">MW </t>
        </is>
      </c>
      <c r="J7" t="inlineStr">
        <is>
          <t>Duy</t>
        </is>
      </c>
      <c r="K7" t="b">
        <v>1</v>
      </c>
    </row>
    <row r="8">
      <c r="A8" t="inlineStr">
        <is>
          <t>iPhone 15 Pro  128GB</t>
        </is>
      </c>
      <c r="B8" s="3" t="n">
        <v>25190000</v>
      </c>
      <c r="C8" s="37" t="inlineStr">
        <is>
          <t>OOS</t>
        </is>
      </c>
      <c r="D8" s="42" t="n">
        <v>25190000</v>
      </c>
      <c r="E8" s="38" t="n">
        <v>23990000</v>
      </c>
      <c r="F8" s="38" t="n">
        <v>25590000</v>
      </c>
      <c r="G8" s="4" t="n">
        <v>24390000</v>
      </c>
      <c r="I8" t="inlineStr">
        <is>
          <t>TZ</t>
        </is>
      </c>
      <c r="J8" t="inlineStr">
        <is>
          <t>Nghĩa</t>
        </is>
      </c>
      <c r="K8" t="b">
        <v>1</v>
      </c>
    </row>
    <row r="9">
      <c r="A9" t="inlineStr">
        <is>
          <t>iPhone 15 Pro Max 256GB</t>
        </is>
      </c>
      <c r="B9" s="37" t="n">
        <v>29490000</v>
      </c>
      <c r="C9" s="37" t="n">
        <v>29490000</v>
      </c>
      <c r="D9" s="3" t="n">
        <v>29390000</v>
      </c>
      <c r="E9" s="38" t="n">
        <v>28990000</v>
      </c>
      <c r="F9" s="38" t="inlineStr">
        <is>
          <t>29.250.000</t>
        </is>
      </c>
      <c r="G9" s="4" t="n">
        <v>28790000</v>
      </c>
      <c r="I9" t="inlineStr">
        <is>
          <t>FPT</t>
        </is>
      </c>
      <c r="J9" t="inlineStr">
        <is>
          <t>Việt</t>
        </is>
      </c>
      <c r="K9" t="b">
        <v>1</v>
      </c>
    </row>
    <row r="10">
      <c r="A10" t="inlineStr">
        <is>
          <t>iPhone 14 Plus 128GB</t>
        </is>
      </c>
      <c r="B10" s="37" t="n">
        <v>19890000</v>
      </c>
      <c r="C10" s="37" t="n">
        <v>19890000</v>
      </c>
      <c r="D10" s="3" t="n">
        <v>20190000</v>
      </c>
      <c r="E10" s="37" t="n">
        <v>19690000</v>
      </c>
      <c r="F10" s="34" t="n">
        <v>19790000</v>
      </c>
      <c r="G10" s="4" t="n">
        <v>19390000</v>
      </c>
      <c r="I10" t="inlineStr">
        <is>
          <t>Viettel</t>
        </is>
      </c>
      <c r="J10" t="inlineStr">
        <is>
          <t>Sơn</t>
        </is>
      </c>
      <c r="K10" t="b">
        <v>1</v>
      </c>
    </row>
    <row r="11">
      <c r="A11" t="inlineStr">
        <is>
          <t>iPhone 14 128GB</t>
        </is>
      </c>
      <c r="B11" s="37" t="n">
        <v>17090000</v>
      </c>
      <c r="C11" s="37" t="n">
        <v>17090000</v>
      </c>
      <c r="D11" s="34" t="n">
        <v>17190000</v>
      </c>
      <c r="E11" s="37" t="inlineStr">
        <is>
          <t>OOS</t>
        </is>
      </c>
      <c r="F11" s="39" t="n">
        <v>16990000</v>
      </c>
      <c r="G11" s="4" t="n">
        <v>17290000</v>
      </c>
      <c r="I11" t="inlineStr">
        <is>
          <t>CPS</t>
        </is>
      </c>
      <c r="J11" t="inlineStr">
        <is>
          <t>Trang</t>
        </is>
      </c>
      <c r="K11" t="b">
        <v>1</v>
      </c>
    </row>
    <row r="12">
      <c r="A12" t="inlineStr">
        <is>
          <t>iPhone 13  128GB</t>
        </is>
      </c>
      <c r="B12" s="3" t="n">
        <v>14190000</v>
      </c>
      <c r="C12" s="3" t="n">
        <v>14190000</v>
      </c>
      <c r="D12" s="34" t="n">
        <v>14290000</v>
      </c>
      <c r="E12" s="37" t="n">
        <v>13690000</v>
      </c>
      <c r="F12" s="34" t="n">
        <v>13790000</v>
      </c>
      <c r="G12" s="4" t="inlineStr">
        <is>
          <t>13.790.000</t>
        </is>
      </c>
      <c r="I12" t="inlineStr">
        <is>
          <t>ShopDunk</t>
        </is>
      </c>
      <c r="J12" t="inlineStr">
        <is>
          <t>Đạt</t>
        </is>
      </c>
      <c r="K12" t="b">
        <v>1</v>
      </c>
    </row>
    <row r="13">
      <c r="A13" t="inlineStr">
        <is>
          <t>iPhone 12 64GB</t>
        </is>
      </c>
      <c r="B13" s="37" t="n">
        <v>11490000</v>
      </c>
      <c r="C13" s="37" t="n">
        <v>11490000</v>
      </c>
      <c r="D13" s="3" t="n">
        <v>10990000</v>
      </c>
      <c r="E13" s="37" t="n">
        <v>10990000</v>
      </c>
      <c r="F13" s="39" t="n">
        <v>10990000</v>
      </c>
      <c r="G13" s="4" t="n">
        <v>12290000</v>
      </c>
    </row>
    <row r="14">
      <c r="A14" t="inlineStr">
        <is>
          <t>iPhone 11 64GB</t>
        </is>
      </c>
      <c r="B14" s="37" t="n">
        <v>8940000</v>
      </c>
      <c r="C14" s="37" t="n">
        <v>8940000</v>
      </c>
      <c r="D14" s="3" t="n">
        <v>8990000</v>
      </c>
      <c r="E14" s="37" t="n">
        <v>8490000</v>
      </c>
      <c r="F14" s="39" t="n">
        <v>8890000</v>
      </c>
      <c r="G14" s="4" t="n">
        <v>8790000</v>
      </c>
    </row>
    <row r="15">
      <c r="A15" t="inlineStr">
        <is>
          <t>iPad Air 5 M1 64GB Wifi</t>
        </is>
      </c>
      <c r="B15" s="37" t="inlineStr">
        <is>
          <t>OOS</t>
        </is>
      </c>
      <c r="C15" s="37" t="inlineStr">
        <is>
          <t>OOS</t>
        </is>
      </c>
      <c r="D15" s="4" t="inlineStr">
        <is>
          <t>OOS</t>
        </is>
      </c>
      <c r="E15" s="40" t="n">
        <v>13990000</v>
      </c>
      <c r="F15" s="39" t="inlineStr">
        <is>
          <t>OOS</t>
        </is>
      </c>
      <c r="G15" s="34" t="inlineStr">
        <is>
          <t>OOS</t>
        </is>
      </c>
    </row>
    <row r="16">
      <c r="A16" t="inlineStr">
        <is>
          <t>iPad Mini 6 64GB Wifi</t>
        </is>
      </c>
      <c r="B16" s="3" t="n">
        <v>12790000</v>
      </c>
      <c r="C16" s="37" t="inlineStr">
        <is>
          <t>OOS</t>
        </is>
      </c>
      <c r="D16" s="3" t="n">
        <v>12790000</v>
      </c>
      <c r="E16" s="37" t="inlineStr">
        <is>
          <t>OOS</t>
        </is>
      </c>
      <c r="F16" s="39" t="n">
        <v>12650000</v>
      </c>
      <c r="G16" s="4" t="n">
        <v>12650000</v>
      </c>
    </row>
    <row r="17">
      <c r="A17" t="inlineStr">
        <is>
          <t>iPad Gen 10th 64GB Wifi</t>
        </is>
      </c>
      <c r="B17" s="37" t="n">
        <v>9890000</v>
      </c>
      <c r="C17" s="37" t="n">
        <v>9890000</v>
      </c>
      <c r="D17" s="3" t="n">
        <v>9990000</v>
      </c>
      <c r="E17" s="37" t="n">
        <v>9490000</v>
      </c>
      <c r="F17" s="34" t="n">
        <v>9390000</v>
      </c>
      <c r="G17" s="4" t="n">
        <v>9490000</v>
      </c>
    </row>
    <row r="18">
      <c r="A18" t="inlineStr">
        <is>
          <t>iPad Gen 9th  64GB Wifi</t>
        </is>
      </c>
      <c r="B18" s="37" t="n">
        <v>7640000</v>
      </c>
      <c r="C18" s="37" t="n">
        <v>7640000</v>
      </c>
      <c r="D18" s="3" t="n">
        <v>7190000</v>
      </c>
      <c r="E18" s="37" t="n">
        <v>6990000</v>
      </c>
      <c r="F18" s="39" t="n">
        <v>7150000</v>
      </c>
      <c r="G18" s="4" t="n">
        <v>7090000</v>
      </c>
    </row>
    <row r="19">
      <c r="A19" t="inlineStr">
        <is>
          <t>iPad Air M2  11" 128 GB Wifi</t>
        </is>
      </c>
      <c r="B19" s="37" t="n">
        <v>16890000</v>
      </c>
      <c r="C19" s="37" t="n">
        <v>16890000</v>
      </c>
      <c r="D19" s="3" t="n">
        <v>16990000</v>
      </c>
      <c r="E19" s="38" t="n">
        <v>16226000</v>
      </c>
      <c r="F19" s="39" t="n">
        <v>16490000</v>
      </c>
      <c r="G19" s="4" t="inlineStr">
        <is>
          <t>15.690.000</t>
        </is>
      </c>
    </row>
    <row r="20">
      <c r="A20" t="inlineStr">
        <is>
          <t>iPad Air M2  13" 128 GB Wifi</t>
        </is>
      </c>
      <c r="B20" s="37" t="n">
        <v>22390000</v>
      </c>
      <c r="C20" s="37" t="n">
        <v>22390000</v>
      </c>
      <c r="D20" s="3" t="n">
        <v>21990000</v>
      </c>
      <c r="E20" s="38" t="n">
        <v>21275000</v>
      </c>
      <c r="F20" s="39" t="n">
        <v>21490000</v>
      </c>
      <c r="G20" s="3" t="n">
        <v>21490000</v>
      </c>
    </row>
    <row r="21">
      <c r="A21" t="inlineStr">
        <is>
          <t>iPad Pro  M4  11" 256 GB Wifi</t>
        </is>
      </c>
      <c r="B21" s="37" t="n">
        <v>27690000</v>
      </c>
      <c r="C21" s="37" t="n">
        <v>27690000</v>
      </c>
      <c r="D21" s="3" t="n">
        <v>27690000</v>
      </c>
      <c r="E21" s="38" t="n">
        <v>27215000</v>
      </c>
      <c r="F21" s="39" t="n">
        <v>27690000</v>
      </c>
      <c r="G21" s="4" t="n">
        <v>27190000</v>
      </c>
    </row>
    <row r="22">
      <c r="A22" t="inlineStr">
        <is>
          <t>iPad Pro  M4  13" 256 GB Wifi</t>
        </is>
      </c>
      <c r="B22" s="37" t="n">
        <v>37190000</v>
      </c>
      <c r="C22" s="37" t="n">
        <v>37190000</v>
      </c>
      <c r="D22" s="3" t="n">
        <v>36790000</v>
      </c>
      <c r="E22" s="37" t="n">
        <v>36490000</v>
      </c>
      <c r="F22" s="39" t="n">
        <v>36990000</v>
      </c>
      <c r="G22" s="4" t="n">
        <v>36890000</v>
      </c>
    </row>
    <row r="23">
      <c r="A23" t="inlineStr">
        <is>
          <t>AW SE 2023 (40mm GPS)</t>
        </is>
      </c>
      <c r="B23" s="37" t="n">
        <v>6040000</v>
      </c>
      <c r="C23" s="37" t="n">
        <v>6040000</v>
      </c>
      <c r="D23" s="3" t="n">
        <v>5990000</v>
      </c>
      <c r="E23" s="40" t="n">
        <v>5990000</v>
      </c>
      <c r="F23" s="34" t="n">
        <v>5890000</v>
      </c>
      <c r="G23" s="4" t="n">
        <v>5890000</v>
      </c>
    </row>
    <row r="24">
      <c r="A24" t="inlineStr">
        <is>
          <t>AW SE 2023 (40mm LTE)</t>
        </is>
      </c>
      <c r="B24" s="37" t="n">
        <v>7440000</v>
      </c>
      <c r="C24" s="37" t="inlineStr">
        <is>
          <t>OOS</t>
        </is>
      </c>
      <c r="D24" s="3" t="n">
        <v>7390000</v>
      </c>
      <c r="E24" s="40" t="n">
        <v>7290000</v>
      </c>
      <c r="F24" s="34" t="n">
        <v>7290000</v>
      </c>
      <c r="G24" s="4" t="n">
        <v>7390000</v>
      </c>
    </row>
    <row r="25">
      <c r="A25" t="inlineStr">
        <is>
          <t>AW SE 2023 (44mm GPS)</t>
        </is>
      </c>
      <c r="B25" s="37" t="n">
        <v>6940000</v>
      </c>
      <c r="C25" s="37" t="n">
        <v>6940000</v>
      </c>
      <c r="D25" s="3" t="n">
        <v>6990000</v>
      </c>
      <c r="E25" s="40" t="n">
        <v>6590000</v>
      </c>
      <c r="F25" s="34" t="n">
        <v>6790000</v>
      </c>
      <c r="G25" s="4" t="n">
        <v>6790000</v>
      </c>
    </row>
    <row r="26">
      <c r="A26" t="inlineStr">
        <is>
          <t>AW SE 2023 (44mm LTE)</t>
        </is>
      </c>
      <c r="B26" s="37" t="n">
        <v>7940000</v>
      </c>
      <c r="C26" s="37" t="inlineStr">
        <is>
          <t>OOS</t>
        </is>
      </c>
      <c r="D26" s="3" t="n">
        <v>8190000</v>
      </c>
      <c r="E26" s="40" t="n">
        <v>7990000</v>
      </c>
      <c r="F26" s="34" t="n">
        <v>7790000</v>
      </c>
      <c r="G26" s="3" t="inlineStr">
        <is>
          <t>8.090.000</t>
        </is>
      </c>
    </row>
    <row r="27">
      <c r="A27" t="inlineStr">
        <is>
          <t>AW S9 (41mm GPS)</t>
        </is>
      </c>
      <c r="B27" s="37" t="n">
        <v>8940000</v>
      </c>
      <c r="C27" s="37" t="n">
        <v>8940000</v>
      </c>
      <c r="D27" s="3" t="n">
        <v>9490000</v>
      </c>
      <c r="E27" s="40" t="n">
        <v>9790000</v>
      </c>
      <c r="F27" s="39" t="n">
        <v>9090000</v>
      </c>
      <c r="G27" s="4" t="n">
        <v>9190000</v>
      </c>
    </row>
    <row r="28">
      <c r="A28" t="inlineStr">
        <is>
          <t>AW S9 (41mm CEL)</t>
        </is>
      </c>
      <c r="B28" s="37" t="n">
        <v>12690000</v>
      </c>
      <c r="C28" s="37" t="inlineStr">
        <is>
          <t>OOS</t>
        </is>
      </c>
      <c r="D28" s="3" t="n">
        <v>12290000</v>
      </c>
      <c r="E28" s="40" t="n">
        <v>12190000</v>
      </c>
      <c r="F28" s="39" t="inlineStr">
        <is>
          <t>OOS</t>
        </is>
      </c>
      <c r="G28" s="4" t="n">
        <v>11690000</v>
      </c>
    </row>
    <row r="29">
      <c r="A29" t="inlineStr">
        <is>
          <t>AW S9 (45mm GPS)</t>
        </is>
      </c>
      <c r="B29" s="37" t="n">
        <v>9690000</v>
      </c>
      <c r="C29" s="37" t="n">
        <v>9690000</v>
      </c>
      <c r="D29" s="3" t="n">
        <v>10590000</v>
      </c>
      <c r="E29" s="40" t="n">
        <v>10490000</v>
      </c>
      <c r="F29" s="34" t="n">
        <v>10190000</v>
      </c>
      <c r="G29" s="4" t="n">
        <v>10190000</v>
      </c>
    </row>
    <row r="30">
      <c r="A30" t="inlineStr">
        <is>
          <t>AW S9 (45mm CEL)</t>
        </is>
      </c>
      <c r="B30" s="37" t="n">
        <v>13490000</v>
      </c>
      <c r="C30" s="37" t="inlineStr">
        <is>
          <t>OOS</t>
        </is>
      </c>
      <c r="D30" s="3" t="n">
        <v>13490000</v>
      </c>
      <c r="E30" s="40" t="n">
        <v>12990000</v>
      </c>
      <c r="F30" s="39" t="inlineStr">
        <is>
          <t>OOS</t>
        </is>
      </c>
      <c r="G30" s="4" t="n">
        <v>12690000</v>
      </c>
    </row>
    <row r="31">
      <c r="A31" t="inlineStr">
        <is>
          <t>AW Ultra 2 (49mm)</t>
        </is>
      </c>
      <c r="B31" s="3" t="n">
        <v>22890000</v>
      </c>
      <c r="C31" s="3" t="n">
        <v>22890000</v>
      </c>
      <c r="D31" s="3" t="n">
        <v>20990000</v>
      </c>
      <c r="E31" s="37" t="inlineStr">
        <is>
          <t>OOS</t>
        </is>
      </c>
      <c r="F31" s="37" t="inlineStr">
        <is>
          <t>OOS</t>
        </is>
      </c>
      <c r="G31" s="4" t="n">
        <v>20890000</v>
      </c>
    </row>
    <row r="32">
      <c r="A32" t="inlineStr">
        <is>
          <t>AirPods Pro 2 - 2023 (C-Type)</t>
        </is>
      </c>
      <c r="B32" s="37" t="n">
        <v>5740000</v>
      </c>
      <c r="C32" s="37" t="n">
        <v>5790000</v>
      </c>
      <c r="D32" s="34" t="n">
        <v>5790000</v>
      </c>
      <c r="E32" s="38" t="n">
        <v>5490000</v>
      </c>
      <c r="F32" s="39" t="n">
        <v>5550000</v>
      </c>
      <c r="G32" s="4" t="n">
        <v>5450000</v>
      </c>
    </row>
    <row r="33">
      <c r="A33" t="inlineStr">
        <is>
          <t>AirPods 3 with charging case</t>
        </is>
      </c>
      <c r="B33" s="37" t="n">
        <v>4040000</v>
      </c>
      <c r="C33" s="37" t="n">
        <v>4090000</v>
      </c>
      <c r="D33" s="25" t="n">
        <v>4090000</v>
      </c>
      <c r="E33" s="40" t="n">
        <v>4150000</v>
      </c>
      <c r="F33" s="39" t="n">
        <v>4090000</v>
      </c>
      <c r="G33" s="4" t="inlineStr">
        <is>
          <t>3.890.000</t>
        </is>
      </c>
    </row>
    <row r="34">
      <c r="A34" t="inlineStr">
        <is>
          <t>AirPods 2 with charging case</t>
        </is>
      </c>
      <c r="B34" s="37" t="n">
        <v>3090000</v>
      </c>
      <c r="C34" s="37" t="n">
        <v>3090000</v>
      </c>
      <c r="D34" s="39" t="n">
        <v>3090000</v>
      </c>
      <c r="E34" s="38" t="n">
        <v>2790000</v>
      </c>
      <c r="F34" s="39" t="n">
        <v>3090000</v>
      </c>
      <c r="G34" s="4" t="n">
        <v>2750000</v>
      </c>
    </row>
    <row r="35">
      <c r="A35" t="inlineStr">
        <is>
          <t>MacBook Air 13" M1 8/256Gb</t>
        </is>
      </c>
      <c r="B35" s="3" t="n">
        <v>18490000</v>
      </c>
      <c r="C35" s="3" t="n">
        <v>18490000</v>
      </c>
      <c r="D35" s="39" t="n">
        <v>18490000</v>
      </c>
      <c r="E35" s="37" t="n"/>
      <c r="F35" s="34" t="n">
        <v>18490000</v>
      </c>
      <c r="G35" s="4" t="n">
        <v>17750000</v>
      </c>
    </row>
    <row r="36">
      <c r="A36" t="inlineStr">
        <is>
          <t>MacBook Air 13" M2 8/256GB</t>
        </is>
      </c>
      <c r="B36" s="3" t="n">
        <v>23890000</v>
      </c>
      <c r="C36" s="3" t="n">
        <v>23890000</v>
      </c>
      <c r="D36" s="3" t="n">
        <v>23790000</v>
      </c>
      <c r="E36" s="37" t="n"/>
      <c r="F36" s="34" t="n">
        <v>23390000</v>
      </c>
      <c r="G36" s="4" t="n">
        <v>22990000</v>
      </c>
    </row>
    <row r="37">
      <c r="A37" t="inlineStr">
        <is>
          <t>MacBook Air 13" M3 8/256GB</t>
        </is>
      </c>
      <c r="B37" s="37" t="n">
        <v>26990000</v>
      </c>
      <c r="C37" s="37" t="n">
        <v>26990000</v>
      </c>
      <c r="D37" s="39" t="n">
        <v>26790000</v>
      </c>
      <c r="E37" s="37" t="n"/>
      <c r="F37" s="34" t="n">
        <v>26990000</v>
      </c>
      <c r="G37" s="4" t="n">
        <v>26290000</v>
      </c>
    </row>
    <row r="38">
      <c r="A38" t="inlineStr">
        <is>
          <t>MacBook Air 15" M3 8/256GB</t>
        </is>
      </c>
      <c r="B38" s="37" t="n">
        <v>31190000</v>
      </c>
      <c r="C38" s="37" t="n">
        <v>31190000</v>
      </c>
      <c r="D38" s="4" t="n">
        <v>31090000</v>
      </c>
      <c r="E38" s="37" t="n"/>
      <c r="F38" s="39" t="n">
        <v>31190000</v>
      </c>
      <c r="G38" s="4" t="n">
        <v>30790000</v>
      </c>
    </row>
    <row r="39">
      <c r="A39" t="inlineStr">
        <is>
          <t>MacBook Pro 14" M3 8/512GB</t>
        </is>
      </c>
      <c r="B39" s="37" t="n">
        <v>38090000</v>
      </c>
      <c r="C39" s="37" t="n">
        <v>38090000</v>
      </c>
      <c r="D39" s="25" t="n">
        <v>37990000</v>
      </c>
      <c r="E39" s="37" t="n"/>
      <c r="F39" s="39" t="n">
        <v>38190000</v>
      </c>
      <c r="G39" s="4" t="n">
        <v>37790000</v>
      </c>
    </row>
  </sheetData>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codeName="Sheet25">
    <outlinePr summaryBelow="1" summaryRight="1"/>
    <pageSetUpPr/>
  </sheetPr>
  <dimension ref="A1:K39"/>
  <sheetViews>
    <sheetView zoomScale="93" workbookViewId="0">
      <selection activeCell="F12" sqref="F12"/>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7" t="n">
        <v>22890000</v>
      </c>
      <c r="C2" s="37" t="n">
        <v>22890000</v>
      </c>
      <c r="D2" s="42" t="n">
        <v>21990000</v>
      </c>
      <c r="E2" s="38" t="n">
        <v>22490000</v>
      </c>
      <c r="F2" s="38" t="n">
        <v>21490000</v>
      </c>
      <c r="G2" s="4" t="n">
        <v>21590000</v>
      </c>
    </row>
    <row r="3">
      <c r="A3" t="inlineStr">
        <is>
          <t>iPhone 16  Plus 128GB</t>
        </is>
      </c>
      <c r="B3" s="37" t="n">
        <v>25890000</v>
      </c>
      <c r="C3" s="37" t="n">
        <v>25890000</v>
      </c>
      <c r="D3" s="42" t="n">
        <v>25490000</v>
      </c>
      <c r="E3" s="38" t="n">
        <v>25490000</v>
      </c>
      <c r="F3" s="40" t="n">
        <v>24990000</v>
      </c>
      <c r="G3" s="4" t="n">
        <v>24590000</v>
      </c>
    </row>
    <row r="4">
      <c r="A4" t="inlineStr">
        <is>
          <t>iPhone 16 Pro  128GB</t>
        </is>
      </c>
      <c r="B4" s="37" t="n">
        <v>28890000</v>
      </c>
      <c r="C4" s="37" t="n">
        <v>28890000</v>
      </c>
      <c r="D4" s="42" t="n">
        <v>28490000</v>
      </c>
      <c r="E4" s="38" t="n">
        <v>28490000</v>
      </c>
      <c r="F4" s="40" t="n">
        <v>27990000</v>
      </c>
      <c r="G4" s="4" t="n">
        <v>28590000</v>
      </c>
    </row>
    <row r="5">
      <c r="A5" t="inlineStr">
        <is>
          <t>iPhone 16 Pro Max 256GB</t>
        </is>
      </c>
      <c r="B5" s="37" t="n">
        <v>34890000</v>
      </c>
      <c r="C5" s="37" t="n">
        <v>34890000</v>
      </c>
      <c r="D5" s="42" t="n">
        <v>34990000</v>
      </c>
      <c r="E5" s="38" t="n">
        <v>34490000</v>
      </c>
      <c r="F5" s="40" t="n">
        <v>33990000</v>
      </c>
      <c r="G5" s="4" t="n">
        <v>34590000</v>
      </c>
    </row>
    <row r="6">
      <c r="A6" t="inlineStr">
        <is>
          <t>iPhone 15  128GB</t>
        </is>
      </c>
      <c r="B6" s="3" t="n">
        <v>19690000</v>
      </c>
      <c r="C6" s="3" t="n">
        <v>19690000</v>
      </c>
      <c r="D6" s="43" t="n">
        <v>19690000</v>
      </c>
      <c r="E6" s="37" t="n">
        <v>19490000</v>
      </c>
      <c r="F6" s="40" t="n">
        <v>19590000</v>
      </c>
      <c r="G6" s="4" t="inlineStr">
        <is>
          <t>19.190.000</t>
        </is>
      </c>
    </row>
    <row r="7">
      <c r="A7" t="inlineStr">
        <is>
          <t>iPhone 15  Plus 128GB</t>
        </is>
      </c>
      <c r="B7" s="3" t="n">
        <v>22690000</v>
      </c>
      <c r="C7" s="3" t="n">
        <v>22690000</v>
      </c>
      <c r="D7" s="42" t="n">
        <v>22690000</v>
      </c>
      <c r="E7" s="37" t="n">
        <v>22490000</v>
      </c>
      <c r="F7" s="38" t="n">
        <v>22590000</v>
      </c>
      <c r="G7" s="4" t="n">
        <v>22250000</v>
      </c>
      <c r="I7" t="inlineStr">
        <is>
          <t xml:space="preserve">MW </t>
        </is>
      </c>
      <c r="J7" t="inlineStr">
        <is>
          <t>Duy</t>
        </is>
      </c>
      <c r="K7" t="b">
        <v>1</v>
      </c>
    </row>
    <row r="8">
      <c r="A8" t="inlineStr">
        <is>
          <t>iPhone 15 Pro  128GB</t>
        </is>
      </c>
      <c r="B8" s="37" t="inlineStr">
        <is>
          <t>OOS</t>
        </is>
      </c>
      <c r="C8" s="37" t="inlineStr">
        <is>
          <t>OOS</t>
        </is>
      </c>
      <c r="D8" s="42" t="n">
        <v>25490000</v>
      </c>
      <c r="E8" s="37" t="inlineStr">
        <is>
          <t>OOS</t>
        </is>
      </c>
      <c r="F8" s="38" t="n">
        <v>25590000</v>
      </c>
      <c r="G8" s="4" t="n">
        <v>24390000</v>
      </c>
      <c r="I8" t="inlineStr">
        <is>
          <t>TZ</t>
        </is>
      </c>
      <c r="J8" t="inlineStr">
        <is>
          <t>Nghĩa</t>
        </is>
      </c>
      <c r="K8" t="b">
        <v>1</v>
      </c>
    </row>
    <row r="9">
      <c r="A9" t="inlineStr">
        <is>
          <t>iPhone 15 Pro Max 256GB</t>
        </is>
      </c>
      <c r="B9" s="37" t="n">
        <v>29490000</v>
      </c>
      <c r="C9" s="37" t="n">
        <v>29490000</v>
      </c>
      <c r="D9" s="25" t="n">
        <v>29390000</v>
      </c>
      <c r="E9" s="40" t="n">
        <v>28990000</v>
      </c>
      <c r="F9" s="38" t="inlineStr">
        <is>
          <t>29.590.000</t>
        </is>
      </c>
      <c r="G9" s="3" t="n">
        <v>28590000</v>
      </c>
      <c r="I9" t="inlineStr">
        <is>
          <t>FPT</t>
        </is>
      </c>
      <c r="J9" t="inlineStr">
        <is>
          <t>Việt</t>
        </is>
      </c>
      <c r="K9" t="b">
        <v>1</v>
      </c>
    </row>
    <row r="10">
      <c r="A10" t="inlineStr">
        <is>
          <t>iPhone 14 Plus 128GB</t>
        </is>
      </c>
      <c r="B10" s="3" t="n">
        <v>20490000</v>
      </c>
      <c r="C10" s="3" t="n">
        <v>20490000</v>
      </c>
      <c r="D10" s="3" t="n">
        <v>19990000</v>
      </c>
      <c r="E10" s="37" t="n">
        <v>19690000</v>
      </c>
      <c r="F10" s="39" t="n">
        <v>19790000</v>
      </c>
      <c r="G10" s="4" t="n">
        <v>19390000</v>
      </c>
      <c r="I10" t="inlineStr">
        <is>
          <t>Viettel</t>
        </is>
      </c>
      <c r="J10" t="inlineStr">
        <is>
          <t>Sơn</t>
        </is>
      </c>
      <c r="K10" t="b">
        <v>1</v>
      </c>
    </row>
    <row r="11">
      <c r="A11" t="inlineStr">
        <is>
          <t>iPhone 14 128GB</t>
        </is>
      </c>
      <c r="B11" s="37" t="n">
        <v>17090000</v>
      </c>
      <c r="C11" s="37" t="n">
        <v>17090000</v>
      </c>
      <c r="D11" s="39" t="n">
        <v>17190000</v>
      </c>
      <c r="E11" s="37" t="inlineStr">
        <is>
          <t>OOS</t>
        </is>
      </c>
      <c r="F11" s="39" t="n">
        <v>16990000</v>
      </c>
      <c r="G11" s="4" t="n">
        <v>17290000</v>
      </c>
      <c r="I11" t="inlineStr">
        <is>
          <t>CPS</t>
        </is>
      </c>
      <c r="J11" t="inlineStr">
        <is>
          <t>Trang</t>
        </is>
      </c>
      <c r="K11" t="b">
        <v>1</v>
      </c>
    </row>
    <row r="12">
      <c r="A12" t="inlineStr">
        <is>
          <t>iPhone 13  128GB</t>
        </is>
      </c>
      <c r="B12" s="3" t="n">
        <v>14290000</v>
      </c>
      <c r="C12" s="3" t="n">
        <v>14290000</v>
      </c>
      <c r="D12" s="34" t="n">
        <v>13990000</v>
      </c>
      <c r="E12" s="37" t="n">
        <v>13690000</v>
      </c>
      <c r="F12" s="39" t="n">
        <v>13790000</v>
      </c>
      <c r="G12" s="3" t="inlineStr">
        <is>
          <t>13.590.000</t>
        </is>
      </c>
      <c r="I12" t="inlineStr">
        <is>
          <t>ShopDunk</t>
        </is>
      </c>
      <c r="J12" t="inlineStr">
        <is>
          <t>Đạt</t>
        </is>
      </c>
      <c r="K12" t="b">
        <v>1</v>
      </c>
    </row>
    <row r="13">
      <c r="A13" t="inlineStr">
        <is>
          <t>iPhone 12 64GB</t>
        </is>
      </c>
      <c r="B13" s="37" t="n">
        <v>11490000</v>
      </c>
      <c r="C13" s="37" t="n">
        <v>11490000</v>
      </c>
      <c r="D13" s="25" t="n">
        <v>10990000</v>
      </c>
      <c r="E13" s="37" t="n">
        <v>10990000</v>
      </c>
      <c r="F13" s="39" t="n">
        <v>10990000</v>
      </c>
      <c r="G13" s="4" t="n">
        <v>12290000</v>
      </c>
    </row>
    <row r="14">
      <c r="A14" t="inlineStr">
        <is>
          <t>iPhone 11 64GB</t>
        </is>
      </c>
      <c r="B14" s="37" t="n">
        <v>8940000</v>
      </c>
      <c r="C14" s="37" t="n">
        <v>8940000</v>
      </c>
      <c r="D14" s="25" t="n">
        <v>8990000</v>
      </c>
      <c r="E14" s="37" t="n">
        <v>8490000</v>
      </c>
      <c r="F14" s="39" t="n">
        <v>8890000</v>
      </c>
      <c r="G14" s="4" t="n">
        <v>8790000</v>
      </c>
    </row>
    <row r="15">
      <c r="A15" t="inlineStr">
        <is>
          <t>iPad Air 5 M1 64GB Wifi</t>
        </is>
      </c>
      <c r="B15" s="37" t="inlineStr">
        <is>
          <t>OOS</t>
        </is>
      </c>
      <c r="C15" s="37" t="inlineStr">
        <is>
          <t>OOS</t>
        </is>
      </c>
      <c r="D15" s="4" t="inlineStr">
        <is>
          <t>OOS</t>
        </is>
      </c>
      <c r="E15" s="40" t="n">
        <v>13990000</v>
      </c>
      <c r="F15" s="39" t="inlineStr">
        <is>
          <t>OOS</t>
        </is>
      </c>
      <c r="G15" s="34" t="inlineStr">
        <is>
          <t>OOS</t>
        </is>
      </c>
    </row>
    <row r="16">
      <c r="A16" t="inlineStr">
        <is>
          <t>iPad Mini 6 64GB Wifi</t>
        </is>
      </c>
      <c r="B16" s="37" t="n">
        <v>12790000</v>
      </c>
      <c r="C16" s="37" t="inlineStr">
        <is>
          <t>OOS</t>
        </is>
      </c>
      <c r="D16" s="25" t="n">
        <v>12790000</v>
      </c>
      <c r="E16" s="37" t="inlineStr">
        <is>
          <t>OOS</t>
        </is>
      </c>
      <c r="F16" s="39" t="n">
        <v>12650000</v>
      </c>
      <c r="G16" s="4" t="n">
        <v>12650000</v>
      </c>
    </row>
    <row r="17">
      <c r="A17" t="inlineStr">
        <is>
          <t>iPad Gen 10th 64GB Wifi</t>
        </is>
      </c>
      <c r="B17" s="37" t="n">
        <v>9890000</v>
      </c>
      <c r="C17" s="37" t="n">
        <v>9890000</v>
      </c>
      <c r="D17" s="3" t="n">
        <v>9890000</v>
      </c>
      <c r="E17" s="37" t="n">
        <v>9490000</v>
      </c>
      <c r="F17" s="34" t="n">
        <v>9490000</v>
      </c>
      <c r="G17" s="4" t="n">
        <v>9490000</v>
      </c>
    </row>
    <row r="18">
      <c r="A18" t="inlineStr">
        <is>
          <t>iPad Gen 9th  64GB Wifi</t>
        </is>
      </c>
      <c r="B18" s="37" t="n">
        <v>7640000</v>
      </c>
      <c r="C18" s="37" t="n">
        <v>7640000</v>
      </c>
      <c r="D18" s="25" t="n">
        <v>7190000</v>
      </c>
      <c r="E18" s="37" t="n">
        <v>6990000</v>
      </c>
      <c r="F18" s="39" t="n">
        <v>7150000</v>
      </c>
      <c r="G18" s="4" t="n">
        <v>7090000</v>
      </c>
    </row>
    <row r="19">
      <c r="A19" t="inlineStr">
        <is>
          <t>iPad Air M2  11" 128 GB Wifi</t>
        </is>
      </c>
      <c r="B19" s="37" t="n">
        <v>16890000</v>
      </c>
      <c r="C19" s="37" t="n">
        <v>16890000</v>
      </c>
      <c r="D19" s="25" t="n">
        <v>16990000</v>
      </c>
      <c r="E19" s="40" t="n">
        <v>16226000</v>
      </c>
      <c r="F19" s="39" t="n">
        <v>16490000</v>
      </c>
      <c r="G19" s="4" t="inlineStr">
        <is>
          <t>15.690.000</t>
        </is>
      </c>
    </row>
    <row r="20">
      <c r="A20" t="inlineStr">
        <is>
          <t>iPad Air M2  13" 128 GB Wifi</t>
        </is>
      </c>
      <c r="B20" s="37" t="n">
        <v>22390000</v>
      </c>
      <c r="C20" s="37" t="n">
        <v>22390000</v>
      </c>
      <c r="D20" s="25" t="n">
        <v>21990000</v>
      </c>
      <c r="E20" s="40" t="n">
        <v>21275000</v>
      </c>
      <c r="F20" s="39" t="n">
        <v>21490000</v>
      </c>
      <c r="G20" s="4" t="n">
        <v>21490000</v>
      </c>
    </row>
    <row r="21">
      <c r="A21" t="inlineStr">
        <is>
          <t>iPad Pro  M4  11" 256 GB Wifi</t>
        </is>
      </c>
      <c r="B21" s="37" t="n">
        <v>27690000</v>
      </c>
      <c r="C21" s="37" t="n">
        <v>27690000</v>
      </c>
      <c r="D21" s="25" t="n">
        <v>27690000</v>
      </c>
      <c r="E21" s="40" t="n">
        <v>27215000</v>
      </c>
      <c r="F21" s="39" t="n">
        <v>27690000</v>
      </c>
      <c r="G21" s="4" t="n">
        <v>27190000</v>
      </c>
    </row>
    <row r="22">
      <c r="A22" t="inlineStr">
        <is>
          <t>iPad Pro  M4  13" 256 GB Wifi</t>
        </is>
      </c>
      <c r="B22" s="37" t="n">
        <v>37190000</v>
      </c>
      <c r="C22" s="37" t="n">
        <v>37190000</v>
      </c>
      <c r="D22" s="25" t="n">
        <v>36790000</v>
      </c>
      <c r="E22" s="37" t="n">
        <v>36490000</v>
      </c>
      <c r="F22" s="39" t="n">
        <v>36990000</v>
      </c>
      <c r="G22" s="4" t="n">
        <v>36890000</v>
      </c>
    </row>
    <row r="23">
      <c r="A23" t="inlineStr">
        <is>
          <t>AW SE 2024 (40mm GPS)</t>
        </is>
      </c>
      <c r="B23" s="3" t="n">
        <v>5940000</v>
      </c>
      <c r="C23" s="3" t="n">
        <v>5940000</v>
      </c>
      <c r="D23" s="25" t="n">
        <v>5990000</v>
      </c>
      <c r="E23" s="40" t="n">
        <v>5990000</v>
      </c>
      <c r="F23" s="39" t="n">
        <v>5990000</v>
      </c>
      <c r="G23" s="3" t="n">
        <v>5990000</v>
      </c>
    </row>
    <row r="24">
      <c r="A24" t="inlineStr">
        <is>
          <t>AW SE 2024 (40mm LTE)</t>
        </is>
      </c>
      <c r="B24" s="3" t="n">
        <v>7240000</v>
      </c>
      <c r="C24" s="37" t="inlineStr">
        <is>
          <t>OOS</t>
        </is>
      </c>
      <c r="D24" s="25" t="n">
        <v>7390000</v>
      </c>
      <c r="E24" s="40" t="n">
        <v>7290000</v>
      </c>
      <c r="F24" s="39" t="n">
        <v>7290000</v>
      </c>
      <c r="G24" s="4" t="n">
        <v>7390000</v>
      </c>
    </row>
    <row r="25">
      <c r="A25" t="inlineStr">
        <is>
          <t>AW SE 2024 (44mm GPS)</t>
        </is>
      </c>
      <c r="B25" s="3" t="n">
        <v>6740000</v>
      </c>
      <c r="C25" s="3" t="n">
        <v>6740000</v>
      </c>
      <c r="D25" s="25" t="n">
        <v>6990000</v>
      </c>
      <c r="E25" s="40" t="n">
        <v>6590000</v>
      </c>
      <c r="F25" s="39" t="n">
        <v>6790000</v>
      </c>
      <c r="G25" s="4" t="n">
        <v>6790000</v>
      </c>
    </row>
    <row r="26">
      <c r="A26" t="inlineStr">
        <is>
          <t>AW SE 2024 (44mm LTE)</t>
        </is>
      </c>
      <c r="B26" s="37" t="n">
        <v>7940000</v>
      </c>
      <c r="C26" s="37" t="inlineStr">
        <is>
          <t>OOS</t>
        </is>
      </c>
      <c r="D26" s="25" t="n">
        <v>8190000</v>
      </c>
      <c r="E26" s="40" t="n">
        <v>7990000</v>
      </c>
      <c r="F26" s="39" t="n">
        <v>8090000</v>
      </c>
      <c r="G26" s="4" t="inlineStr">
        <is>
          <t>8.090.000</t>
        </is>
      </c>
    </row>
    <row r="27">
      <c r="A27" t="inlineStr">
        <is>
          <t>AW S9 (41mm GPS)</t>
        </is>
      </c>
      <c r="B27" s="37" t="n">
        <v>8940000</v>
      </c>
      <c r="C27" s="37" t="n">
        <v>8940000</v>
      </c>
      <c r="D27" s="3" t="n">
        <v>9290000</v>
      </c>
      <c r="E27" s="40" t="n">
        <v>9790000</v>
      </c>
      <c r="F27" s="39" t="n">
        <v>9090000</v>
      </c>
      <c r="G27" s="4" t="n">
        <v>9190000</v>
      </c>
    </row>
    <row r="28">
      <c r="A28" t="inlineStr">
        <is>
          <t>AW S9 (41mm CEL)</t>
        </is>
      </c>
      <c r="B28" s="37" t="n">
        <v>12690000</v>
      </c>
      <c r="C28" s="37" t="inlineStr">
        <is>
          <t>OOS</t>
        </is>
      </c>
      <c r="D28" s="25" t="n">
        <v>12290000</v>
      </c>
      <c r="E28" s="40" t="n">
        <v>12190000</v>
      </c>
      <c r="F28" s="39" t="inlineStr">
        <is>
          <t>OOS</t>
        </is>
      </c>
      <c r="G28" s="4" t="n">
        <v>11690000</v>
      </c>
    </row>
    <row r="29">
      <c r="A29" t="inlineStr">
        <is>
          <t>AW S9 (45mm GPS)</t>
        </is>
      </c>
      <c r="B29" s="37" t="n">
        <v>9690000</v>
      </c>
      <c r="C29" s="37" t="n">
        <v>9690000</v>
      </c>
      <c r="D29" s="3" t="n">
        <v>9990000</v>
      </c>
      <c r="E29" s="40" t="n">
        <v>10490000</v>
      </c>
      <c r="F29" s="39" t="n">
        <v>10190000</v>
      </c>
      <c r="G29" s="4" t="n">
        <v>10190000</v>
      </c>
    </row>
    <row r="30">
      <c r="A30" t="inlineStr">
        <is>
          <t>AW S9 (45mm CEL)</t>
        </is>
      </c>
      <c r="B30" s="37" t="n">
        <v>13490000</v>
      </c>
      <c r="C30" s="37" t="inlineStr">
        <is>
          <t>OOS</t>
        </is>
      </c>
      <c r="D30" s="25" t="n">
        <v>13490000</v>
      </c>
      <c r="E30" s="40" t="n">
        <v>12990000</v>
      </c>
      <c r="F30" s="39" t="inlineStr">
        <is>
          <t>OOS</t>
        </is>
      </c>
      <c r="G30" s="4" t="n">
        <v>12690000</v>
      </c>
    </row>
    <row r="31">
      <c r="A31" t="inlineStr">
        <is>
          <t>AW Ultra 2 (49mm)</t>
        </is>
      </c>
      <c r="B31" s="37" t="n">
        <v>22890000</v>
      </c>
      <c r="C31" s="37" t="n">
        <v>22890000</v>
      </c>
      <c r="D31" s="25" t="n">
        <v>22990000</v>
      </c>
      <c r="E31" s="37" t="inlineStr">
        <is>
          <t>OOS</t>
        </is>
      </c>
      <c r="F31" s="37" t="n">
        <v>22990000</v>
      </c>
      <c r="G31" s="4" t="n">
        <v>20890000</v>
      </c>
    </row>
    <row r="32">
      <c r="A32" t="inlineStr">
        <is>
          <t>AirPods Pro 2 - 2023 (C-Type)</t>
        </is>
      </c>
      <c r="B32" s="37" t="n">
        <v>5740000</v>
      </c>
      <c r="C32" s="37" t="n">
        <v>5740000</v>
      </c>
      <c r="D32" s="39" t="n">
        <v>5790000</v>
      </c>
      <c r="E32" s="40" t="n">
        <v>5490000</v>
      </c>
      <c r="F32" s="34" t="n">
        <v>5650000</v>
      </c>
      <c r="G32" s="4" t="n">
        <v>5450000</v>
      </c>
    </row>
    <row r="33">
      <c r="A33" t="inlineStr">
        <is>
          <t>AirPods 3 with charging case</t>
        </is>
      </c>
      <c r="B33" s="37" t="n">
        <v>4040000</v>
      </c>
      <c r="C33" s="37" t="n">
        <v>4040000</v>
      </c>
      <c r="D33" s="25" t="n">
        <v>4090000</v>
      </c>
      <c r="E33" s="40" t="n">
        <v>4150000</v>
      </c>
      <c r="F33" s="39" t="n">
        <v>4090000</v>
      </c>
      <c r="G33" s="4" t="inlineStr">
        <is>
          <t>3.890.000</t>
        </is>
      </c>
    </row>
    <row r="34">
      <c r="A34" t="inlineStr">
        <is>
          <t>AirPods 2 with charging case</t>
        </is>
      </c>
      <c r="B34" s="37" t="n">
        <v>3090000</v>
      </c>
      <c r="C34" s="37" t="n">
        <v>3090000</v>
      </c>
      <c r="D34" s="39" t="n">
        <v>3090000</v>
      </c>
      <c r="E34" s="40" t="n">
        <v>2790000</v>
      </c>
      <c r="F34" s="39" t="n">
        <v>3090000</v>
      </c>
      <c r="G34" s="4" t="n">
        <v>2750000</v>
      </c>
    </row>
    <row r="35">
      <c r="A35" t="inlineStr">
        <is>
          <t>MacBook Air 13" M1 8/256Gb</t>
        </is>
      </c>
      <c r="B35" s="37" t="n">
        <v>18490000</v>
      </c>
      <c r="C35" s="37" t="n">
        <v>18490000</v>
      </c>
      <c r="D35" s="34" t="n">
        <v>18390000</v>
      </c>
      <c r="E35" s="37" t="n"/>
      <c r="F35" s="39" t="n">
        <v>18490000</v>
      </c>
      <c r="G35" s="4" t="n">
        <v>17750000</v>
      </c>
    </row>
    <row r="36">
      <c r="A36" t="inlineStr">
        <is>
          <t>MacBook Air 13" M2 8/256GB</t>
        </is>
      </c>
      <c r="B36" s="3" t="n">
        <v>23990000</v>
      </c>
      <c r="C36" s="3" t="n">
        <v>23990000</v>
      </c>
      <c r="D36" s="25" t="n">
        <v>23790000</v>
      </c>
      <c r="E36" s="37" t="n"/>
      <c r="F36" s="39" t="n">
        <v>23390000</v>
      </c>
      <c r="G36" s="4" t="n">
        <v>22990000</v>
      </c>
    </row>
    <row r="37">
      <c r="A37" t="inlineStr">
        <is>
          <t>MacBook Air 13" M3 8/256GB</t>
        </is>
      </c>
      <c r="B37" s="37" t="n">
        <v>26990000</v>
      </c>
      <c r="C37" s="37" t="n">
        <v>26990000</v>
      </c>
      <c r="D37" s="39" t="n">
        <v>26790000</v>
      </c>
      <c r="E37" s="37" t="n"/>
      <c r="F37" s="39" t="n">
        <v>26990000</v>
      </c>
      <c r="G37" s="4" t="n">
        <v>26290000</v>
      </c>
    </row>
    <row r="38">
      <c r="A38" t="inlineStr">
        <is>
          <t>MacBook Air 15" M3 8/256GB</t>
        </is>
      </c>
      <c r="B38" s="37" t="n">
        <v>31190000</v>
      </c>
      <c r="C38" s="37" t="n">
        <v>31190000</v>
      </c>
      <c r="D38" s="4" t="n">
        <v>31090000</v>
      </c>
      <c r="E38" s="37" t="n"/>
      <c r="F38" s="39" t="n">
        <v>31190000</v>
      </c>
      <c r="G38" s="4" t="n">
        <v>30790000</v>
      </c>
    </row>
    <row r="39">
      <c r="A39" t="inlineStr">
        <is>
          <t>MacBook Pro 14" M3 8/512GB</t>
        </is>
      </c>
      <c r="B39" s="37" t="n">
        <v>38090000</v>
      </c>
      <c r="C39" s="37" t="n">
        <v>38090000</v>
      </c>
      <c r="D39" s="25" t="n">
        <v>37990000</v>
      </c>
      <c r="E39" s="37" t="n"/>
      <c r="F39" s="39" t="inlineStr">
        <is>
          <t>OOS</t>
        </is>
      </c>
      <c r="G39" s="4" t="n">
        <v>37790000</v>
      </c>
    </row>
  </sheetData>
  <pageMargins left="0.7" right="0.7" top="0.75" bottom="0.75" header="0.3" footer="0.3"/>
  <legacyDrawing xmlns:r="http://schemas.openxmlformats.org/officeDocument/2006/relationships" r:id="anysvml"/>
</worksheet>
</file>

<file path=xl/worksheets/sheet27.xml><?xml version="1.0" encoding="utf-8"?>
<worksheet xmlns="http://schemas.openxmlformats.org/spreadsheetml/2006/main">
  <sheetPr codeName="Sheet26">
    <outlinePr summaryBelow="1" summaryRight="1"/>
    <pageSetUpPr/>
  </sheetPr>
  <dimension ref="A1:K39"/>
  <sheetViews>
    <sheetView zoomScale="110" workbookViewId="0">
      <selection activeCell="I21" sqref="I21"/>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7" t="n">
        <v>22890000</v>
      </c>
      <c r="C2" s="37" t="n">
        <v>22890000</v>
      </c>
      <c r="D2" s="43" t="n">
        <v>21990000</v>
      </c>
      <c r="E2" s="40" t="n">
        <v>22490000</v>
      </c>
      <c r="F2" s="38" t="n">
        <v>21390000</v>
      </c>
      <c r="G2" s="4" t="n">
        <v>21590000</v>
      </c>
    </row>
    <row r="3">
      <c r="A3" t="inlineStr">
        <is>
          <t>iPhone 16  Plus 128GB</t>
        </is>
      </c>
      <c r="B3" s="37" t="n">
        <v>25890000</v>
      </c>
      <c r="C3" s="37" t="n">
        <v>25890000</v>
      </c>
      <c r="D3" s="43" t="n">
        <v>25490000</v>
      </c>
      <c r="E3" s="40" t="n">
        <v>25490000</v>
      </c>
      <c r="F3" s="38" t="n">
        <v>25190000</v>
      </c>
      <c r="G3" s="4" t="n">
        <v>24590000</v>
      </c>
    </row>
    <row r="4">
      <c r="A4" t="inlineStr">
        <is>
          <t>iPhone 16 Pro  128GB</t>
        </is>
      </c>
      <c r="B4" s="37" t="n">
        <v>28890000</v>
      </c>
      <c r="C4" s="37" t="n">
        <v>28890000</v>
      </c>
      <c r="D4" s="43" t="n">
        <v>28490000</v>
      </c>
      <c r="E4" s="40" t="n">
        <v>28490000</v>
      </c>
      <c r="F4" s="40" t="n">
        <v>27990000</v>
      </c>
      <c r="G4" s="4" t="n">
        <v>28590000</v>
      </c>
    </row>
    <row r="5">
      <c r="A5" t="inlineStr">
        <is>
          <t>iPhone 16 Pro Max 256GB</t>
        </is>
      </c>
      <c r="B5" s="3" t="n">
        <v>34990000</v>
      </c>
      <c r="C5" s="3" t="n">
        <v>34990000</v>
      </c>
      <c r="D5" s="43" t="n">
        <v>34490000</v>
      </c>
      <c r="E5" s="38" t="n">
        <v>34990000</v>
      </c>
      <c r="F5" s="40" t="n">
        <v>33990000</v>
      </c>
      <c r="G5" s="4" t="n">
        <v>34590000</v>
      </c>
    </row>
    <row r="6">
      <c r="A6" t="inlineStr">
        <is>
          <t>iPhone 15  128GB</t>
        </is>
      </c>
      <c r="B6" s="37" t="n">
        <v>19690000</v>
      </c>
      <c r="C6" s="37" t="n">
        <v>19690000</v>
      </c>
      <c r="D6" s="43" t="n">
        <v>19690000</v>
      </c>
      <c r="E6" s="37" t="n">
        <v>19490000</v>
      </c>
      <c r="F6" s="40" t="n">
        <v>19590000</v>
      </c>
      <c r="G6" s="4" t="inlineStr">
        <is>
          <t>19.190.000</t>
        </is>
      </c>
    </row>
    <row r="7">
      <c r="A7" t="inlineStr">
        <is>
          <t>iPhone 15  Plus 128GB</t>
        </is>
      </c>
      <c r="B7" s="37" t="n">
        <v>22690000</v>
      </c>
      <c r="C7" s="37" t="n">
        <v>22690000</v>
      </c>
      <c r="D7" s="43" t="n">
        <v>22690000</v>
      </c>
      <c r="E7" s="37" t="n">
        <v>22490000</v>
      </c>
      <c r="F7" s="38" t="n">
        <v>22590000</v>
      </c>
      <c r="G7" s="4" t="n">
        <v>22250000</v>
      </c>
      <c r="I7" t="inlineStr">
        <is>
          <t xml:space="preserve">MW </t>
        </is>
      </c>
      <c r="J7" t="inlineStr">
        <is>
          <t>Duy</t>
        </is>
      </c>
      <c r="K7" t="b">
        <v>0</v>
      </c>
    </row>
    <row r="8">
      <c r="A8" t="inlineStr">
        <is>
          <t>iPhone 15 Pro  128GB</t>
        </is>
      </c>
      <c r="B8" s="37" t="inlineStr">
        <is>
          <t>OOS</t>
        </is>
      </c>
      <c r="C8" s="37" t="inlineStr">
        <is>
          <t>OOS</t>
        </is>
      </c>
      <c r="D8" s="42" t="n">
        <v>25990000</v>
      </c>
      <c r="E8" s="37" t="inlineStr">
        <is>
          <t>OOS</t>
        </is>
      </c>
      <c r="F8" s="38" t="n">
        <v>25590000</v>
      </c>
      <c r="G8" s="4" t="n">
        <v>24390000</v>
      </c>
      <c r="I8" t="inlineStr">
        <is>
          <t>TZ</t>
        </is>
      </c>
      <c r="J8" t="inlineStr">
        <is>
          <t>Nghĩa</t>
        </is>
      </c>
      <c r="K8" t="b">
        <v>0</v>
      </c>
    </row>
    <row r="9">
      <c r="A9" t="inlineStr">
        <is>
          <t>iPhone 15 Pro Max 256GB</t>
        </is>
      </c>
      <c r="B9" s="37" t="n">
        <v>29490000</v>
      </c>
      <c r="C9" s="37" t="n">
        <v>29490000</v>
      </c>
      <c r="D9" s="25" t="n">
        <v>29390000</v>
      </c>
      <c r="E9" s="40" t="n">
        <v>28990000</v>
      </c>
      <c r="F9" s="38" t="n">
        <v>28990000</v>
      </c>
      <c r="G9" s="4" t="n">
        <v>28590000</v>
      </c>
      <c r="I9" t="inlineStr">
        <is>
          <t>FPT</t>
        </is>
      </c>
      <c r="J9" t="inlineStr">
        <is>
          <t>Việt</t>
        </is>
      </c>
      <c r="K9" t="b">
        <v>1</v>
      </c>
    </row>
    <row r="10">
      <c r="A10" t="inlineStr">
        <is>
          <t>iPhone 14 Plus 128GB</t>
        </is>
      </c>
      <c r="B10" s="3" t="n">
        <v>19890000</v>
      </c>
      <c r="C10" s="3" t="n">
        <v>19890000</v>
      </c>
      <c r="D10" s="25" t="n">
        <v>19990000</v>
      </c>
      <c r="E10" s="37" t="n">
        <v>19690000</v>
      </c>
      <c r="F10" s="39" t="n">
        <v>19790000</v>
      </c>
      <c r="G10" s="4" t="n">
        <v>19390000</v>
      </c>
      <c r="I10" t="inlineStr">
        <is>
          <t>Viettel</t>
        </is>
      </c>
      <c r="J10" t="inlineStr">
        <is>
          <t>Sơn</t>
        </is>
      </c>
      <c r="K10" t="b">
        <v>0</v>
      </c>
    </row>
    <row r="11">
      <c r="A11" t="inlineStr">
        <is>
          <t>iPhone 14 128GB</t>
        </is>
      </c>
      <c r="B11" s="37" t="n">
        <v>17090000</v>
      </c>
      <c r="C11" s="37" t="n">
        <v>17090000</v>
      </c>
      <c r="D11" s="39" t="n">
        <v>17090000</v>
      </c>
      <c r="E11" s="37" t="inlineStr">
        <is>
          <t>OOS</t>
        </is>
      </c>
      <c r="F11" s="34" t="n">
        <v>16850000</v>
      </c>
      <c r="G11" s="4" t="n">
        <v>17290000</v>
      </c>
      <c r="I11" t="inlineStr">
        <is>
          <t>CPS</t>
        </is>
      </c>
      <c r="J11" t="inlineStr">
        <is>
          <t>Trang</t>
        </is>
      </c>
      <c r="K11" t="b">
        <v>0</v>
      </c>
    </row>
    <row r="12">
      <c r="A12" t="inlineStr">
        <is>
          <t>iPhone 13  128GB</t>
        </is>
      </c>
      <c r="B12" s="3" t="n">
        <v>13790000</v>
      </c>
      <c r="C12" s="3" t="n">
        <v>13790000</v>
      </c>
      <c r="D12" s="34" t="n">
        <v>13590000</v>
      </c>
      <c r="E12" s="37" t="n">
        <v>13690000</v>
      </c>
      <c r="F12" s="34" t="n">
        <v>13390000</v>
      </c>
      <c r="G12" s="4" t="inlineStr">
        <is>
          <t>13.590.000</t>
        </is>
      </c>
      <c r="I12" t="inlineStr">
        <is>
          <t>ShopDunk</t>
        </is>
      </c>
      <c r="J12" t="inlineStr">
        <is>
          <t>Đạt</t>
        </is>
      </c>
      <c r="K12" t="b">
        <v>0</v>
      </c>
    </row>
    <row r="13">
      <c r="A13" t="inlineStr">
        <is>
          <t>iPhone 12 64GB</t>
        </is>
      </c>
      <c r="B13" s="37" t="n">
        <v>11490000</v>
      </c>
      <c r="C13" s="37" t="n">
        <v>11490000</v>
      </c>
      <c r="D13" s="25" t="n">
        <v>10990000</v>
      </c>
      <c r="E13" s="37" t="n">
        <v>10990000</v>
      </c>
      <c r="F13" s="39" t="n">
        <v>10990000</v>
      </c>
      <c r="G13" s="4" t="n">
        <v>12290000</v>
      </c>
    </row>
    <row r="14">
      <c r="A14" t="inlineStr">
        <is>
          <t>iPhone 11 64GB</t>
        </is>
      </c>
      <c r="B14" s="37" t="n">
        <v>8940000</v>
      </c>
      <c r="C14" s="37" t="n">
        <v>8940000</v>
      </c>
      <c r="D14" s="25" t="n">
        <v>8990000</v>
      </c>
      <c r="E14" s="37" t="n">
        <v>8490000</v>
      </c>
      <c r="F14" s="39" t="n">
        <v>8890000</v>
      </c>
      <c r="G14" s="4" t="n">
        <v>8790000</v>
      </c>
    </row>
    <row r="15">
      <c r="A15" t="inlineStr">
        <is>
          <t>iPad Air 5 M1 64GB Wifi</t>
        </is>
      </c>
      <c r="B15" s="37" t="inlineStr">
        <is>
          <t>OOS</t>
        </is>
      </c>
      <c r="C15" s="37" t="inlineStr">
        <is>
          <t>OOS</t>
        </is>
      </c>
      <c r="D15" s="4" t="inlineStr">
        <is>
          <t>OOS</t>
        </is>
      </c>
      <c r="E15" s="40" t="n">
        <v>13990000</v>
      </c>
      <c r="F15" s="39" t="inlineStr">
        <is>
          <t>OOS</t>
        </is>
      </c>
      <c r="G15" s="34" t="inlineStr">
        <is>
          <t>OOS</t>
        </is>
      </c>
    </row>
    <row r="16">
      <c r="A16" t="inlineStr">
        <is>
          <t>iPad Mini 6 64GB Wifi</t>
        </is>
      </c>
      <c r="B16" s="37" t="n">
        <v>12790000</v>
      </c>
      <c r="C16" s="37" t="inlineStr">
        <is>
          <t>OOS</t>
        </is>
      </c>
      <c r="D16" s="25" t="n">
        <v>12490000</v>
      </c>
      <c r="E16" s="37" t="inlineStr">
        <is>
          <t>OOS</t>
        </is>
      </c>
      <c r="F16" s="39" t="n">
        <v>12650000</v>
      </c>
      <c r="G16" s="4" t="n">
        <v>12650000</v>
      </c>
    </row>
    <row r="17">
      <c r="A17" t="inlineStr">
        <is>
          <t>iPad Gen 10th 64GB Wifi</t>
        </is>
      </c>
      <c r="B17" s="37" t="n">
        <v>9890000</v>
      </c>
      <c r="C17" s="37" t="n">
        <v>9890000</v>
      </c>
      <c r="D17" s="25" t="n">
        <v>9790000</v>
      </c>
      <c r="E17" s="37" t="n">
        <v>9490000</v>
      </c>
      <c r="F17" s="39" t="n">
        <v>9490000</v>
      </c>
      <c r="G17" s="4" t="n">
        <v>9490000</v>
      </c>
    </row>
    <row r="18">
      <c r="A18" t="inlineStr">
        <is>
          <t>iPad Gen 9th  64GB Wifi</t>
        </is>
      </c>
      <c r="B18" s="3" t="n">
        <v>7340000</v>
      </c>
      <c r="C18" s="3" t="n">
        <v>7340000</v>
      </c>
      <c r="D18" s="25" t="n">
        <v>7190000</v>
      </c>
      <c r="E18" s="37" t="n">
        <v>6990000</v>
      </c>
      <c r="F18" s="39" t="n">
        <v>7150000</v>
      </c>
      <c r="G18" s="4" t="n">
        <v>7090000</v>
      </c>
    </row>
    <row r="19">
      <c r="A19" t="inlineStr">
        <is>
          <t>iPad Air M2  11" 128 GB Wifi</t>
        </is>
      </c>
      <c r="B19" s="37" t="n">
        <v>16890000</v>
      </c>
      <c r="C19" s="37" t="n">
        <v>16890000</v>
      </c>
      <c r="D19" s="25" t="n">
        <v>16990000</v>
      </c>
      <c r="E19" s="40" t="n">
        <v>16226000</v>
      </c>
      <c r="F19" s="39" t="n">
        <v>16490000</v>
      </c>
      <c r="G19" s="4" t="inlineStr">
        <is>
          <t>15.690.000</t>
        </is>
      </c>
    </row>
    <row r="20">
      <c r="A20" t="inlineStr">
        <is>
          <t>iPad Air M2  13" 128 GB Wifi</t>
        </is>
      </c>
      <c r="B20" s="37" t="n">
        <v>22390000</v>
      </c>
      <c r="C20" s="37" t="n">
        <v>22390000</v>
      </c>
      <c r="D20" s="25" t="n">
        <v>21990000</v>
      </c>
      <c r="E20" s="40" t="n">
        <v>21275000</v>
      </c>
      <c r="F20" s="39" t="n">
        <v>21490000</v>
      </c>
      <c r="G20" s="4" t="n">
        <v>21490000</v>
      </c>
    </row>
    <row r="21">
      <c r="A21" t="inlineStr">
        <is>
          <t>iPad Pro  M4  11" 256 GB Wifi</t>
        </is>
      </c>
      <c r="B21" s="37" t="n">
        <v>27690000</v>
      </c>
      <c r="C21" s="37" t="n">
        <v>27690000</v>
      </c>
      <c r="D21" s="25" t="n">
        <v>27690000</v>
      </c>
      <c r="E21" s="40" t="n">
        <v>27215000</v>
      </c>
      <c r="F21" s="39" t="n">
        <v>27690000</v>
      </c>
      <c r="G21" s="4" t="n">
        <v>27190000</v>
      </c>
    </row>
    <row r="22">
      <c r="A22" t="inlineStr">
        <is>
          <t>iPad Pro  M4  13" 256 GB Wifi</t>
        </is>
      </c>
      <c r="B22" s="37" t="n">
        <v>37190000</v>
      </c>
      <c r="C22" s="37" t="n">
        <v>37190000</v>
      </c>
      <c r="D22" s="25" t="n">
        <v>36790000</v>
      </c>
      <c r="E22" s="37" t="n">
        <v>36490000</v>
      </c>
      <c r="F22" s="39" t="n">
        <v>36990000</v>
      </c>
      <c r="G22" s="4" t="n">
        <v>36890000</v>
      </c>
    </row>
    <row r="23">
      <c r="A23" t="inlineStr">
        <is>
          <t>AW SE 2024 (40mm GPS)</t>
        </is>
      </c>
      <c r="B23" s="3" t="n">
        <v>5790000</v>
      </c>
      <c r="C23" s="3" t="n">
        <v>5790000</v>
      </c>
      <c r="D23" s="25" t="n">
        <v>5790000</v>
      </c>
      <c r="E23" s="40" t="n">
        <v>5990000</v>
      </c>
      <c r="F23" s="39" t="n">
        <v>5990000</v>
      </c>
      <c r="G23" s="4" t="n">
        <v>5990000</v>
      </c>
    </row>
    <row r="24">
      <c r="A24" t="inlineStr">
        <is>
          <t>AW SE 2024 (40mm LTE)</t>
        </is>
      </c>
      <c r="B24" s="3" t="n">
        <v>7190000</v>
      </c>
      <c r="C24" s="37" t="inlineStr">
        <is>
          <t>OOS</t>
        </is>
      </c>
      <c r="D24" s="25" t="n">
        <v>7090000</v>
      </c>
      <c r="E24" s="40" t="n">
        <v>7290000</v>
      </c>
      <c r="F24" s="39" t="n">
        <v>7290000</v>
      </c>
      <c r="G24" s="4" t="n">
        <v>7390000</v>
      </c>
    </row>
    <row r="25">
      <c r="A25" t="inlineStr">
        <is>
          <t>AW SE 2024 (44mm GPS)</t>
        </is>
      </c>
      <c r="B25" s="3" t="n">
        <v>6790000</v>
      </c>
      <c r="C25" s="3" t="n">
        <v>6790000</v>
      </c>
      <c r="D25" s="25" t="n">
        <v>6590000</v>
      </c>
      <c r="E25" s="40" t="n">
        <v>6590000</v>
      </c>
      <c r="F25" s="39" t="n">
        <v>6790000</v>
      </c>
      <c r="G25" s="4" t="n">
        <v>6790000</v>
      </c>
    </row>
    <row r="26">
      <c r="A26" t="inlineStr">
        <is>
          <t>AW SE 2024 (44mm LTE)</t>
        </is>
      </c>
      <c r="B26" s="3" t="n">
        <v>7790000</v>
      </c>
      <c r="C26" s="37" t="inlineStr">
        <is>
          <t>OOS</t>
        </is>
      </c>
      <c r="D26" s="25" t="n">
        <v>7890000</v>
      </c>
      <c r="E26" s="40" t="n">
        <v>7990000</v>
      </c>
      <c r="F26" s="39" t="n">
        <v>8090000</v>
      </c>
      <c r="G26" s="4" t="inlineStr">
        <is>
          <t>8.090.000</t>
        </is>
      </c>
    </row>
    <row r="27">
      <c r="A27" t="inlineStr">
        <is>
          <t>AW S10 (42mm GPS)</t>
        </is>
      </c>
      <c r="B27" s="37" t="n">
        <v>10890000</v>
      </c>
      <c r="C27" s="37" t="n">
        <v>8940000</v>
      </c>
      <c r="D27" s="25" t="n">
        <v>10990000</v>
      </c>
      <c r="E27" s="38" t="n">
        <v>10990000</v>
      </c>
      <c r="F27" s="39" t="n">
        <v>10990000</v>
      </c>
      <c r="G27" s="34" t="n">
        <v>10990000</v>
      </c>
    </row>
    <row r="28">
      <c r="A28" t="inlineStr">
        <is>
          <t>AW S10 (42mm CEL)</t>
        </is>
      </c>
      <c r="B28" s="37" t="n">
        <v>13490000</v>
      </c>
      <c r="C28" s="37" t="inlineStr">
        <is>
          <t>OOS</t>
        </is>
      </c>
      <c r="D28" s="25" t="n">
        <v>13390000</v>
      </c>
      <c r="E28" s="38" t="n">
        <v>13590000</v>
      </c>
      <c r="F28" s="39" t="n">
        <v>13590000</v>
      </c>
      <c r="G28" s="34" t="n">
        <v>13590000</v>
      </c>
    </row>
    <row r="29">
      <c r="A29" t="inlineStr">
        <is>
          <t>AW S10 (46mm GPS)</t>
        </is>
      </c>
      <c r="B29" s="37" t="n">
        <v>11690000</v>
      </c>
      <c r="C29" s="37" t="n">
        <v>9690000</v>
      </c>
      <c r="D29" s="25" t="n">
        <v>11790000</v>
      </c>
      <c r="E29" s="38" t="n">
        <v>11790000</v>
      </c>
      <c r="F29" s="39" t="n">
        <v>11790000</v>
      </c>
      <c r="G29" s="3" t="inlineStr">
        <is>
          <t>11.790.000</t>
        </is>
      </c>
    </row>
    <row r="30">
      <c r="A30" t="inlineStr">
        <is>
          <t>AW S10 (46mm CEL)</t>
        </is>
      </c>
      <c r="B30" s="37" t="n">
        <v>14390000</v>
      </c>
      <c r="C30" s="37" t="inlineStr">
        <is>
          <t>OOS</t>
        </is>
      </c>
      <c r="D30" s="25" t="n">
        <v>14190000</v>
      </c>
      <c r="E30" s="38" t="n">
        <v>14390000</v>
      </c>
      <c r="F30" s="39" t="n">
        <v>14390000</v>
      </c>
      <c r="G30" s="34" t="n">
        <v>14690000</v>
      </c>
    </row>
    <row r="31">
      <c r="A31" t="inlineStr">
        <is>
          <t>AW Ultra 2 (49mm)</t>
        </is>
      </c>
      <c r="B31" s="37" t="n">
        <v>22890000</v>
      </c>
      <c r="C31" s="37" t="n">
        <v>22890000</v>
      </c>
      <c r="D31" s="25" t="n">
        <v>22990000</v>
      </c>
      <c r="E31" s="37" t="inlineStr">
        <is>
          <t>OOS</t>
        </is>
      </c>
      <c r="F31" s="37" t="n">
        <v>22990000</v>
      </c>
      <c r="G31" s="4" t="n">
        <v>20890000</v>
      </c>
    </row>
    <row r="32">
      <c r="A32" t="inlineStr">
        <is>
          <t>AirPods Pro 2 - 2023 (C-Type)</t>
        </is>
      </c>
      <c r="B32" s="37" t="n">
        <v>5740000</v>
      </c>
      <c r="C32" s="37" t="n">
        <v>5740000</v>
      </c>
      <c r="D32" s="39" t="n">
        <v>5590000</v>
      </c>
      <c r="E32" s="38" t="n">
        <v>5290000</v>
      </c>
      <c r="F32" s="34" t="n">
        <v>5650000</v>
      </c>
      <c r="G32" s="4" t="n">
        <v>5450000</v>
      </c>
    </row>
    <row r="33">
      <c r="A33" t="inlineStr">
        <is>
          <t>AirPods 3 with charging case</t>
        </is>
      </c>
      <c r="B33" s="37" t="n">
        <v>4040000</v>
      </c>
      <c r="C33" s="37" t="n">
        <v>4040000</v>
      </c>
      <c r="D33" s="25" t="n">
        <v>4090000</v>
      </c>
      <c r="E33" s="40" t="n">
        <v>4150000</v>
      </c>
      <c r="F33" s="39" t="n">
        <v>4090000</v>
      </c>
      <c r="G33" s="4" t="inlineStr">
        <is>
          <t>3.890.000</t>
        </is>
      </c>
    </row>
    <row r="34">
      <c r="A34" t="inlineStr">
        <is>
          <t>AirPods 2 with charging case</t>
        </is>
      </c>
      <c r="B34" s="37" t="n">
        <v>3090000</v>
      </c>
      <c r="C34" s="37" t="n">
        <v>3090000</v>
      </c>
      <c r="D34" s="39" t="n">
        <v>3090000</v>
      </c>
      <c r="E34" s="40" t="n">
        <v>2790000</v>
      </c>
      <c r="F34" s="39" t="n">
        <v>3090000</v>
      </c>
      <c r="G34" s="4" t="n">
        <v>2750000</v>
      </c>
    </row>
    <row r="35">
      <c r="A35" t="inlineStr">
        <is>
          <t>MacBook Air 13" M1 8/256Gb</t>
        </is>
      </c>
      <c r="B35" s="37" t="n">
        <v>18490000</v>
      </c>
      <c r="C35" s="37" t="n">
        <v>18490000</v>
      </c>
      <c r="D35" s="34" t="n">
        <v>18290000</v>
      </c>
      <c r="E35" s="37" t="n"/>
      <c r="F35" s="39" t="n">
        <v>18490000</v>
      </c>
      <c r="G35" s="4" t="n">
        <v>17750000</v>
      </c>
    </row>
    <row r="36">
      <c r="A36" t="inlineStr">
        <is>
          <t>MacBook Air 13" M2 8/256GB</t>
        </is>
      </c>
      <c r="B36" s="37" t="n">
        <v>23990000</v>
      </c>
      <c r="C36" s="37" t="n">
        <v>23990000</v>
      </c>
      <c r="D36" s="25" t="n">
        <v>23790000</v>
      </c>
      <c r="E36" s="37" t="n"/>
      <c r="F36" s="34" t="n">
        <v>23590000</v>
      </c>
      <c r="G36" s="4" t="n">
        <v>22990000</v>
      </c>
    </row>
    <row r="37">
      <c r="A37" t="inlineStr">
        <is>
          <t>MacBook Air 13" M3 8/256GB</t>
        </is>
      </c>
      <c r="B37" s="3" t="n">
        <v>26890000</v>
      </c>
      <c r="C37" s="3" t="n">
        <v>26890000</v>
      </c>
      <c r="D37" s="39" t="n">
        <v>26790000</v>
      </c>
      <c r="E37" s="37" t="n"/>
      <c r="F37" s="39" t="n">
        <v>26990000</v>
      </c>
      <c r="G37" s="4" t="n">
        <v>26290000</v>
      </c>
    </row>
    <row r="38">
      <c r="A38" t="inlineStr">
        <is>
          <t>MacBook Air 15" M3 8/256GB</t>
        </is>
      </c>
      <c r="B38" s="37" t="n">
        <v>31190000</v>
      </c>
      <c r="C38" s="37" t="n">
        <v>31190000</v>
      </c>
      <c r="D38" s="4" t="n">
        <v>31090000</v>
      </c>
      <c r="E38" s="37" t="n"/>
      <c r="F38" s="39" t="n">
        <v>31190000</v>
      </c>
      <c r="G38" s="4" t="n">
        <v>30790000</v>
      </c>
    </row>
    <row r="39">
      <c r="A39" t="inlineStr">
        <is>
          <t>MacBook Pro 14" M3 8/512GB</t>
        </is>
      </c>
      <c r="B39" s="3" t="n">
        <v>37790000</v>
      </c>
      <c r="C39" s="3" t="n">
        <v>37790000</v>
      </c>
      <c r="D39" s="25" t="n">
        <v>37990000</v>
      </c>
      <c r="E39" s="37" t="n"/>
      <c r="F39" s="39" t="n">
        <v>38190000</v>
      </c>
      <c r="G39" s="4" t="n">
        <v>37790000</v>
      </c>
    </row>
  </sheetData>
  <pageMargins left="0.7" right="0.7" top="0.75" bottom="0.75" header="0.3" footer="0.3"/>
  <legacyDrawing xmlns:r="http://schemas.openxmlformats.org/officeDocument/2006/relationships" r:id="anysvml"/>
</worksheet>
</file>

<file path=xl/worksheets/sheet28.xml><?xml version="1.0" encoding="utf-8"?>
<worksheet xmlns="http://schemas.openxmlformats.org/spreadsheetml/2006/main">
  <sheetPr codeName="Sheet27">
    <outlinePr summaryBelow="1" summaryRight="1"/>
    <pageSetUpPr/>
  </sheetPr>
  <dimension ref="A1:K39"/>
  <sheetViews>
    <sheetView topLeftCell="K10" zoomScale="90" zoomScaleNormal="90" workbookViewId="0">
      <selection activeCell="K10" sqref="K10"/>
    </sheetView>
  </sheetViews>
  <sheetFormatPr baseColWidth="8" defaultColWidth="11" defaultRowHeight="15.95"/>
  <cols>
    <col width="25.375" bestFit="1" customWidth="1" style="35" min="1" max="1"/>
  </cols>
  <sheetData>
    <row r="1">
      <c r="B1" t="inlineStr">
        <is>
          <t>TZ</t>
        </is>
      </c>
      <c r="C1" t="inlineStr">
        <is>
          <t>MW</t>
        </is>
      </c>
      <c r="D1" t="inlineStr">
        <is>
          <t>FPT</t>
        </is>
      </c>
      <c r="E1" t="inlineStr">
        <is>
          <t>Viettel</t>
        </is>
      </c>
      <c r="F1" t="inlineStr">
        <is>
          <t>CPS</t>
        </is>
      </c>
      <c r="G1" t="inlineStr">
        <is>
          <t>Shopdunk</t>
        </is>
      </c>
    </row>
    <row r="2">
      <c r="A2" t="inlineStr">
        <is>
          <t>iPhone 16  128GB</t>
        </is>
      </c>
      <c r="B2" s="37" t="n">
        <v>22890000</v>
      </c>
      <c r="C2" s="37" t="n">
        <v>22890000</v>
      </c>
      <c r="D2" s="43" t="n">
        <v>21990000</v>
      </c>
      <c r="E2" s="40" t="n">
        <v>22490000</v>
      </c>
      <c r="F2" s="38" t="n">
        <v>22290000</v>
      </c>
      <c r="G2" s="4" t="n">
        <v>21590000</v>
      </c>
    </row>
    <row r="3">
      <c r="A3" t="inlineStr">
        <is>
          <t>iPhone 16  Plus 128GB</t>
        </is>
      </c>
      <c r="B3" s="37" t="n">
        <v>25890000</v>
      </c>
      <c r="C3" s="37" t="n">
        <v>25890000</v>
      </c>
      <c r="D3" s="43" t="n">
        <v>25490000</v>
      </c>
      <c r="E3" s="40" t="n">
        <v>25490000</v>
      </c>
      <c r="F3" s="38" t="n">
        <v>25490000</v>
      </c>
      <c r="G3" s="4" t="n">
        <v>24590000</v>
      </c>
    </row>
    <row r="4">
      <c r="A4" t="inlineStr">
        <is>
          <t>iPhone 16 Pro  128GB</t>
        </is>
      </c>
      <c r="B4" s="3" t="n">
        <v>28990000</v>
      </c>
      <c r="C4" s="3" t="n">
        <v>28990000</v>
      </c>
      <c r="D4" s="43" t="n">
        <v>28490000</v>
      </c>
      <c r="E4" s="40" t="n">
        <v>28490000</v>
      </c>
      <c r="F4" s="40" t="n">
        <v>28990000</v>
      </c>
      <c r="G4" s="4" t="n">
        <v>28590000</v>
      </c>
    </row>
    <row r="5">
      <c r="A5" t="inlineStr">
        <is>
          <t>iPhone 16 Pro Max 256GB</t>
        </is>
      </c>
      <c r="B5" s="3" t="inlineStr">
        <is>
          <t>OOS</t>
        </is>
      </c>
      <c r="C5" s="37" t="inlineStr">
        <is>
          <t>OOS</t>
        </is>
      </c>
      <c r="D5" s="43" t="n">
        <v>34490000</v>
      </c>
      <c r="E5" s="40" t="n">
        <v>34990000</v>
      </c>
      <c r="F5" s="40" t="n">
        <v>34990000</v>
      </c>
      <c r="G5" s="4" t="n">
        <v>34590000</v>
      </c>
    </row>
    <row r="6">
      <c r="A6" t="inlineStr">
        <is>
          <t>iPhone 15  128GB</t>
        </is>
      </c>
      <c r="B6" s="3" t="inlineStr">
        <is>
          <t>OOS</t>
        </is>
      </c>
      <c r="C6" s="37" t="inlineStr">
        <is>
          <t>OOS</t>
        </is>
      </c>
      <c r="D6" s="43" t="n">
        <v>19690000</v>
      </c>
      <c r="E6" s="37" t="n">
        <v>19490000</v>
      </c>
      <c r="F6" s="40" t="n">
        <v>19590000</v>
      </c>
      <c r="G6" s="3" t="inlineStr">
        <is>
          <t>19.290.000</t>
        </is>
      </c>
    </row>
    <row r="7">
      <c r="A7" t="inlineStr">
        <is>
          <t>iPhone 15  Plus 128GB</t>
        </is>
      </c>
      <c r="B7" s="37" t="n">
        <v>22690000</v>
      </c>
      <c r="C7" s="37" t="n">
        <v>22690000</v>
      </c>
      <c r="D7" s="43" t="n">
        <v>22690000</v>
      </c>
      <c r="E7" s="37" t="n">
        <v>22490000</v>
      </c>
      <c r="F7" s="40" t="n">
        <v>22590000</v>
      </c>
      <c r="G7" s="3" t="n">
        <v>22690000</v>
      </c>
      <c r="I7" t="inlineStr">
        <is>
          <t xml:space="preserve">MW </t>
        </is>
      </c>
      <c r="J7" t="inlineStr">
        <is>
          <t>Duy</t>
        </is>
      </c>
      <c r="K7" t="b">
        <v>1</v>
      </c>
    </row>
    <row r="8">
      <c r="A8" t="inlineStr">
        <is>
          <t>iPhone 15 Pro  128GB</t>
        </is>
      </c>
      <c r="B8" s="37" t="inlineStr">
        <is>
          <t>OOS</t>
        </is>
      </c>
      <c r="C8" s="37" t="inlineStr">
        <is>
          <t>OOS</t>
        </is>
      </c>
      <c r="D8" s="42" t="n">
        <v>25990000</v>
      </c>
      <c r="E8" s="37" t="inlineStr">
        <is>
          <t>OOS</t>
        </is>
      </c>
      <c r="F8" s="40" t="n">
        <v>25590000</v>
      </c>
      <c r="G8" s="4" t="n">
        <v>24390000</v>
      </c>
      <c r="I8" t="inlineStr">
        <is>
          <t>TZ</t>
        </is>
      </c>
      <c r="J8" t="inlineStr">
        <is>
          <t>Nghĩa</t>
        </is>
      </c>
      <c r="K8" t="b">
        <v>1</v>
      </c>
    </row>
    <row r="9">
      <c r="A9" t="inlineStr">
        <is>
          <t>iPhone 15 Pro Max 256GB</t>
        </is>
      </c>
      <c r="B9" s="3" t="inlineStr">
        <is>
          <t>OOS</t>
        </is>
      </c>
      <c r="C9" s="37" t="n">
        <v>29490000</v>
      </c>
      <c r="D9" s="25" t="n">
        <v>29390000</v>
      </c>
      <c r="E9" s="40" t="n">
        <v>28990000</v>
      </c>
      <c r="F9" s="40" t="n">
        <v>28990000</v>
      </c>
      <c r="G9" s="4" t="n">
        <v>28590000</v>
      </c>
      <c r="I9" t="inlineStr">
        <is>
          <t>FPT</t>
        </is>
      </c>
      <c r="J9" t="inlineStr">
        <is>
          <t>Việt</t>
        </is>
      </c>
      <c r="K9" t="b">
        <v>1</v>
      </c>
    </row>
    <row r="10">
      <c r="A10" t="inlineStr">
        <is>
          <t>iPhone 14 Plus 128GB</t>
        </is>
      </c>
      <c r="B10" s="37" t="n">
        <v>20490000</v>
      </c>
      <c r="C10" s="37" t="n">
        <v>20490000</v>
      </c>
      <c r="D10" s="25" t="n">
        <v>19990000</v>
      </c>
      <c r="E10" s="37" t="n">
        <v>19690000</v>
      </c>
      <c r="F10" s="39" t="n">
        <v>19790000</v>
      </c>
      <c r="G10" s="3" t="n">
        <v>19090000</v>
      </c>
      <c r="I10" t="inlineStr">
        <is>
          <t>Viettel</t>
        </is>
      </c>
      <c r="J10" t="inlineStr">
        <is>
          <t>Sơn</t>
        </is>
      </c>
      <c r="K10" t="b">
        <v>1</v>
      </c>
    </row>
    <row r="11">
      <c r="A11" t="inlineStr">
        <is>
          <t>iPhone 14 128GB</t>
        </is>
      </c>
      <c r="B11" s="3" t="n">
        <v>17490000</v>
      </c>
      <c r="C11" s="3" t="n">
        <v>17490000</v>
      </c>
      <c r="D11" s="39" t="n">
        <v>17090000</v>
      </c>
      <c r="E11" s="37" t="inlineStr">
        <is>
          <t>OOS</t>
        </is>
      </c>
      <c r="F11" s="34" t="n">
        <v>16850000</v>
      </c>
      <c r="G11" s="4" t="n">
        <v>17290000</v>
      </c>
      <c r="I11" t="inlineStr">
        <is>
          <t>CPS</t>
        </is>
      </c>
      <c r="J11" t="inlineStr">
        <is>
          <t>Trang</t>
        </is>
      </c>
      <c r="K11" t="b">
        <v>1</v>
      </c>
    </row>
    <row r="12">
      <c r="A12" t="inlineStr">
        <is>
          <t>iPhone 13  128GB</t>
        </is>
      </c>
      <c r="B12" s="3" t="n">
        <v>13790000</v>
      </c>
      <c r="C12" s="3" t="n">
        <v>13690000</v>
      </c>
      <c r="D12" s="34" t="n">
        <v>13590000</v>
      </c>
      <c r="E12" s="38" t="n">
        <v>13490000</v>
      </c>
      <c r="F12" s="34" t="n">
        <v>13690000</v>
      </c>
      <c r="G12" s="3" t="inlineStr">
        <is>
          <t>13.450.000</t>
        </is>
      </c>
      <c r="I12" t="inlineStr">
        <is>
          <t>ShopDunk</t>
        </is>
      </c>
      <c r="J12" t="inlineStr">
        <is>
          <t>Đạt</t>
        </is>
      </c>
      <c r="K12" t="b">
        <v>1</v>
      </c>
    </row>
    <row r="13">
      <c r="A13" t="inlineStr">
        <is>
          <t>iPhone 12 64GB</t>
        </is>
      </c>
      <c r="B13" s="3" t="inlineStr">
        <is>
          <t>OOS</t>
        </is>
      </c>
      <c r="C13" s="37" t="n">
        <v>11490000</v>
      </c>
      <c r="D13" s="25" t="n">
        <v>10990000</v>
      </c>
      <c r="E13" s="37" t="n">
        <v>10990000</v>
      </c>
      <c r="F13" s="39" t="n">
        <v>10990000</v>
      </c>
      <c r="G13" s="4" t="n">
        <v>12290000</v>
      </c>
    </row>
    <row r="14">
      <c r="A14" t="inlineStr">
        <is>
          <t>iPhone 11 64GB</t>
        </is>
      </c>
      <c r="B14" s="37" t="n">
        <v>8940000</v>
      </c>
      <c r="C14" s="37" t="n">
        <v>8940000</v>
      </c>
      <c r="D14" s="25" t="n">
        <v>8990000</v>
      </c>
      <c r="E14" s="37" t="n">
        <v>8490000</v>
      </c>
      <c r="F14" s="39" t="n">
        <v>8890000</v>
      </c>
      <c r="G14" s="4" t="n">
        <v>8790000</v>
      </c>
    </row>
    <row r="15">
      <c r="A15" t="inlineStr">
        <is>
          <t>iPad Air 5 M1 64GB Wifi</t>
        </is>
      </c>
      <c r="B15" s="37" t="inlineStr">
        <is>
          <t>OOS</t>
        </is>
      </c>
      <c r="C15" s="37" t="inlineStr">
        <is>
          <t>OOS</t>
        </is>
      </c>
      <c r="D15" s="4" t="inlineStr">
        <is>
          <t>OOS</t>
        </is>
      </c>
      <c r="E15" s="40" t="n">
        <v>13990000</v>
      </c>
      <c r="F15" s="39" t="inlineStr">
        <is>
          <t>OOS</t>
        </is>
      </c>
      <c r="G15" s="34" t="inlineStr">
        <is>
          <t>OOS</t>
        </is>
      </c>
    </row>
    <row r="16">
      <c r="A16" t="inlineStr">
        <is>
          <t>iPad Mini 6 64GB Wifi</t>
        </is>
      </c>
      <c r="B16" s="37" t="n">
        <v>12790000</v>
      </c>
      <c r="C16" s="37" t="inlineStr">
        <is>
          <t>OOS</t>
        </is>
      </c>
      <c r="D16" s="25" t="n">
        <v>12490000</v>
      </c>
      <c r="E16" s="37" t="inlineStr">
        <is>
          <t>OOS</t>
        </is>
      </c>
      <c r="F16" s="39" t="n">
        <v>12650000</v>
      </c>
      <c r="G16" s="4" t="n">
        <v>12650000</v>
      </c>
    </row>
    <row r="17">
      <c r="A17" t="inlineStr">
        <is>
          <t>iPad Gen 10th 64GB Wifi</t>
        </is>
      </c>
      <c r="B17" s="37" t="n">
        <v>9890000</v>
      </c>
      <c r="C17" s="37" t="n">
        <v>9890000</v>
      </c>
      <c r="D17" s="25" t="n">
        <v>9790000</v>
      </c>
      <c r="E17" s="38" t="n">
        <v>8990000</v>
      </c>
      <c r="F17" s="39" t="n">
        <v>9490000</v>
      </c>
      <c r="G17" s="3" t="n">
        <v>9290000</v>
      </c>
    </row>
    <row r="18">
      <c r="A18" t="inlineStr">
        <is>
          <t>iPad Gen 9th  64GB Wifi</t>
        </is>
      </c>
      <c r="B18" s="3" t="n">
        <v>7340000</v>
      </c>
      <c r="C18" s="25" t="n">
        <v>7340000</v>
      </c>
      <c r="D18" s="25" t="n">
        <v>7190000</v>
      </c>
      <c r="E18" s="37" t="n">
        <v>6990000</v>
      </c>
      <c r="F18" s="34" t="n">
        <v>7090000</v>
      </c>
      <c r="G18" s="4" t="n">
        <v>7090000</v>
      </c>
    </row>
    <row r="19">
      <c r="A19" t="inlineStr">
        <is>
          <t>iPad Air M2  11" 128 GB Wifi</t>
        </is>
      </c>
      <c r="B19" s="37" t="n">
        <v>16890000</v>
      </c>
      <c r="C19" s="37" t="n">
        <v>16890000</v>
      </c>
      <c r="D19" s="25" t="n">
        <v>16990000</v>
      </c>
      <c r="E19" s="40" t="n">
        <v>16226000</v>
      </c>
      <c r="F19" s="39" t="n">
        <v>16490000</v>
      </c>
      <c r="G19" s="4" t="inlineStr">
        <is>
          <t>15.690.000</t>
        </is>
      </c>
    </row>
    <row r="20">
      <c r="A20" t="inlineStr">
        <is>
          <t>iPad Air M2  13" 128 GB Wifi</t>
        </is>
      </c>
      <c r="B20" s="37" t="n">
        <v>22390000</v>
      </c>
      <c r="C20" s="37" t="n">
        <v>22390000</v>
      </c>
      <c r="D20" s="25" t="n">
        <v>21990000</v>
      </c>
      <c r="E20" s="40" t="n">
        <v>21275000</v>
      </c>
      <c r="F20" s="39" t="n">
        <v>21490000</v>
      </c>
      <c r="G20" s="4" t="n">
        <v>21490000</v>
      </c>
    </row>
    <row r="21">
      <c r="A21" t="inlineStr">
        <is>
          <t>iPad Pro  M4  11" 256 GB Wifi</t>
        </is>
      </c>
      <c r="B21" s="37" t="n">
        <v>27690000</v>
      </c>
      <c r="C21" s="37" t="n">
        <v>27690000</v>
      </c>
      <c r="D21" s="25" t="n">
        <v>27690000</v>
      </c>
      <c r="E21" s="40" t="n">
        <v>27215000</v>
      </c>
      <c r="F21" s="39" t="n">
        <v>27690000</v>
      </c>
      <c r="G21" s="4" t="n">
        <v>27190000</v>
      </c>
    </row>
    <row r="22">
      <c r="A22" t="inlineStr">
        <is>
          <t>iPad Pro  M4  13" 256 GB Wifi</t>
        </is>
      </c>
      <c r="B22" s="3" t="n">
        <v>36890000</v>
      </c>
      <c r="C22" s="3" t="n">
        <v>36890000</v>
      </c>
      <c r="D22" s="25" t="n">
        <v>36790000</v>
      </c>
      <c r="E22" s="37" t="n">
        <v>36490000</v>
      </c>
      <c r="F22" s="39" t="n">
        <v>36990000</v>
      </c>
      <c r="G22" s="4" t="n">
        <v>36890000</v>
      </c>
    </row>
    <row r="23">
      <c r="A23" t="inlineStr">
        <is>
          <t>AW SE 2024 (40mm GPS)</t>
        </is>
      </c>
      <c r="B23" s="37" t="n">
        <v>5790000</v>
      </c>
      <c r="C23" s="25" t="n">
        <v>5790000</v>
      </c>
      <c r="D23" s="25" t="n">
        <v>5790000</v>
      </c>
      <c r="E23" s="38" t="n">
        <v>5690000</v>
      </c>
      <c r="F23" s="39" t="n">
        <v>5990000</v>
      </c>
      <c r="G23" s="3" t="n">
        <v>5890000</v>
      </c>
    </row>
    <row r="24">
      <c r="A24" t="inlineStr">
        <is>
          <t>AW SE 2024 (40mm LTE)</t>
        </is>
      </c>
      <c r="B24" s="3" t="n">
        <v>7290000</v>
      </c>
      <c r="C24" s="37" t="inlineStr">
        <is>
          <t>OOS</t>
        </is>
      </c>
      <c r="D24" s="25" t="n">
        <v>7090000</v>
      </c>
      <c r="E24" s="40" t="inlineStr">
        <is>
          <t>OOS</t>
        </is>
      </c>
      <c r="F24" s="39" t="n">
        <v>7290000</v>
      </c>
      <c r="G24" s="4" t="n">
        <v>7390000</v>
      </c>
    </row>
    <row r="25">
      <c r="A25" t="inlineStr">
        <is>
          <t>AW SE 2024 (44mm GPS)</t>
        </is>
      </c>
      <c r="B25" s="3" t="n">
        <v>6590000</v>
      </c>
      <c r="C25" s="3" t="n">
        <v>6590000</v>
      </c>
      <c r="D25" s="25" t="n">
        <v>6590000</v>
      </c>
      <c r="E25" s="38" t="n">
        <v>6490000</v>
      </c>
      <c r="F25" s="39" t="n">
        <v>6790000</v>
      </c>
      <c r="G25" s="4" t="n">
        <v>6790000</v>
      </c>
    </row>
    <row r="26">
      <c r="A26" t="inlineStr">
        <is>
          <t>AW SE 2024 (44mm LTE)</t>
        </is>
      </c>
      <c r="B26" s="37" t="n">
        <v>7790000</v>
      </c>
      <c r="C26" s="37" t="inlineStr">
        <is>
          <t>OOS</t>
        </is>
      </c>
      <c r="D26" s="25" t="n">
        <v>7890000</v>
      </c>
      <c r="E26" s="38" t="n">
        <v>7790000</v>
      </c>
      <c r="F26" s="39" t="n">
        <v>8090000</v>
      </c>
      <c r="G26" s="4" t="inlineStr">
        <is>
          <t>8.090.000</t>
        </is>
      </c>
    </row>
    <row r="27">
      <c r="A27" t="inlineStr">
        <is>
          <t>AW S10 (42mm GPS)</t>
        </is>
      </c>
      <c r="B27" s="37" t="n">
        <v>10890000</v>
      </c>
      <c r="C27" s="37" t="n">
        <v>8940000</v>
      </c>
      <c r="D27" s="25" t="n">
        <v>10990000</v>
      </c>
      <c r="E27" s="40" t="n">
        <v>10990000</v>
      </c>
      <c r="F27" s="39" t="n">
        <v>10990000</v>
      </c>
      <c r="G27" s="45" t="n">
        <v>10990000</v>
      </c>
    </row>
    <row r="28">
      <c r="A28" t="inlineStr">
        <is>
          <t>AW S10 (42mm CEL)</t>
        </is>
      </c>
      <c r="B28" s="37" t="n">
        <v>13490000</v>
      </c>
      <c r="C28" s="37" t="inlineStr">
        <is>
          <t>OOS</t>
        </is>
      </c>
      <c r="D28" s="25" t="n">
        <v>13390000</v>
      </c>
      <c r="E28" s="40" t="n">
        <v>13590000</v>
      </c>
      <c r="F28" s="39" t="n">
        <v>13590000</v>
      </c>
      <c r="G28" s="45" t="n">
        <v>13590000</v>
      </c>
    </row>
    <row r="29">
      <c r="A29" t="inlineStr">
        <is>
          <t>AW S10 (46mm GPS)</t>
        </is>
      </c>
      <c r="B29" s="37" t="n">
        <v>11690000</v>
      </c>
      <c r="C29" s="37" t="n">
        <v>9690000</v>
      </c>
      <c r="D29" s="25" t="n">
        <v>11790000</v>
      </c>
      <c r="E29" s="40" t="n">
        <v>11790000</v>
      </c>
      <c r="F29" s="39" t="n">
        <v>11790000</v>
      </c>
      <c r="G29" s="46" t="inlineStr">
        <is>
          <t>11.790.000</t>
        </is>
      </c>
    </row>
    <row r="30">
      <c r="A30" t="inlineStr">
        <is>
          <t>AW S10 (46mm CEL)</t>
        </is>
      </c>
      <c r="B30" s="37" t="n">
        <v>14390000</v>
      </c>
      <c r="C30" s="37" t="inlineStr">
        <is>
          <t>OOS</t>
        </is>
      </c>
      <c r="D30" s="25" t="n">
        <v>14190000</v>
      </c>
      <c r="E30" s="40" t="n">
        <v>14390000</v>
      </c>
      <c r="F30" s="39" t="n">
        <v>14390000</v>
      </c>
      <c r="G30" s="34" t="n">
        <v>14390000</v>
      </c>
    </row>
    <row r="31">
      <c r="A31" t="inlineStr">
        <is>
          <t>AW Ultra 2 (49mm)</t>
        </is>
      </c>
      <c r="B31" s="37" t="n">
        <v>22890000</v>
      </c>
      <c r="C31" s="37" t="n">
        <v>22890000</v>
      </c>
      <c r="D31" s="25" t="n">
        <v>22990000</v>
      </c>
      <c r="E31" s="37" t="inlineStr">
        <is>
          <t>OOS</t>
        </is>
      </c>
      <c r="F31" s="37" t="n">
        <v>22990000</v>
      </c>
      <c r="G31" s="4" t="n">
        <v>20890000</v>
      </c>
    </row>
    <row r="32">
      <c r="A32" t="inlineStr">
        <is>
          <t>AirPods Pro 2 - 2023 (C-Type)</t>
        </is>
      </c>
      <c r="B32" s="37" t="n">
        <v>5740000</v>
      </c>
      <c r="C32" s="37" t="n">
        <v>5740000</v>
      </c>
      <c r="D32" s="39" t="n">
        <v>5590000</v>
      </c>
      <c r="E32" s="40" t="n">
        <v>5290000</v>
      </c>
      <c r="F32" s="37" t="n">
        <v>5650000</v>
      </c>
      <c r="G32" s="4" t="n">
        <v>5450000</v>
      </c>
    </row>
    <row r="33">
      <c r="A33" t="inlineStr">
        <is>
          <t>AirPods 3 with charging case</t>
        </is>
      </c>
      <c r="B33" s="37" t="n">
        <v>4040000</v>
      </c>
      <c r="C33" s="37" t="n">
        <v>4040000</v>
      </c>
      <c r="D33" s="25" t="n">
        <v>4090000</v>
      </c>
      <c r="E33" s="40" t="n">
        <v>4150000</v>
      </c>
      <c r="F33" s="39" t="n">
        <v>4090000</v>
      </c>
      <c r="G33" s="4" t="inlineStr">
        <is>
          <t>3.890.000</t>
        </is>
      </c>
    </row>
    <row r="34">
      <c r="A34" t="inlineStr">
        <is>
          <t>AirPods 2 with charging case</t>
        </is>
      </c>
      <c r="B34" s="37" t="n">
        <v>3090000</v>
      </c>
      <c r="C34" s="37" t="n">
        <v>3090000</v>
      </c>
      <c r="D34" s="39" t="n">
        <v>3090000</v>
      </c>
      <c r="E34" s="40" t="n">
        <v>2790000</v>
      </c>
      <c r="F34" s="39" t="n">
        <v>3090000</v>
      </c>
      <c r="G34" s="4" t="n">
        <v>2750000</v>
      </c>
    </row>
    <row r="35">
      <c r="A35" t="inlineStr">
        <is>
          <t>MacBook Air 13" M1 8/256Gb</t>
        </is>
      </c>
      <c r="B35" s="37" t="n">
        <v>18490000</v>
      </c>
      <c r="C35" s="37" t="n">
        <v>18490000</v>
      </c>
      <c r="D35" s="39" t="n">
        <v>18290000</v>
      </c>
      <c r="E35" s="37" t="n"/>
      <c r="F35" s="39" t="n">
        <v>18490000</v>
      </c>
      <c r="G35" s="3" t="n">
        <v>17490000</v>
      </c>
    </row>
    <row r="36">
      <c r="A36" t="inlineStr">
        <is>
          <t>MacBook Air 13" M2 8/256GB</t>
        </is>
      </c>
      <c r="B36" s="3" t="n">
        <v>24390000</v>
      </c>
      <c r="C36" s="3" t="n">
        <v>24490000</v>
      </c>
      <c r="D36" s="25" t="n">
        <v>23790000</v>
      </c>
      <c r="E36" s="37" t="n"/>
      <c r="F36" s="34" t="n">
        <v>23490000</v>
      </c>
      <c r="G36" s="4" t="n">
        <v>22990000</v>
      </c>
    </row>
    <row r="37">
      <c r="A37" t="inlineStr">
        <is>
          <t>MacBook Air 13" M3 8/256GB</t>
        </is>
      </c>
      <c r="B37" s="3" t="n">
        <v>27390000</v>
      </c>
      <c r="C37" s="3" t="n">
        <v>27490000</v>
      </c>
      <c r="D37" s="39" t="n">
        <v>26790000</v>
      </c>
      <c r="E37" s="37" t="n"/>
      <c r="F37" s="39" t="n">
        <v>26490000</v>
      </c>
      <c r="G37" s="4" t="n">
        <v>26290000</v>
      </c>
    </row>
    <row r="38">
      <c r="A38" t="inlineStr">
        <is>
          <t>MacBook Air 15" M3 8/256GB</t>
        </is>
      </c>
      <c r="B38" s="3" t="n">
        <v>32090000</v>
      </c>
      <c r="C38" s="3" t="n">
        <v>32090000</v>
      </c>
      <c r="D38" s="4" t="n">
        <v>31090000</v>
      </c>
      <c r="E38" s="37" t="n"/>
      <c r="F38" s="39" t="n">
        <v>31190000</v>
      </c>
      <c r="G38" s="3" t="n">
        <v>30990000</v>
      </c>
    </row>
    <row r="39">
      <c r="A39" t="inlineStr">
        <is>
          <t>MacBook Pro 14" M3 8/512GB</t>
        </is>
      </c>
      <c r="B39" s="3" t="n">
        <v>38090000</v>
      </c>
      <c r="C39" s="3" t="n">
        <v>38090000</v>
      </c>
      <c r="D39" s="25" t="n">
        <v>37990000</v>
      </c>
      <c r="E39" s="37" t="n"/>
      <c r="F39" s="39" t="n">
        <v>38190000</v>
      </c>
      <c r="G39" s="4" t="n">
        <v>37790000</v>
      </c>
    </row>
  </sheetData>
  <pageMargins left="0.7" right="0.7" top="0.75" bottom="0.75" header="0.3" footer="0.3"/>
  <legacyDrawing xmlns:r="http://schemas.openxmlformats.org/officeDocument/2006/relationships" r:id="anysvml"/>
</worksheet>
</file>

<file path=xl/worksheets/sheet29.xml><?xml version="1.0" encoding="utf-8"?>
<worksheet xmlns="http://schemas.openxmlformats.org/spreadsheetml/2006/main">
  <sheetPr codeName="Sheet28">
    <outlinePr summaryBelow="1" summaryRight="1"/>
    <pageSetUpPr/>
  </sheetPr>
  <dimension ref="A1:K40"/>
  <sheetViews>
    <sheetView zoomScale="79" zoomScaleNormal="100" workbookViewId="0">
      <selection activeCell="K10" sqref="K10"/>
    </sheetView>
  </sheetViews>
  <sheetFormatPr baseColWidth="8" defaultColWidth="11" defaultRowHeight="15.95"/>
  <cols>
    <col width="25.3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22990000</v>
      </c>
      <c r="C2" s="3" t="n">
        <v>22990000</v>
      </c>
      <c r="D2" s="42" t="n">
        <v>21690000</v>
      </c>
      <c r="E2" s="38" t="n">
        <v>21690000</v>
      </c>
      <c r="F2" s="38" t="n">
        <v>21290000</v>
      </c>
      <c r="G2" s="4" t="n">
        <v>21590000</v>
      </c>
    </row>
    <row r="3">
      <c r="A3" t="inlineStr">
        <is>
          <t>iPhone 16  Plus 128GB</t>
        </is>
      </c>
      <c r="B3" s="3" t="n">
        <v>25990000</v>
      </c>
      <c r="C3" s="3" t="n">
        <v>25990000</v>
      </c>
      <c r="D3" s="43" t="n">
        <v>25490000</v>
      </c>
      <c r="E3" s="38" t="n">
        <v>24690000</v>
      </c>
      <c r="F3" s="38" t="n">
        <v>24490000</v>
      </c>
      <c r="G3" s="3" t="n">
        <v>25490000</v>
      </c>
    </row>
    <row r="4">
      <c r="A4" t="inlineStr">
        <is>
          <t>iPhone 16 Pro  128GB</t>
        </is>
      </c>
      <c r="B4" s="3" t="n">
        <v>28990000</v>
      </c>
      <c r="C4" s="25" t="n">
        <v>28990000</v>
      </c>
      <c r="D4" s="43" t="n">
        <v>28490000</v>
      </c>
      <c r="E4" s="38" t="n">
        <v>27490000</v>
      </c>
      <c r="F4" s="38" t="n">
        <v>27990000</v>
      </c>
      <c r="G4" s="4" t="n">
        <v>28590000</v>
      </c>
    </row>
    <row r="5">
      <c r="A5" t="inlineStr">
        <is>
          <t>iPhone 16 Pro Max 256GB</t>
        </is>
      </c>
      <c r="B5" s="3" t="n">
        <v>34990000</v>
      </c>
      <c r="C5" s="37" t="inlineStr">
        <is>
          <t>OOS</t>
        </is>
      </c>
      <c r="D5" s="43" t="n">
        <v>34490000</v>
      </c>
      <c r="E5" s="38" t="n">
        <v>33990000</v>
      </c>
      <c r="F5" s="38" t="n">
        <v>33790000</v>
      </c>
      <c r="G5" s="3" t="n">
        <v>34490000</v>
      </c>
    </row>
    <row r="6">
      <c r="A6" t="inlineStr">
        <is>
          <t>iPhone 15  128GB</t>
        </is>
      </c>
      <c r="B6" s="3" t="n">
        <v>20190000</v>
      </c>
      <c r="C6" s="37" t="inlineStr">
        <is>
          <t>OOS</t>
        </is>
      </c>
      <c r="D6" s="43" t="n">
        <v>19690000</v>
      </c>
      <c r="E6" s="37" t="n">
        <v>19490000</v>
      </c>
      <c r="F6" s="40" t="n">
        <v>19590000</v>
      </c>
      <c r="G6" s="4" t="inlineStr">
        <is>
          <t>19.290.000</t>
        </is>
      </c>
    </row>
    <row r="7">
      <c r="A7" t="inlineStr">
        <is>
          <t>iPhone 15  Plus 128GB</t>
        </is>
      </c>
      <c r="B7" s="3" t="n">
        <v>23190000</v>
      </c>
      <c r="C7" s="3" t="n">
        <v>23190000</v>
      </c>
      <c r="D7" s="43" t="n">
        <v>22690000</v>
      </c>
      <c r="E7" s="37" t="n">
        <v>22490000</v>
      </c>
      <c r="F7" s="40" t="n">
        <v>22590000</v>
      </c>
      <c r="G7" s="4" t="n">
        <v>22690000</v>
      </c>
      <c r="I7" t="inlineStr">
        <is>
          <t xml:space="preserve">MW </t>
        </is>
      </c>
      <c r="J7" t="inlineStr">
        <is>
          <t>Duy</t>
        </is>
      </c>
      <c r="K7" t="b">
        <v>1</v>
      </c>
    </row>
    <row r="8">
      <c r="A8" t="inlineStr">
        <is>
          <t>iPhone 15 Pro  128GB</t>
        </is>
      </c>
      <c r="B8" s="3" t="n">
        <v>28590000</v>
      </c>
      <c r="C8" s="37" t="inlineStr">
        <is>
          <t>OOS</t>
        </is>
      </c>
      <c r="D8" s="43" t="n">
        <v>25990000</v>
      </c>
      <c r="E8" s="37" t="inlineStr">
        <is>
          <t>OOS</t>
        </is>
      </c>
      <c r="F8" s="40" t="n">
        <v>25590000</v>
      </c>
      <c r="G8" s="4" t="n">
        <v>24390000</v>
      </c>
      <c r="I8" t="inlineStr">
        <is>
          <t>TZ</t>
        </is>
      </c>
      <c r="J8" t="inlineStr">
        <is>
          <t>Nghĩa</t>
        </is>
      </c>
      <c r="K8" t="b">
        <v>1</v>
      </c>
    </row>
    <row r="9">
      <c r="A9" t="inlineStr">
        <is>
          <t>iPhone 15 Pro Max 256GB</t>
        </is>
      </c>
      <c r="B9" s="3" t="n">
        <v>29590000</v>
      </c>
      <c r="C9" s="37" t="inlineStr">
        <is>
          <t>OOS</t>
        </is>
      </c>
      <c r="D9" s="25" t="n">
        <v>29390000</v>
      </c>
      <c r="E9" s="38" t="n">
        <v>28990000</v>
      </c>
      <c r="F9" s="40" t="n">
        <v>28990000</v>
      </c>
      <c r="G9" s="3" t="n">
        <v>28690000</v>
      </c>
      <c r="I9" t="inlineStr">
        <is>
          <t>FPT</t>
        </is>
      </c>
      <c r="J9" t="inlineStr">
        <is>
          <t>Việt</t>
        </is>
      </c>
      <c r="K9" t="b">
        <v>1</v>
      </c>
    </row>
    <row r="10">
      <c r="A10" t="inlineStr">
        <is>
          <t>iPhone 14 Plus 128GB</t>
        </is>
      </c>
      <c r="B10" s="3" t="n">
        <v>20590000</v>
      </c>
      <c r="C10" s="3" t="n">
        <v>20590000</v>
      </c>
      <c r="D10" s="25" t="n">
        <v>19990000</v>
      </c>
      <c r="E10" s="38" t="n">
        <v>19690000</v>
      </c>
      <c r="F10" s="39" t="n">
        <v>19790000</v>
      </c>
      <c r="G10" s="4" t="n">
        <v>19090000</v>
      </c>
      <c r="I10" t="inlineStr">
        <is>
          <t>Viettel</t>
        </is>
      </c>
      <c r="J10" t="inlineStr">
        <is>
          <t>Sơn</t>
        </is>
      </c>
      <c r="K10" t="b">
        <v>1</v>
      </c>
    </row>
    <row r="11">
      <c r="A11" t="inlineStr">
        <is>
          <t>iPhone 14 128GB</t>
        </is>
      </c>
      <c r="B11" s="3" t="n">
        <v>17590000</v>
      </c>
      <c r="C11" s="3" t="n">
        <v>17590000</v>
      </c>
      <c r="D11" s="39" t="n">
        <v>17090000</v>
      </c>
      <c r="E11" s="37" t="inlineStr">
        <is>
          <t>OOS</t>
        </is>
      </c>
      <c r="F11" s="39" t="n">
        <v>16850000</v>
      </c>
      <c r="G11" s="4" t="n">
        <v>17290000</v>
      </c>
      <c r="I11" t="inlineStr">
        <is>
          <t>CPS</t>
        </is>
      </c>
      <c r="J11" t="inlineStr">
        <is>
          <t>Trang</t>
        </is>
      </c>
      <c r="K11" t="b">
        <v>1</v>
      </c>
    </row>
    <row r="12">
      <c r="A12" t="inlineStr">
        <is>
          <t>iPhone 13  128GB</t>
        </is>
      </c>
      <c r="B12" s="3" t="n">
        <v>13990000</v>
      </c>
      <c r="C12" s="3" t="n">
        <v>13990000</v>
      </c>
      <c r="D12" s="34" t="n">
        <v>13490000</v>
      </c>
      <c r="E12" s="38" t="n">
        <v>13490000</v>
      </c>
      <c r="F12" s="34" t="n">
        <v>13590000</v>
      </c>
      <c r="G12" s="3" t="inlineStr">
        <is>
          <t>13.490.000</t>
        </is>
      </c>
      <c r="I12" t="inlineStr">
        <is>
          <t>ShopDunk</t>
        </is>
      </c>
      <c r="J12" t="inlineStr">
        <is>
          <t>Đạt</t>
        </is>
      </c>
      <c r="K12" t="b">
        <v>1</v>
      </c>
    </row>
    <row r="13">
      <c r="A13" t="inlineStr">
        <is>
          <t>iPhone 12 64GB</t>
        </is>
      </c>
      <c r="B13" s="3" t="n">
        <v>12090000</v>
      </c>
      <c r="C13" s="37" t="inlineStr">
        <is>
          <t>OOS</t>
        </is>
      </c>
      <c r="D13" s="25" t="n">
        <v>10990000</v>
      </c>
      <c r="E13" s="37" t="n">
        <v>10990000</v>
      </c>
      <c r="F13" s="39" t="n">
        <v>10990000</v>
      </c>
      <c r="G13" s="4" t="n">
        <v>12290000</v>
      </c>
    </row>
    <row r="14">
      <c r="A14" t="inlineStr">
        <is>
          <t>iPhone 11 64GB</t>
        </is>
      </c>
      <c r="B14" s="3" t="n">
        <v>8990000</v>
      </c>
      <c r="C14" s="3" t="n">
        <v>8990000</v>
      </c>
      <c r="D14" s="25" t="n">
        <v>8990000</v>
      </c>
      <c r="E14" s="38" t="n">
        <v>8490000</v>
      </c>
      <c r="F14" s="34" t="n">
        <v>8790000</v>
      </c>
      <c r="G14" s="4" t="n">
        <v>8790000</v>
      </c>
    </row>
    <row r="15">
      <c r="A15" t="inlineStr">
        <is>
          <t>iPad Mini 6 64GB Wifi</t>
        </is>
      </c>
      <c r="B15" s="3" t="n">
        <v>12090000</v>
      </c>
      <c r="C15" s="37" t="inlineStr">
        <is>
          <t>OOS</t>
        </is>
      </c>
      <c r="D15" s="25" t="n">
        <v>12490000</v>
      </c>
      <c r="E15" s="37" t="inlineStr">
        <is>
          <t>OOS</t>
        </is>
      </c>
      <c r="F15" s="39" t="n">
        <v>12650000</v>
      </c>
      <c r="G15" s="4" t="n">
        <v>12650000</v>
      </c>
    </row>
    <row r="16">
      <c r="A16" t="inlineStr">
        <is>
          <t>iPad Gen 10th 64GB Wifi</t>
        </is>
      </c>
      <c r="B16" s="3" t="n">
        <v>9990000</v>
      </c>
      <c r="C16" s="3" t="n">
        <v>9990000</v>
      </c>
      <c r="D16" s="25" t="n">
        <v>9790000</v>
      </c>
      <c r="E16" s="38" t="n">
        <v>9690000</v>
      </c>
      <c r="F16" s="34" t="n">
        <v>9590000</v>
      </c>
      <c r="G16" s="4" t="n">
        <v>9290000</v>
      </c>
    </row>
    <row r="17">
      <c r="A17" t="inlineStr">
        <is>
          <t>iPad Gen 9th  64GB Wifi</t>
        </is>
      </c>
      <c r="B17" s="3" t="n">
        <v>7090000</v>
      </c>
      <c r="C17" s="3" t="n">
        <v>7090000</v>
      </c>
      <c r="D17" s="25" t="n">
        <v>7190000</v>
      </c>
      <c r="E17" s="38" t="n">
        <v>6990000</v>
      </c>
      <c r="F17" s="39" t="n">
        <v>7090000</v>
      </c>
      <c r="G17" s="4" t="n">
        <v>7090000</v>
      </c>
    </row>
    <row r="18">
      <c r="A18" t="inlineStr">
        <is>
          <t>iPad Air M2  11" 128 GB Wifi</t>
        </is>
      </c>
      <c r="B18" s="3" t="n">
        <v>16990000</v>
      </c>
      <c r="C18" s="3" t="n">
        <v>16990000</v>
      </c>
      <c r="D18" s="25" t="n">
        <v>16990000</v>
      </c>
      <c r="E18" s="38" t="n">
        <v>16190000</v>
      </c>
      <c r="F18" s="39" t="n">
        <v>16490000</v>
      </c>
      <c r="G18" s="3" t="inlineStr">
        <is>
          <t>16.290.000</t>
        </is>
      </c>
    </row>
    <row r="19">
      <c r="A19" t="inlineStr">
        <is>
          <t>iPad Air M2  13" 128 GB Wifi</t>
        </is>
      </c>
      <c r="B19" s="3" t="n">
        <v>22490000</v>
      </c>
      <c r="C19" s="3" t="n">
        <v>22490000</v>
      </c>
      <c r="D19" s="25" t="n">
        <v>21990000</v>
      </c>
      <c r="E19" s="38" t="n">
        <v>21190000</v>
      </c>
      <c r="F19" s="39" t="n">
        <v>21490000</v>
      </c>
      <c r="G19" s="4" t="n">
        <v>21490000</v>
      </c>
    </row>
    <row r="20">
      <c r="A20" t="inlineStr">
        <is>
          <t>iPad Pro  M4  11" 256 GB Wifi</t>
        </is>
      </c>
      <c r="B20" s="3" t="n">
        <v>27790000</v>
      </c>
      <c r="C20" s="3" t="n">
        <v>27790000</v>
      </c>
      <c r="D20" s="25" t="n">
        <v>27690000</v>
      </c>
      <c r="E20" s="37" t="n">
        <v>27215000</v>
      </c>
      <c r="F20" s="39" t="n">
        <v>27690000</v>
      </c>
      <c r="G20" s="4" t="n">
        <v>27190000</v>
      </c>
    </row>
    <row r="21">
      <c r="A21" t="inlineStr">
        <is>
          <t>iPad Pro  M4  13" 256 GB Wifi</t>
        </is>
      </c>
      <c r="B21" s="3" t="n">
        <v>37290000</v>
      </c>
      <c r="C21" s="3" t="n">
        <v>37290000</v>
      </c>
      <c r="D21" s="25" t="n">
        <v>36790000</v>
      </c>
      <c r="E21" s="37" t="n">
        <v>36490000</v>
      </c>
      <c r="F21" s="39" t="n">
        <v>36990000</v>
      </c>
      <c r="G21" s="4" t="n">
        <v>36890000</v>
      </c>
    </row>
    <row r="22">
      <c r="A22" t="inlineStr">
        <is>
          <t>AW SE 2024 (40mm GPS)</t>
        </is>
      </c>
      <c r="B22" s="3" t="n">
        <v>5990000</v>
      </c>
      <c r="C22" s="3" t="n">
        <v>5990000</v>
      </c>
      <c r="D22" s="25" t="n">
        <v>5790000</v>
      </c>
      <c r="E22" s="40" t="n">
        <v>5790000</v>
      </c>
      <c r="F22" s="39" t="n">
        <v>5990000</v>
      </c>
      <c r="G22" s="4" t="n">
        <v>5890000</v>
      </c>
    </row>
    <row r="23">
      <c r="A23" t="inlineStr">
        <is>
          <t>AW SE 2024 (40mm LTE)</t>
        </is>
      </c>
      <c r="B23" s="3" t="n">
        <v>7490000</v>
      </c>
      <c r="C23" s="37" t="inlineStr">
        <is>
          <t>OOS</t>
        </is>
      </c>
      <c r="D23" s="25" t="n">
        <v>7090000</v>
      </c>
      <c r="E23" s="40" t="n">
        <v>7290000</v>
      </c>
      <c r="F23" s="39" t="n">
        <v>7290000</v>
      </c>
      <c r="G23" s="4" t="n">
        <v>7390000</v>
      </c>
    </row>
    <row r="24">
      <c r="A24" t="inlineStr">
        <is>
          <t>AW SE 2024 (44mm GPS)</t>
        </is>
      </c>
      <c r="B24" s="3" t="n">
        <v>6990000</v>
      </c>
      <c r="C24" s="3" t="n">
        <v>6990000</v>
      </c>
      <c r="D24" s="25" t="n">
        <v>6590000</v>
      </c>
      <c r="E24" s="40" t="n">
        <v>6590000</v>
      </c>
      <c r="F24" s="39" t="n">
        <v>6790000</v>
      </c>
      <c r="G24" s="4" t="n">
        <v>6790000</v>
      </c>
    </row>
    <row r="25">
      <c r="A25" t="inlineStr">
        <is>
          <t>AW SE 2024 (44mm LTE)</t>
        </is>
      </c>
      <c r="B25" s="3" t="n">
        <v>7990000</v>
      </c>
      <c r="C25" s="37" t="inlineStr">
        <is>
          <t>OOS</t>
        </is>
      </c>
      <c r="D25" s="25" t="n">
        <v>7890000</v>
      </c>
      <c r="E25" s="40" t="n">
        <v>7990000</v>
      </c>
      <c r="F25" s="39" t="n">
        <v>8090000</v>
      </c>
      <c r="G25" s="4" t="inlineStr">
        <is>
          <t>8.090.000</t>
        </is>
      </c>
    </row>
    <row r="26">
      <c r="A26" t="inlineStr">
        <is>
          <t>AW S10 (42mm GPS)</t>
        </is>
      </c>
      <c r="B26" s="3" t="n">
        <v>10990000</v>
      </c>
      <c r="C26" s="3" t="n">
        <v>10990000</v>
      </c>
      <c r="D26" s="25" t="n">
        <v>10990000</v>
      </c>
      <c r="E26" s="38" t="n">
        <v>10490000</v>
      </c>
      <c r="F26" s="39" t="n">
        <v>10990000</v>
      </c>
      <c r="G26" s="4" t="n">
        <v>10990000</v>
      </c>
    </row>
    <row r="27">
      <c r="A27" t="inlineStr">
        <is>
          <t>AW S10 (42mm CEL)</t>
        </is>
      </c>
      <c r="B27" s="3" t="n">
        <v>13590000</v>
      </c>
      <c r="C27" s="37" t="inlineStr">
        <is>
          <t>OOS</t>
        </is>
      </c>
      <c r="D27" s="3" t="n">
        <v>13590000</v>
      </c>
      <c r="E27" s="38" t="n">
        <v>12990000</v>
      </c>
      <c r="F27" s="39" t="n">
        <v>13590000</v>
      </c>
      <c r="G27" s="4" t="n">
        <v>13590000</v>
      </c>
    </row>
    <row r="28">
      <c r="A28" t="inlineStr">
        <is>
          <t>AW S10 (46mm GPS)</t>
        </is>
      </c>
      <c r="B28" s="3" t="n">
        <v>11790000</v>
      </c>
      <c r="C28" s="3" t="n">
        <v>11790000</v>
      </c>
      <c r="D28" s="25" t="n">
        <v>11790000</v>
      </c>
      <c r="E28" s="38" t="n">
        <v>11290000</v>
      </c>
      <c r="F28" s="39" t="n">
        <v>11790000</v>
      </c>
      <c r="G28" s="4" t="inlineStr">
        <is>
          <t>11.790.000</t>
        </is>
      </c>
    </row>
    <row r="29">
      <c r="A29" t="inlineStr">
        <is>
          <t>AW S10 (46mm CEL)</t>
        </is>
      </c>
      <c r="B29" s="37" t="n">
        <v>14390000</v>
      </c>
      <c r="C29" s="37" t="inlineStr">
        <is>
          <t>OOS</t>
        </is>
      </c>
      <c r="D29" s="3" t="n">
        <v>14390000</v>
      </c>
      <c r="E29" s="38" t="n">
        <v>13890000</v>
      </c>
      <c r="F29" s="39" t="n">
        <v>14390000</v>
      </c>
      <c r="G29" s="4" t="n">
        <v>14390000</v>
      </c>
    </row>
    <row r="30">
      <c r="A30" t="inlineStr">
        <is>
          <t>AW Ultra 2 (49mm)</t>
        </is>
      </c>
      <c r="B30" s="3" t="n">
        <v>22990000</v>
      </c>
      <c r="C30" s="3" t="n">
        <v>22990000</v>
      </c>
      <c r="D30" s="25" t="n">
        <v>22990000</v>
      </c>
      <c r="E30" s="37" t="inlineStr">
        <is>
          <t>OOS</t>
        </is>
      </c>
      <c r="F30" s="37" t="n">
        <v>22990000</v>
      </c>
      <c r="G30" s="4" t="n">
        <v>20890000</v>
      </c>
    </row>
    <row r="31">
      <c r="A31" t="inlineStr">
        <is>
          <t>AirPods Pro 2 - 2023 (C-Type)</t>
        </is>
      </c>
      <c r="B31" s="3" t="n">
        <v>5790000</v>
      </c>
      <c r="C31" s="3" t="n">
        <v>5790000</v>
      </c>
      <c r="D31" s="34" t="n">
        <v>5790000</v>
      </c>
      <c r="E31" s="38" t="n">
        <v>5490000</v>
      </c>
      <c r="F31" s="38" t="n">
        <v>5750000</v>
      </c>
      <c r="G31" s="4" t="n">
        <v>5450000</v>
      </c>
    </row>
    <row r="32">
      <c r="A32" t="inlineStr">
        <is>
          <t>AirPods 4 ANC</t>
        </is>
      </c>
      <c r="B32" s="37" t="n">
        <v>4790000</v>
      </c>
      <c r="C32" s="37" t="n">
        <v>4790000</v>
      </c>
      <c r="D32" s="39" t="n">
        <v>4790000</v>
      </c>
      <c r="E32" s="38" t="n">
        <v>4790000</v>
      </c>
      <c r="F32" s="37" t="n">
        <v>4690000</v>
      </c>
      <c r="G32" s="4" t="n">
        <v>4790000</v>
      </c>
    </row>
    <row r="33">
      <c r="A33" t="inlineStr">
        <is>
          <t>AirPods 4 with charging case</t>
        </is>
      </c>
      <c r="B33" s="37" t="n">
        <v>3490000</v>
      </c>
      <c r="C33" s="37" t="n">
        <v>3490000</v>
      </c>
      <c r="D33" s="39" t="n">
        <v>3490000</v>
      </c>
      <c r="E33" s="38" t="n">
        <v>3290000</v>
      </c>
      <c r="F33" s="37" t="n">
        <v>3390000</v>
      </c>
      <c r="G33" s="4" t="n">
        <v>3490000</v>
      </c>
    </row>
    <row r="34">
      <c r="A34" t="inlineStr">
        <is>
          <t>AirPods 3 with charging case</t>
        </is>
      </c>
      <c r="B34" s="3" t="n">
        <v>4090000</v>
      </c>
      <c r="C34" s="3" t="n">
        <v>4090000</v>
      </c>
      <c r="D34" s="25" t="n">
        <v>4090000</v>
      </c>
      <c r="E34" s="40" t="n">
        <v>3890000</v>
      </c>
      <c r="F34" s="39" t="n">
        <v>4090000</v>
      </c>
      <c r="G34" s="4" t="inlineStr">
        <is>
          <t>3.890.000</t>
        </is>
      </c>
    </row>
    <row r="35">
      <c r="A35" t="inlineStr">
        <is>
          <t>AirPods 2 with charging case</t>
        </is>
      </c>
      <c r="B35" s="37" t="n">
        <v>3090000</v>
      </c>
      <c r="C35" s="37" t="n">
        <v>3090000</v>
      </c>
      <c r="D35" s="39" t="n">
        <v>3090000</v>
      </c>
      <c r="E35" s="38" t="n">
        <v>2790000</v>
      </c>
      <c r="F35" s="39" t="n">
        <v>3090000</v>
      </c>
      <c r="G35" s="4" t="n">
        <v>2750000</v>
      </c>
    </row>
    <row r="36">
      <c r="A36" t="inlineStr">
        <is>
          <t>MacBook Air 13" M1 8/256Gb</t>
        </is>
      </c>
      <c r="B36" s="3" t="n">
        <v>18990000</v>
      </c>
      <c r="C36" s="3" t="n">
        <v>18990000</v>
      </c>
      <c r="D36" s="34" t="n">
        <v>18490000</v>
      </c>
      <c r="E36" s="37" t="n"/>
      <c r="F36" s="34" t="n">
        <v>18390000</v>
      </c>
      <c r="G36" s="3" t="n">
        <v>17490000</v>
      </c>
    </row>
    <row r="37">
      <c r="A37" t="inlineStr">
        <is>
          <t>MacBook Air 13" M2 8/256GB</t>
        </is>
      </c>
      <c r="B37" s="3" t="n">
        <v>24490000</v>
      </c>
      <c r="C37" s="3" t="n">
        <v>24490000</v>
      </c>
      <c r="D37" s="3" t="n">
        <v>23990000</v>
      </c>
      <c r="E37" s="37" t="n"/>
      <c r="F37" s="34" t="n">
        <v>22990000</v>
      </c>
      <c r="G37" s="4" t="n">
        <v>22990000</v>
      </c>
    </row>
    <row r="38">
      <c r="A38" t="inlineStr">
        <is>
          <t>MacBook Air 13" M3 8/256GB</t>
        </is>
      </c>
      <c r="B38" s="3" t="n">
        <v>27490000</v>
      </c>
      <c r="C38" s="3" t="n">
        <v>27490000</v>
      </c>
      <c r="D38" s="34" t="n">
        <v>26990000</v>
      </c>
      <c r="E38" s="37" t="n"/>
      <c r="F38" s="34" t="n">
        <v>25990000</v>
      </c>
      <c r="G38" s="3" t="n">
        <v>26490000</v>
      </c>
    </row>
    <row r="39">
      <c r="A39" t="inlineStr">
        <is>
          <t>MacBook Air 15" M3 8/256GB</t>
        </is>
      </c>
      <c r="B39" s="3" t="n">
        <v>31990000</v>
      </c>
      <c r="C39" s="3" t="n">
        <v>31990000</v>
      </c>
      <c r="D39" s="3" t="n">
        <v>31290000</v>
      </c>
      <c r="E39" s="37" t="n"/>
      <c r="F39" s="39" t="n">
        <v>31190000</v>
      </c>
      <c r="G39" s="3" t="n">
        <v>31590000</v>
      </c>
    </row>
    <row r="40">
      <c r="A40" t="inlineStr">
        <is>
          <t>MacBook Pro 14" M3 8/512GB</t>
        </is>
      </c>
      <c r="B40" s="3" t="n">
        <v>38990000</v>
      </c>
      <c r="C40" s="3" t="n">
        <v>38990000</v>
      </c>
      <c r="D40" s="3" t="n">
        <v>38190000</v>
      </c>
      <c r="E40" s="37" t="n"/>
      <c r="F40" s="39" t="inlineStr">
        <is>
          <t>OOS</t>
        </is>
      </c>
      <c r="G40" s="4" t="n"/>
    </row>
  </sheetData>
  <pageMargins left="0.7" right="0.7" top="0.75" bottom="0.75" header="0.3" footer="0.3"/>
  <legacyDrawing xmlns:r="http://schemas.openxmlformats.org/officeDocument/2006/relationships" r:id="anysvml"/>
</worksheet>
</file>

<file path=xl/worksheets/sheet30.xml><?xml version="1.0" encoding="utf-8"?>
<worksheet xmlns="http://schemas.openxmlformats.org/spreadsheetml/2006/main">
  <sheetPr codeName="Sheet29">
    <outlinePr summaryBelow="1" summaryRight="1"/>
    <pageSetUpPr/>
  </sheetPr>
  <dimension ref="A1:K40"/>
  <sheetViews>
    <sheetView zoomScale="93" zoomScaleNormal="120"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5.3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22390000</v>
      </c>
      <c r="C2" s="3" t="n">
        <v>22390000</v>
      </c>
      <c r="D2" s="43" t="n">
        <v>21690000</v>
      </c>
      <c r="E2" s="40" t="n">
        <v>21690000</v>
      </c>
      <c r="F2" s="38" t="n">
        <v>21690000</v>
      </c>
      <c r="G2" s="3" t="n">
        <v>21790000</v>
      </c>
    </row>
    <row r="3">
      <c r="A3" t="inlineStr">
        <is>
          <t>iPhone 16  Plus 128GB</t>
        </is>
      </c>
      <c r="B3" s="3" t="n">
        <v>25790000</v>
      </c>
      <c r="C3" s="3" t="n">
        <v>25790000</v>
      </c>
      <c r="D3" s="42" t="n">
        <v>25290000</v>
      </c>
      <c r="E3" s="40" t="n">
        <v>24690000</v>
      </c>
      <c r="F3" s="38" t="n">
        <v>24990000</v>
      </c>
      <c r="G3" s="3" t="n">
        <v>24990000</v>
      </c>
    </row>
    <row r="4">
      <c r="A4" t="inlineStr">
        <is>
          <t>iPhone 16 Pro  128GB</t>
        </is>
      </c>
      <c r="B4" s="3" t="n">
        <v>28790000</v>
      </c>
      <c r="C4" s="3" t="n">
        <v>28790000</v>
      </c>
      <c r="D4" s="43" t="n">
        <v>28490000</v>
      </c>
      <c r="E4" s="38" t="n">
        <v>28490000</v>
      </c>
      <c r="F4" s="38" t="n">
        <v>28490000</v>
      </c>
      <c r="G4" s="4" t="n">
        <v>28590000</v>
      </c>
    </row>
    <row r="5">
      <c r="A5" t="inlineStr">
        <is>
          <t>iPhone 16 Pro Max 256GB</t>
        </is>
      </c>
      <c r="B5" s="3" t="n">
        <v>34790000</v>
      </c>
      <c r="C5" s="3" t="n">
        <v>34790000</v>
      </c>
      <c r="D5" s="42" t="n">
        <v>34290000</v>
      </c>
      <c r="E5" s="38" t="n">
        <v>33490000</v>
      </c>
      <c r="F5" s="38" t="n">
        <v>34090000</v>
      </c>
      <c r="G5" s="4" t="n">
        <v>34490000</v>
      </c>
    </row>
    <row r="6">
      <c r="A6" t="inlineStr">
        <is>
          <t>iPhone 15  128GB</t>
        </is>
      </c>
      <c r="B6" s="3" t="n">
        <v>19590000</v>
      </c>
      <c r="C6" s="3" t="n">
        <v>19590000</v>
      </c>
      <c r="D6" s="43" t="n">
        <v>19690000</v>
      </c>
      <c r="E6" s="38" t="n">
        <v>19190000</v>
      </c>
      <c r="F6" s="38" t="n">
        <v>19490000</v>
      </c>
      <c r="G6" s="4" t="inlineStr">
        <is>
          <t>19.290.000</t>
        </is>
      </c>
    </row>
    <row r="7">
      <c r="A7" t="inlineStr">
        <is>
          <t>iPhone 15  Plus 128GB</t>
        </is>
      </c>
      <c r="B7" s="3" t="n">
        <v>22590000</v>
      </c>
      <c r="C7" s="3" t="n">
        <v>22590000</v>
      </c>
      <c r="D7" s="43" t="n">
        <v>22690000</v>
      </c>
      <c r="E7" s="38" t="n">
        <v>21990000</v>
      </c>
      <c r="F7" s="40" t="n">
        <v>22590000</v>
      </c>
      <c r="G7" s="4" t="n">
        <v>22690000</v>
      </c>
      <c r="I7" t="inlineStr">
        <is>
          <t xml:space="preserve">MW </t>
        </is>
      </c>
      <c r="J7" t="inlineStr">
        <is>
          <t>Duy</t>
        </is>
      </c>
      <c r="K7" t="b">
        <v>1</v>
      </c>
    </row>
    <row r="8">
      <c r="A8" t="inlineStr">
        <is>
          <t>iPhone 15 Pro  128GB</t>
        </is>
      </c>
      <c r="B8" s="3" t="inlineStr">
        <is>
          <t>OOS</t>
        </is>
      </c>
      <c r="C8" s="43" t="inlineStr">
        <is>
          <t>OOS</t>
        </is>
      </c>
      <c r="D8" s="43" t="inlineStr">
        <is>
          <t>OOS</t>
        </is>
      </c>
      <c r="E8" s="37" t="inlineStr">
        <is>
          <t>OOS</t>
        </is>
      </c>
      <c r="F8" s="40" t="n">
        <v>25590000</v>
      </c>
      <c r="G8" s="4" t="n">
        <v>24390000</v>
      </c>
      <c r="I8" t="inlineStr">
        <is>
          <t>TZ</t>
        </is>
      </c>
      <c r="J8" t="inlineStr">
        <is>
          <t>Nghĩa</t>
        </is>
      </c>
      <c r="K8" t="b">
        <v>1</v>
      </c>
    </row>
    <row r="9">
      <c r="A9" t="inlineStr">
        <is>
          <t>iPhone 15 Pro Max 256GB</t>
        </is>
      </c>
      <c r="B9" s="3" t="n">
        <v>29390000</v>
      </c>
      <c r="C9" s="3" t="n">
        <v>29390000</v>
      </c>
      <c r="D9" s="3" t="n">
        <v>29490000</v>
      </c>
      <c r="E9" s="38" t="n">
        <v>28490000</v>
      </c>
      <c r="F9" s="40" t="n">
        <v>28990000</v>
      </c>
      <c r="G9" s="3" t="n">
        <v>28490000</v>
      </c>
      <c r="I9" t="inlineStr">
        <is>
          <t>FPT</t>
        </is>
      </c>
      <c r="J9" t="inlineStr">
        <is>
          <t>Việt</t>
        </is>
      </c>
      <c r="K9" t="b">
        <v>1</v>
      </c>
    </row>
    <row r="10">
      <c r="A10" t="inlineStr">
        <is>
          <t>iPhone 14 Plus 128GB</t>
        </is>
      </c>
      <c r="B10" s="3" t="n">
        <v>20390000</v>
      </c>
      <c r="C10" s="3" t="n">
        <v>20390000</v>
      </c>
      <c r="D10" s="25" t="n">
        <v>19990000</v>
      </c>
      <c r="E10" s="40" t="n">
        <v>19690000</v>
      </c>
      <c r="F10" s="39" t="n">
        <v>19690000</v>
      </c>
      <c r="G10" s="3" t="n">
        <v>20090000</v>
      </c>
      <c r="I10" t="inlineStr">
        <is>
          <t>Viettel</t>
        </is>
      </c>
      <c r="J10" t="inlineStr">
        <is>
          <t>Sơn</t>
        </is>
      </c>
      <c r="K10" t="b">
        <v>1</v>
      </c>
    </row>
    <row r="11">
      <c r="A11" t="inlineStr">
        <is>
          <t>iPhone 14 128GB</t>
        </is>
      </c>
      <c r="B11" s="3" t="n">
        <v>17390000</v>
      </c>
      <c r="C11" s="3" t="n">
        <v>17390000</v>
      </c>
      <c r="D11" s="39" t="n">
        <v>17090000</v>
      </c>
      <c r="E11" s="37" t="inlineStr">
        <is>
          <t>OOS</t>
        </is>
      </c>
      <c r="F11" s="39" t="n">
        <v>16850000</v>
      </c>
      <c r="G11" s="4" t="n">
        <v>17290000</v>
      </c>
      <c r="I11" t="inlineStr">
        <is>
          <t>CPS</t>
        </is>
      </c>
      <c r="J11" t="inlineStr">
        <is>
          <t>Trang</t>
        </is>
      </c>
      <c r="K11" t="b">
        <v>1</v>
      </c>
    </row>
    <row r="12">
      <c r="A12" t="inlineStr">
        <is>
          <t>iPhone 13  128GB</t>
        </is>
      </c>
      <c r="B12" s="3" t="n">
        <v>13490000</v>
      </c>
      <c r="C12" s="3" t="n">
        <v>13490000</v>
      </c>
      <c r="D12" s="39" t="n">
        <v>13490000</v>
      </c>
      <c r="E12" s="38" t="n">
        <v>13490000</v>
      </c>
      <c r="F12" s="34" t="n">
        <v>13390000</v>
      </c>
      <c r="G12" s="4" t="inlineStr">
        <is>
          <t>13.490.000</t>
        </is>
      </c>
      <c r="I12" t="inlineStr">
        <is>
          <t>ShopDunk</t>
        </is>
      </c>
      <c r="J12" t="inlineStr">
        <is>
          <t>Đạt</t>
        </is>
      </c>
      <c r="K12" t="b">
        <v>1</v>
      </c>
    </row>
    <row r="13">
      <c r="A13" t="inlineStr">
        <is>
          <t>iPhone 12 64GB</t>
        </is>
      </c>
      <c r="B13" s="3" t="n">
        <v>11990000</v>
      </c>
      <c r="C13" s="3" t="n">
        <v>11990000</v>
      </c>
      <c r="D13" s="25" t="n">
        <v>10990000</v>
      </c>
      <c r="E13" s="37" t="n">
        <v>10990000</v>
      </c>
      <c r="F13" s="39" t="n">
        <v>10890000</v>
      </c>
      <c r="G13" s="4" t="n">
        <v>12290000</v>
      </c>
    </row>
    <row r="14">
      <c r="A14" t="inlineStr">
        <is>
          <t>iPhone 11 64GB</t>
        </is>
      </c>
      <c r="B14" s="3" t="n">
        <v>8940000</v>
      </c>
      <c r="C14" s="3" t="n">
        <v>8940000</v>
      </c>
      <c r="D14" s="25" t="n">
        <v>8990000</v>
      </c>
      <c r="E14" s="40" t="n">
        <v>8490000</v>
      </c>
      <c r="F14" s="39" t="n">
        <v>8790000</v>
      </c>
      <c r="G14" s="4" t="n">
        <v>8790000</v>
      </c>
    </row>
    <row r="15">
      <c r="A15" t="inlineStr">
        <is>
          <t>iPad Mini 6 64GB Wifi</t>
        </is>
      </c>
      <c r="B15" s="3" t="n">
        <v>11990000</v>
      </c>
      <c r="C15" s="37" t="inlineStr">
        <is>
          <t>OOS</t>
        </is>
      </c>
      <c r="D15" s="3" t="n">
        <v>11990000</v>
      </c>
      <c r="E15" s="37" t="inlineStr">
        <is>
          <t>OOS</t>
        </is>
      </c>
      <c r="F15" s="34" t="n">
        <v>11990000</v>
      </c>
      <c r="G15" s="4" t="n">
        <v>12650000</v>
      </c>
    </row>
    <row r="16">
      <c r="A16" t="inlineStr">
        <is>
          <t>iPad Gen 10th 64GB Wifi</t>
        </is>
      </c>
      <c r="B16" s="3" t="n">
        <v>9290000</v>
      </c>
      <c r="C16" s="3" t="n">
        <v>9290000</v>
      </c>
      <c r="D16" s="3" t="n">
        <v>8990000</v>
      </c>
      <c r="E16" s="40" t="n">
        <v>9690000</v>
      </c>
      <c r="F16" s="39" t="n">
        <v>9590000</v>
      </c>
      <c r="G16" s="4" t="n">
        <v>9290000</v>
      </c>
    </row>
    <row r="17">
      <c r="A17" t="inlineStr">
        <is>
          <t>iPad Gen 9th  64GB Wifi</t>
        </is>
      </c>
      <c r="B17" s="3" t="n">
        <v>7040000</v>
      </c>
      <c r="C17" s="3" t="n">
        <v>7040000</v>
      </c>
      <c r="D17" s="3" t="n">
        <v>7090000</v>
      </c>
      <c r="E17" s="40" t="n">
        <v>6990000</v>
      </c>
      <c r="F17" s="39" t="n">
        <v>7090000</v>
      </c>
      <c r="G17" s="4" t="n">
        <v>7090000</v>
      </c>
    </row>
    <row r="18">
      <c r="A18" t="inlineStr">
        <is>
          <t>iPad Air M2  11" 128 GB Wifi</t>
        </is>
      </c>
      <c r="B18" s="3" t="n">
        <v>16890000</v>
      </c>
      <c r="C18" s="3" t="n">
        <v>16890000</v>
      </c>
      <c r="D18" s="3" t="n">
        <v>16690000</v>
      </c>
      <c r="E18" s="40" t="n">
        <v>16190000</v>
      </c>
      <c r="F18" s="34" t="n">
        <v>16590000</v>
      </c>
      <c r="G18" s="3" t="n">
        <v>15990000</v>
      </c>
    </row>
    <row r="19">
      <c r="A19" t="inlineStr">
        <is>
          <t>iPad Air M2  13" 128 GB Wifi</t>
        </is>
      </c>
      <c r="B19" s="3" t="n">
        <v>22290000</v>
      </c>
      <c r="C19" s="3" t="n">
        <v>22290000</v>
      </c>
      <c r="D19" s="25" t="n">
        <v>21990000</v>
      </c>
      <c r="E19" s="40" t="n">
        <v>21190000</v>
      </c>
      <c r="F19" s="39" t="n">
        <v>21490000</v>
      </c>
      <c r="G19" s="3" t="n">
        <v>21290000</v>
      </c>
    </row>
    <row r="20">
      <c r="A20" t="inlineStr">
        <is>
          <t>iPad Pro  M4  11" 256 GB Wifi</t>
        </is>
      </c>
      <c r="B20" s="3" t="n">
        <v>27590000</v>
      </c>
      <c r="C20" s="3" t="n">
        <v>27590000</v>
      </c>
      <c r="D20" s="3" t="n">
        <v>27590000</v>
      </c>
      <c r="E20" s="37" t="n">
        <v>27215000</v>
      </c>
      <c r="F20" s="39" t="n">
        <v>27690000</v>
      </c>
      <c r="G20" s="4" t="n">
        <v>27190000</v>
      </c>
    </row>
    <row r="21">
      <c r="A21" t="inlineStr">
        <is>
          <t>iPad Pro  M4  13" 256 GB Wifi</t>
        </is>
      </c>
      <c r="B21" s="3" t="n">
        <v>36790000</v>
      </c>
      <c r="C21" s="3" t="n">
        <v>36790000</v>
      </c>
      <c r="D21" s="25" t="n">
        <v>36790000</v>
      </c>
      <c r="E21" s="37" t="n">
        <v>36490000</v>
      </c>
      <c r="F21" s="39" t="n">
        <v>36990000</v>
      </c>
      <c r="G21" s="4" t="n">
        <v>36890000</v>
      </c>
    </row>
    <row r="22">
      <c r="A22" t="inlineStr">
        <is>
          <t>AW SE 2024 (40mm GPS)</t>
        </is>
      </c>
      <c r="B22" s="3" t="n">
        <v>5740000</v>
      </c>
      <c r="C22" s="3" t="n">
        <v>5740000</v>
      </c>
      <c r="D22" s="3" t="n">
        <v>5890000</v>
      </c>
      <c r="E22" s="40" t="inlineStr">
        <is>
          <t>Chưa có giá</t>
        </is>
      </c>
      <c r="F22" s="39" t="n">
        <v>5990000</v>
      </c>
      <c r="G22" s="4" t="n">
        <v>5890000</v>
      </c>
    </row>
    <row r="23">
      <c r="A23" t="inlineStr">
        <is>
          <t>AW SE 2024 (40mm LTE)</t>
        </is>
      </c>
      <c r="B23" s="3" t="n">
        <v>7240000</v>
      </c>
      <c r="C23" s="37" t="inlineStr">
        <is>
          <t>OOS</t>
        </is>
      </c>
      <c r="D23" s="3" t="n">
        <v>7190000</v>
      </c>
      <c r="E23" s="40" t="inlineStr">
        <is>
          <t>Chưa có giá</t>
        </is>
      </c>
      <c r="F23" s="39" t="n">
        <v>7290000</v>
      </c>
      <c r="G23" s="4" t="n">
        <v>7390000</v>
      </c>
    </row>
    <row r="24">
      <c r="A24" t="inlineStr">
        <is>
          <t>AW SE 2024 (44mm GPS)</t>
        </is>
      </c>
      <c r="B24" s="3" t="n">
        <v>6540000</v>
      </c>
      <c r="C24" s="3" t="n">
        <v>6540000</v>
      </c>
      <c r="D24" s="3" t="n">
        <v>6690000</v>
      </c>
      <c r="E24" s="40" t="inlineStr">
        <is>
          <t>Chưa có giá</t>
        </is>
      </c>
      <c r="F24" s="39" t="n">
        <v>6790000</v>
      </c>
      <c r="G24" s="4" t="n">
        <v>6790000</v>
      </c>
    </row>
    <row r="25">
      <c r="A25" t="inlineStr">
        <is>
          <t>AW SE 2024 (44mm LTE)</t>
        </is>
      </c>
      <c r="B25" s="3" t="n">
        <v>7940000</v>
      </c>
      <c r="C25" s="37" t="inlineStr">
        <is>
          <t>OOS</t>
        </is>
      </c>
      <c r="D25" s="3" t="n">
        <v>7990000</v>
      </c>
      <c r="E25" s="40" t="inlineStr">
        <is>
          <t>Chưa có giá</t>
        </is>
      </c>
      <c r="F25" s="39" t="n">
        <v>8090000</v>
      </c>
      <c r="G25" s="3" t="inlineStr">
        <is>
          <t>7.890.000</t>
        </is>
      </c>
    </row>
    <row r="26">
      <c r="A26" t="inlineStr">
        <is>
          <t>AW S10 (42mm GPS)</t>
        </is>
      </c>
      <c r="B26" s="3" t="n">
        <v>10690000</v>
      </c>
      <c r="C26" s="3" t="n">
        <v>10690000</v>
      </c>
      <c r="D26" s="25" t="n">
        <v>10990000</v>
      </c>
      <c r="E26" s="40" t="n">
        <v>10490000</v>
      </c>
      <c r="F26" s="39" t="n">
        <v>10990000</v>
      </c>
      <c r="G26" s="4" t="n">
        <v>10990000</v>
      </c>
    </row>
    <row r="27">
      <c r="A27" t="inlineStr">
        <is>
          <t>AW S10 (42mm CEL)</t>
        </is>
      </c>
      <c r="B27" s="3" t="n">
        <v>13290000</v>
      </c>
      <c r="C27" s="37" t="inlineStr">
        <is>
          <t>OOS</t>
        </is>
      </c>
      <c r="D27" s="25" t="n">
        <v>13590000</v>
      </c>
      <c r="E27" s="40" t="n">
        <v>12990000</v>
      </c>
      <c r="F27" s="39" t="n">
        <v>13590000</v>
      </c>
      <c r="G27" s="4" t="n">
        <v>13590000</v>
      </c>
    </row>
    <row r="28">
      <c r="A28" t="inlineStr">
        <is>
          <t>AW S10 (46mm GPS)</t>
        </is>
      </c>
      <c r="B28" s="3" t="n">
        <v>11690000</v>
      </c>
      <c r="C28" s="3" t="n">
        <v>11690000</v>
      </c>
      <c r="D28" s="25" t="n">
        <v>11790000</v>
      </c>
      <c r="E28" s="40" t="n">
        <v>11290000</v>
      </c>
      <c r="F28" s="34" t="n">
        <v>11690000</v>
      </c>
      <c r="G28" s="4" t="inlineStr">
        <is>
          <t>11.790.000</t>
        </is>
      </c>
    </row>
    <row r="29">
      <c r="A29" t="inlineStr">
        <is>
          <t>AW S10 (46mm CEL)</t>
        </is>
      </c>
      <c r="B29" s="37" t="n">
        <v>14290000</v>
      </c>
      <c r="C29" s="37" t="inlineStr">
        <is>
          <t>OOS</t>
        </is>
      </c>
      <c r="D29" s="25" t="n">
        <v>14390000</v>
      </c>
      <c r="E29" s="40" t="n">
        <v>13890000</v>
      </c>
      <c r="F29" s="39" t="n">
        <v>14390000</v>
      </c>
      <c r="G29" s="4" t="n">
        <v>14390000</v>
      </c>
    </row>
    <row r="30">
      <c r="A30" t="inlineStr">
        <is>
          <t>AW Ultra 2 (49mm)</t>
        </is>
      </c>
      <c r="B30" s="3" t="n">
        <v>22990000</v>
      </c>
      <c r="C30" s="25" t="n">
        <v>22990000</v>
      </c>
      <c r="D30" s="25" t="n">
        <v>22990000</v>
      </c>
      <c r="E30" s="37" t="inlineStr">
        <is>
          <t>OOS</t>
        </is>
      </c>
      <c r="F30" s="37" t="n">
        <v>22990000</v>
      </c>
      <c r="G30" s="4" t="n">
        <v>20890000</v>
      </c>
    </row>
    <row r="31">
      <c r="A31" t="inlineStr">
        <is>
          <t>AirPods Pro 2 - 2023 (C-Type)</t>
        </is>
      </c>
      <c r="B31" s="3" t="n">
        <v>5740000</v>
      </c>
      <c r="C31" s="3" t="n">
        <v>5740000</v>
      </c>
      <c r="D31" s="39" t="n">
        <v>5790000</v>
      </c>
      <c r="E31" s="38" t="n">
        <v>5520000</v>
      </c>
      <c r="F31" s="40" t="n">
        <v>5750000</v>
      </c>
      <c r="G31" s="4" t="n">
        <v>5450000</v>
      </c>
    </row>
    <row r="32">
      <c r="A32" t="inlineStr">
        <is>
          <t>AirPods 4 ANC</t>
        </is>
      </c>
      <c r="B32" s="37" t="n">
        <v>4740000</v>
      </c>
      <c r="C32" s="37" t="n">
        <v>4790000</v>
      </c>
      <c r="D32" s="39" t="n">
        <v>4790000</v>
      </c>
      <c r="E32" s="38" t="n">
        <v>4590000</v>
      </c>
      <c r="F32" s="37" t="n">
        <v>4690000</v>
      </c>
      <c r="G32" s="3" t="n">
        <v>4690000</v>
      </c>
    </row>
    <row r="33">
      <c r="A33" t="inlineStr">
        <is>
          <t>AirPods 4 with charging case</t>
        </is>
      </c>
      <c r="B33" s="37" t="n">
        <v>3490000</v>
      </c>
      <c r="C33" s="37" t="n">
        <v>3490000</v>
      </c>
      <c r="D33" s="39" t="n">
        <v>3490000</v>
      </c>
      <c r="E33" s="40" t="n">
        <v>3290000</v>
      </c>
      <c r="F33" s="37" t="n">
        <v>3390000</v>
      </c>
      <c r="G33" s="4" t="n">
        <v>3390000</v>
      </c>
    </row>
    <row r="34">
      <c r="A34" t="inlineStr">
        <is>
          <t>AirPods 3 with charging case</t>
        </is>
      </c>
      <c r="B34" s="3" t="n">
        <v>4040000</v>
      </c>
      <c r="C34" s="3" t="n">
        <v>4040000</v>
      </c>
      <c r="D34" s="25" t="n">
        <v>4090000</v>
      </c>
      <c r="E34" s="40" t="n">
        <v>3890000</v>
      </c>
      <c r="F34" s="39" t="n">
        <v>4090000</v>
      </c>
      <c r="G34" s="4" t="inlineStr">
        <is>
          <t>3.890.000</t>
        </is>
      </c>
    </row>
    <row r="35">
      <c r="A35" t="inlineStr">
        <is>
          <t>AirPods 2 with charging case</t>
        </is>
      </c>
      <c r="B35" s="37" t="n">
        <v>3090000</v>
      </c>
      <c r="C35" s="37" t="n">
        <v>3090000</v>
      </c>
      <c r="D35" s="39" t="n">
        <v>3090000</v>
      </c>
      <c r="E35" s="40" t="n">
        <v>2790000</v>
      </c>
      <c r="F35" s="39" t="n">
        <v>3090000</v>
      </c>
      <c r="G35" s="4" t="n">
        <v>2750000</v>
      </c>
    </row>
    <row r="36">
      <c r="A36" t="inlineStr">
        <is>
          <t>MacBook Air 13" M1 8/256Gb</t>
        </is>
      </c>
      <c r="B36" s="3" t="n">
        <v>18290000</v>
      </c>
      <c r="C36" s="3" t="n">
        <v>18290000</v>
      </c>
      <c r="D36" s="34" t="n">
        <v>18390000</v>
      </c>
      <c r="E36" s="37" t="n"/>
      <c r="F36" s="34" t="n">
        <v>18190000</v>
      </c>
      <c r="G36" s="4" t="n">
        <v>17490000</v>
      </c>
    </row>
    <row r="37">
      <c r="A37" t="inlineStr">
        <is>
          <t>MacBook Air 13" M2 8/256GB</t>
        </is>
      </c>
      <c r="B37" s="3" t="inlineStr">
        <is>
          <t>OOS</t>
        </is>
      </c>
      <c r="C37" s="25" t="n">
        <v>24490000</v>
      </c>
      <c r="D37" s="3" t="n">
        <v>22690000</v>
      </c>
      <c r="E37" s="37" t="n"/>
      <c r="F37" s="34" t="n">
        <v>22590000</v>
      </c>
      <c r="G37" s="3" t="n">
        <v>23290000</v>
      </c>
    </row>
    <row r="38">
      <c r="A38" t="inlineStr">
        <is>
          <t>MacBook Air 13" M3 8/256GB</t>
        </is>
      </c>
      <c r="B38" s="3" t="n">
        <v>25590000</v>
      </c>
      <c r="C38" s="3" t="n">
        <v>25590000</v>
      </c>
      <c r="D38" s="34" t="n">
        <v>25790000</v>
      </c>
      <c r="E38" s="37" t="n"/>
      <c r="F38" s="39" t="inlineStr">
        <is>
          <t>OOS</t>
        </is>
      </c>
      <c r="G38" s="4" t="n">
        <v>26490000</v>
      </c>
    </row>
    <row r="39">
      <c r="A39" t="inlineStr">
        <is>
          <t>MacBook Air 15" M3 8/256GB</t>
        </is>
      </c>
      <c r="B39" s="3" t="inlineStr">
        <is>
          <t>OOS</t>
        </is>
      </c>
      <c r="C39" s="25" t="n">
        <v>31990000</v>
      </c>
      <c r="D39" s="3" t="n">
        <v>30990000</v>
      </c>
      <c r="E39" s="37" t="n"/>
      <c r="F39" s="34" t="n">
        <v>30990000</v>
      </c>
      <c r="G39" s="3" t="n">
        <v>30990000</v>
      </c>
    </row>
    <row r="40">
      <c r="A40" t="inlineStr">
        <is>
          <t>MacBook Pro 14" M3 8/512GB</t>
        </is>
      </c>
      <c r="B40" s="3" t="n">
        <v>36690000</v>
      </c>
      <c r="C40" s="3" t="n">
        <v>36690000</v>
      </c>
      <c r="D40" s="3" t="n">
        <v>36490000</v>
      </c>
      <c r="E40" s="37" t="n"/>
      <c r="F40" s="39" t="inlineStr">
        <is>
          <t>OOS</t>
        </is>
      </c>
      <c r="G40" s="4" t="n"/>
    </row>
  </sheetData>
  <pageMargins left="0.7" right="0.7" top="0.75" bottom="0.75" header="0.3" footer="0.3"/>
  <legacyDrawing xmlns:r="http://schemas.openxmlformats.org/officeDocument/2006/relationships" r:id="anysvml"/>
</worksheet>
</file>

<file path=xl/worksheets/sheet31.xml><?xml version="1.0" encoding="utf-8"?>
<worksheet xmlns="http://schemas.openxmlformats.org/spreadsheetml/2006/main">
  <sheetPr codeName="Sheet30">
    <outlinePr summaryBelow="1" summaryRight="1"/>
    <pageSetUpPr/>
  </sheetPr>
  <dimension ref="A1:K40"/>
  <sheetViews>
    <sheetView zoomScale="119"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5.3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7" t="n">
        <v>22390000</v>
      </c>
      <c r="C2" s="25" t="n">
        <v>22390000</v>
      </c>
      <c r="D2" s="43" t="n">
        <v>21690000</v>
      </c>
      <c r="E2" s="38" t="n">
        <v>21990000</v>
      </c>
      <c r="F2" s="38" t="n">
        <v>21790000</v>
      </c>
      <c r="G2" s="3" t="n">
        <v>21690000</v>
      </c>
    </row>
    <row r="3">
      <c r="A3" t="inlineStr">
        <is>
          <t>iPhone 16  Plus 128GB</t>
        </is>
      </c>
      <c r="B3" s="3" t="n">
        <v>25490000</v>
      </c>
      <c r="C3" s="3" t="n">
        <v>25490000</v>
      </c>
      <c r="D3" s="42" t="n">
        <v>24990000</v>
      </c>
      <c r="E3" s="38" t="n">
        <v>24990000</v>
      </c>
      <c r="F3" s="38" t="n">
        <v>24890000</v>
      </c>
      <c r="G3" s="4" t="n">
        <v>24990000</v>
      </c>
    </row>
    <row r="4">
      <c r="A4" t="inlineStr">
        <is>
          <t>iPhone 16 Pro  128GB</t>
        </is>
      </c>
      <c r="B4" s="3" t="n">
        <v>28690000</v>
      </c>
      <c r="C4" s="3" t="n">
        <v>28690000</v>
      </c>
      <c r="D4" s="42" t="n">
        <v>28290000</v>
      </c>
      <c r="E4" s="40" t="n">
        <v>27990000</v>
      </c>
      <c r="F4" s="38" t="n">
        <v>28290000</v>
      </c>
      <c r="G4" s="3" t="n">
        <v>28490000</v>
      </c>
    </row>
    <row r="5">
      <c r="A5" t="inlineStr">
        <is>
          <t>iPhone 16 Pro Max 256GB</t>
        </is>
      </c>
      <c r="B5" s="3" t="n">
        <v>34290000</v>
      </c>
      <c r="C5" s="3" t="n">
        <v>34290000</v>
      </c>
      <c r="D5" s="42" t="n">
        <v>33890000</v>
      </c>
      <c r="E5" s="38" t="n">
        <v>33190000</v>
      </c>
      <c r="F5" s="38" t="n">
        <v>33890000</v>
      </c>
      <c r="G5" s="3" t="n">
        <v>33890000</v>
      </c>
    </row>
    <row r="6">
      <c r="A6" t="inlineStr">
        <is>
          <t>iPhone 15  128GB</t>
        </is>
      </c>
      <c r="B6" s="37" t="n">
        <v>19590000</v>
      </c>
      <c r="C6" s="37" t="n">
        <v>19590000</v>
      </c>
      <c r="D6" s="43" t="n">
        <v>19690000</v>
      </c>
      <c r="E6" s="38" t="n">
        <v>19490000</v>
      </c>
      <c r="F6" s="40" t="n">
        <v>19490000</v>
      </c>
      <c r="G6" s="3" t="inlineStr">
        <is>
          <t>19.490.000</t>
        </is>
      </c>
    </row>
    <row r="7">
      <c r="A7" t="inlineStr">
        <is>
          <t>iPhone 15  Plus 128GB</t>
        </is>
      </c>
      <c r="B7" s="37" t="n">
        <v>22590000</v>
      </c>
      <c r="C7" s="37" t="n">
        <v>22590000</v>
      </c>
      <c r="D7" s="43" t="n">
        <v>22690000</v>
      </c>
      <c r="E7" s="38" t="n">
        <v>22490000</v>
      </c>
      <c r="F7" s="40" t="n">
        <v>22590000</v>
      </c>
      <c r="G7" s="3" t="n">
        <v>22390000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40" t="n">
        <v>25590000</v>
      </c>
      <c r="G8" s="4" t="n">
        <v>24390000</v>
      </c>
      <c r="I8" t="inlineStr">
        <is>
          <t>TZ</t>
        </is>
      </c>
      <c r="J8" t="inlineStr">
        <is>
          <t>Nghĩa</t>
        </is>
      </c>
      <c r="K8" t="b">
        <v>1</v>
      </c>
    </row>
    <row r="9">
      <c r="A9" t="inlineStr">
        <is>
          <t>iPhone 15 Pro Max 256GB</t>
        </is>
      </c>
      <c r="B9" s="37" t="n">
        <v>29390000</v>
      </c>
      <c r="C9" s="37" t="n">
        <v>29390000</v>
      </c>
      <c r="D9" s="25" t="n">
        <v>29490000</v>
      </c>
      <c r="E9" s="38" t="n">
        <v>28990000</v>
      </c>
      <c r="F9" s="40" t="n">
        <v>28990000</v>
      </c>
      <c r="G9" s="3" t="n">
        <v>28490000</v>
      </c>
      <c r="I9" t="inlineStr">
        <is>
          <t>FPT</t>
        </is>
      </c>
      <c r="J9" t="inlineStr">
        <is>
          <t>Việt</t>
        </is>
      </c>
      <c r="K9" t="b">
        <v>1</v>
      </c>
    </row>
    <row r="10">
      <c r="A10" t="inlineStr">
        <is>
          <t>iPhone 14 Plus 128GB</t>
        </is>
      </c>
      <c r="B10" s="37" t="n">
        <v>20390000</v>
      </c>
      <c r="C10" s="37" t="n">
        <v>20390000</v>
      </c>
      <c r="D10" s="25" t="n">
        <v>19990000</v>
      </c>
      <c r="E10" s="40" t="n">
        <v>19690000</v>
      </c>
      <c r="F10" s="39" t="n">
        <v>19690000</v>
      </c>
      <c r="G10" s="3" t="n">
        <v>20090000</v>
      </c>
      <c r="I10" t="inlineStr">
        <is>
          <t>Viettel</t>
        </is>
      </c>
      <c r="J10" t="inlineStr">
        <is>
          <t>Sơn</t>
        </is>
      </c>
      <c r="K10" t="b">
        <v>1</v>
      </c>
    </row>
    <row r="11">
      <c r="A11" t="inlineStr">
        <is>
          <t>iPhone 14 128GB</t>
        </is>
      </c>
      <c r="B11" s="3" t="n">
        <v>17190000</v>
      </c>
      <c r="C11" s="3" t="n">
        <v>17190000</v>
      </c>
      <c r="D11" s="38" t="n">
        <v>17490000</v>
      </c>
      <c r="E11" s="37" t="inlineStr">
        <is>
          <t>OOS</t>
        </is>
      </c>
      <c r="F11" s="39" t="n">
        <v>16850000</v>
      </c>
      <c r="G11" s="4" t="n">
        <v>17290000</v>
      </c>
      <c r="I11" t="inlineStr">
        <is>
          <t>CPS</t>
        </is>
      </c>
      <c r="J11" t="inlineStr">
        <is>
          <t>Trang</t>
        </is>
      </c>
      <c r="K11" t="b">
        <v>1</v>
      </c>
    </row>
    <row r="12">
      <c r="A12" t="inlineStr">
        <is>
          <t>iPhone 13  128GB</t>
        </is>
      </c>
      <c r="B12" s="3" t="n">
        <v>13490000</v>
      </c>
      <c r="C12" s="3" t="n">
        <v>13490000</v>
      </c>
      <c r="D12" s="39" t="n">
        <v>13490000</v>
      </c>
      <c r="E12" s="38" t="n">
        <v>13290000</v>
      </c>
      <c r="F12" s="39" t="n">
        <v>13390000</v>
      </c>
      <c r="G12" s="3" t="inlineStr">
        <is>
          <t>13.390.000</t>
        </is>
      </c>
      <c r="I12" t="inlineStr">
        <is>
          <t>ShopDunk</t>
        </is>
      </c>
      <c r="J12" t="inlineStr">
        <is>
          <t>Đạt</t>
        </is>
      </c>
      <c r="K12" t="b">
        <v>1</v>
      </c>
    </row>
    <row r="13">
      <c r="A13" t="inlineStr">
        <is>
          <t>iPhone 12 64GB</t>
        </is>
      </c>
      <c r="B13" s="3" t="n">
        <v>11890000</v>
      </c>
      <c r="C13" s="3" t="n">
        <v>11890000</v>
      </c>
      <c r="D13" s="25" t="n">
        <v>10990000</v>
      </c>
      <c r="E13" s="37" t="n">
        <v>10990000</v>
      </c>
      <c r="F13" s="39" t="n">
        <v>10890000</v>
      </c>
      <c r="G13" s="4" t="n">
        <v>12290000</v>
      </c>
    </row>
    <row r="14">
      <c r="A14" t="inlineStr">
        <is>
          <t>iPhone 11 64GB</t>
        </is>
      </c>
      <c r="B14" s="37" t="n">
        <v>8940000</v>
      </c>
      <c r="C14" s="37" t="n">
        <v>8940000</v>
      </c>
      <c r="D14" s="25" t="n">
        <v>8990000</v>
      </c>
      <c r="E14" s="40" t="n">
        <v>8490000</v>
      </c>
      <c r="F14" s="39" t="n">
        <v>8750000</v>
      </c>
      <c r="G14" s="4" t="n">
        <v>8790000</v>
      </c>
    </row>
    <row r="15">
      <c r="A15" t="inlineStr">
        <is>
          <t>iPad Mini 6 64GB Wifi</t>
        </is>
      </c>
      <c r="B15" s="37" t="n">
        <v>11990000</v>
      </c>
      <c r="C15" s="37" t="inlineStr">
        <is>
          <t>OOS</t>
        </is>
      </c>
      <c r="D15" s="25" t="n">
        <v>11990000</v>
      </c>
      <c r="E15" s="37" t="inlineStr">
        <is>
          <t>OOS</t>
        </is>
      </c>
      <c r="F15" s="34" t="n">
        <v>11690000</v>
      </c>
      <c r="G15" s="3" t="n">
        <v>11690000</v>
      </c>
    </row>
    <row r="16">
      <c r="A16" t="inlineStr">
        <is>
          <t>iPad Gen 10th 64GB Wifi</t>
        </is>
      </c>
      <c r="B16" s="37" t="n">
        <v>9290000</v>
      </c>
      <c r="C16" s="37" t="n">
        <v>9290000</v>
      </c>
      <c r="D16" s="3" t="n">
        <v>8890000</v>
      </c>
      <c r="E16" s="38" t="n">
        <v>8990000</v>
      </c>
      <c r="F16" s="39" t="n">
        <v>8790000</v>
      </c>
      <c r="G16" s="3" t="n">
        <v>8790000</v>
      </c>
    </row>
    <row r="17">
      <c r="A17" t="inlineStr">
        <is>
          <t>iPad Gen 9th  64GB Wifi</t>
        </is>
      </c>
      <c r="B17" s="37" t="n">
        <v>7040000</v>
      </c>
      <c r="C17" s="37" t="n">
        <v>7040000</v>
      </c>
      <c r="D17" s="25" t="n">
        <v>7090000</v>
      </c>
      <c r="E17" s="40" t="n">
        <v>6990000</v>
      </c>
      <c r="F17" s="39" t="n">
        <v>7090000</v>
      </c>
      <c r="G17" s="4" t="n">
        <v>7090000</v>
      </c>
    </row>
    <row r="18">
      <c r="A18" t="inlineStr">
        <is>
          <t>iPad Air M2  11" 128 GB Wifi</t>
        </is>
      </c>
      <c r="B18" s="3" t="n">
        <v>15190000</v>
      </c>
      <c r="C18" s="3" t="n">
        <v>15190000</v>
      </c>
      <c r="D18" s="3" t="n">
        <v>14890000</v>
      </c>
      <c r="E18" s="38" t="n">
        <v>15190000</v>
      </c>
      <c r="F18" s="34" t="n">
        <v>15290000</v>
      </c>
      <c r="G18" s="3" t="n">
        <v>14790000</v>
      </c>
    </row>
    <row r="19">
      <c r="A19" t="inlineStr">
        <is>
          <t>iPad Air M2  13" 128 GB Wifi</t>
        </is>
      </c>
      <c r="B19" s="3" t="n">
        <v>20790000</v>
      </c>
      <c r="C19" s="3" t="n">
        <v>20790000</v>
      </c>
      <c r="D19" s="3" t="n">
        <v>20690000</v>
      </c>
      <c r="E19" s="40" t="n">
        <v>21190000</v>
      </c>
      <c r="F19" s="39" t="n">
        <v>21490000</v>
      </c>
      <c r="G19" s="3" t="n">
        <v>20790000</v>
      </c>
    </row>
    <row r="20">
      <c r="A20" t="inlineStr">
        <is>
          <t>iPad Pro  M4  11" 256 GB Wifi</t>
        </is>
      </c>
      <c r="B20" s="37" t="n">
        <v>27590000</v>
      </c>
      <c r="C20" s="37" t="n">
        <v>27590000</v>
      </c>
      <c r="D20" s="25" t="n">
        <v>27590000</v>
      </c>
      <c r="E20" s="38" t="n">
        <v>26890000</v>
      </c>
      <c r="F20" s="39" t="n">
        <v>27690000</v>
      </c>
      <c r="G20" s="4" t="n">
        <v>27190000</v>
      </c>
    </row>
    <row r="21">
      <c r="A21" t="inlineStr">
        <is>
          <t>iPad Pro  M4  13" 256 GB Wifi</t>
        </is>
      </c>
      <c r="B21" s="37" t="n">
        <v>36790000</v>
      </c>
      <c r="C21" s="37" t="n">
        <v>36790000</v>
      </c>
      <c r="D21" s="25" t="n">
        <v>36790000</v>
      </c>
      <c r="E21" s="37" t="n">
        <v>36490000</v>
      </c>
      <c r="F21" s="39" t="n">
        <v>36990000</v>
      </c>
      <c r="G21" s="3" t="n">
        <v>36490000</v>
      </c>
    </row>
    <row r="22">
      <c r="A22" t="inlineStr">
        <is>
          <t>AW SE 2024 (40mm GPS)</t>
        </is>
      </c>
      <c r="B22" s="37" t="n">
        <v>5740000</v>
      </c>
      <c r="C22" s="37" t="n">
        <v>5740000</v>
      </c>
      <c r="D22" s="25" t="n">
        <v>5890000</v>
      </c>
      <c r="E22" s="40" t="inlineStr">
        <is>
          <t>Chưa có giá</t>
        </is>
      </c>
      <c r="F22" s="39" t="n">
        <v>5990000</v>
      </c>
      <c r="G22" s="3" t="n">
        <v>5790000</v>
      </c>
    </row>
    <row r="23">
      <c r="A23" t="inlineStr">
        <is>
          <t>AW SE 2024 (40mm LTE)</t>
        </is>
      </c>
      <c r="B23" s="3" t="n">
        <v>7040000</v>
      </c>
      <c r="C23" s="37" t="inlineStr">
        <is>
          <t>OOS</t>
        </is>
      </c>
      <c r="D23" s="25" t="n">
        <v>7190000</v>
      </c>
      <c r="E23" s="40" t="inlineStr">
        <is>
          <t>Chưa có giá</t>
        </is>
      </c>
      <c r="F23" s="39" t="n">
        <v>7290000</v>
      </c>
      <c r="G23" s="3" t="n">
        <v>7290000</v>
      </c>
    </row>
    <row r="24">
      <c r="A24" t="inlineStr">
        <is>
          <t>AW SE 2024 (44mm GPS)</t>
        </is>
      </c>
      <c r="B24" s="37" t="n">
        <v>6540000</v>
      </c>
      <c r="C24" s="37" t="n">
        <v>6540000</v>
      </c>
      <c r="D24" s="25" t="n">
        <v>6690000</v>
      </c>
      <c r="E24" s="40" t="inlineStr">
        <is>
          <t>Chưa có giá</t>
        </is>
      </c>
      <c r="F24" s="39" t="n">
        <v>6790000</v>
      </c>
      <c r="G24" s="3" t="n">
        <v>6590000</v>
      </c>
    </row>
    <row r="25">
      <c r="A25" t="inlineStr">
        <is>
          <t>AW SE 2024 (44mm LTE)</t>
        </is>
      </c>
      <c r="B25" s="3" t="n">
        <v>7740000</v>
      </c>
      <c r="C25" s="37" t="inlineStr">
        <is>
          <t>OOS</t>
        </is>
      </c>
      <c r="D25" s="25" t="n">
        <v>7990000</v>
      </c>
      <c r="E25" s="40" t="inlineStr">
        <is>
          <t>Chưa có giá</t>
        </is>
      </c>
      <c r="F25" s="39" t="n">
        <v>8090000</v>
      </c>
      <c r="G25" s="4" t="inlineStr">
        <is>
          <t>7.890.000</t>
        </is>
      </c>
    </row>
    <row r="26">
      <c r="A26" t="inlineStr">
        <is>
          <t>AW S10 (42mm GPS)</t>
        </is>
      </c>
      <c r="B26" s="3" t="n">
        <v>10690000</v>
      </c>
      <c r="C26" s="39" t="n">
        <v>10690000</v>
      </c>
      <c r="D26" s="25" t="n">
        <v>10990000</v>
      </c>
      <c r="E26" s="40" t="n">
        <v>10490000</v>
      </c>
      <c r="F26" s="39" t="n">
        <v>10890000</v>
      </c>
      <c r="G26" s="4" t="n">
        <v>10990000</v>
      </c>
    </row>
    <row r="27">
      <c r="A27" t="inlineStr">
        <is>
          <t>AW S10 (42mm CEL)</t>
        </is>
      </c>
      <c r="B27" s="3" t="n">
        <v>13490000</v>
      </c>
      <c r="C27" s="37" t="inlineStr">
        <is>
          <t>OOS</t>
        </is>
      </c>
      <c r="D27" s="25" t="n">
        <v>13590000</v>
      </c>
      <c r="E27" s="40" t="n">
        <v>12990000</v>
      </c>
      <c r="F27" s="39" t="n">
        <v>13590000</v>
      </c>
      <c r="G27" s="4" t="n">
        <v>13590000</v>
      </c>
    </row>
    <row r="28">
      <c r="A28" t="inlineStr">
        <is>
          <t>AW S10 (46mm GPS)</t>
        </is>
      </c>
      <c r="B28" s="3" t="n">
        <v>11690000</v>
      </c>
      <c r="C28" s="39" t="n">
        <v>11690000</v>
      </c>
      <c r="D28" s="25" t="n">
        <v>11790000</v>
      </c>
      <c r="E28" s="40" t="n">
        <v>11290000</v>
      </c>
      <c r="F28" s="34" t="n">
        <v>11690000</v>
      </c>
      <c r="G28" s="4" t="inlineStr">
        <is>
          <t>11.790.000</t>
        </is>
      </c>
    </row>
    <row r="29">
      <c r="A29" t="inlineStr">
        <is>
          <t>AW S10 (46mm CEL)</t>
        </is>
      </c>
      <c r="B29" s="37" t="n">
        <v>14290000</v>
      </c>
      <c r="C29" s="37" t="inlineStr">
        <is>
          <t>OOS</t>
        </is>
      </c>
      <c r="D29" s="25" t="n">
        <v>14390000</v>
      </c>
      <c r="E29" s="40" t="n">
        <v>13890000</v>
      </c>
      <c r="F29" s="39" t="n">
        <v>14390000</v>
      </c>
      <c r="G29" s="4" t="n">
        <v>14390000</v>
      </c>
    </row>
    <row r="30">
      <c r="A30" t="inlineStr">
        <is>
          <t>AW Ultra 2 (49mm)</t>
        </is>
      </c>
      <c r="B30" s="3" t="n">
        <v>22790000</v>
      </c>
      <c r="C30" s="3" t="n">
        <v>22790000</v>
      </c>
      <c r="D30" s="25" t="n">
        <v>22990000</v>
      </c>
      <c r="E30" s="37" t="inlineStr">
        <is>
          <t>OOS</t>
        </is>
      </c>
      <c r="F30" s="38" t="n">
        <v>22590000</v>
      </c>
      <c r="G30" s="4" t="n">
        <v>20890000</v>
      </c>
    </row>
    <row r="31">
      <c r="A31" t="inlineStr">
        <is>
          <t>AirPods Pro 2 - 2023 (C-Type)</t>
        </is>
      </c>
      <c r="B31" s="3" t="n">
        <v>5640000</v>
      </c>
      <c r="C31" s="3" t="n">
        <v>5640000</v>
      </c>
      <c r="D31" s="39" t="n">
        <v>5790000</v>
      </c>
      <c r="E31" s="40" t="n">
        <v>5520000</v>
      </c>
      <c r="F31" s="38" t="n">
        <v>5490000</v>
      </c>
      <c r="G31" s="4" t="n">
        <v>5450000</v>
      </c>
    </row>
    <row r="32">
      <c r="A32" t="inlineStr">
        <is>
          <t>AirPods 4 ANC</t>
        </is>
      </c>
      <c r="B32" s="3" t="n">
        <v>4540000</v>
      </c>
      <c r="C32" s="3" t="n">
        <v>4540000</v>
      </c>
      <c r="D32" s="38" t="n">
        <v>4590000</v>
      </c>
      <c r="E32" s="40" t="n">
        <v>4590000</v>
      </c>
      <c r="F32" s="37" t="n">
        <v>4660000</v>
      </c>
      <c r="G32" s="3" t="n">
        <v>4590000</v>
      </c>
    </row>
    <row r="33">
      <c r="A33" t="inlineStr">
        <is>
          <t>AirPods 4 with charging case</t>
        </is>
      </c>
      <c r="B33" s="3" t="n">
        <v>3340000</v>
      </c>
      <c r="C33" s="39" t="n">
        <v>3340000</v>
      </c>
      <c r="D33" s="38" t="n">
        <v>3390000</v>
      </c>
      <c r="E33" s="40" t="n">
        <v>3290000</v>
      </c>
      <c r="F33" s="37" t="n">
        <v>3360000</v>
      </c>
      <c r="G33" s="3" t="n">
        <v>3360000</v>
      </c>
    </row>
    <row r="34">
      <c r="A34" t="inlineStr">
        <is>
          <t>AirPods 3 with charging case</t>
        </is>
      </c>
      <c r="B34" s="3" t="n">
        <v>4040000</v>
      </c>
      <c r="C34" s="39" t="n">
        <v>4040000</v>
      </c>
      <c r="D34" s="42" t="n">
        <v>3690000</v>
      </c>
      <c r="E34" s="40" t="n">
        <v>3890000</v>
      </c>
      <c r="F34" s="39" t="n">
        <v>3790000</v>
      </c>
      <c r="G34" s="4" t="inlineStr">
        <is>
          <t>3.890.000</t>
        </is>
      </c>
    </row>
    <row r="35">
      <c r="A35" t="inlineStr">
        <is>
          <t>AirPods 2 with charging case</t>
        </is>
      </c>
      <c r="B35" s="37" t="n">
        <v>3090000</v>
      </c>
      <c r="C35" s="37" t="n">
        <v>3090000</v>
      </c>
      <c r="D35" s="38" t="n">
        <v>2990000</v>
      </c>
      <c r="E35" s="40" t="n">
        <v>2790000</v>
      </c>
      <c r="F35" s="39" t="n">
        <v>3090000</v>
      </c>
      <c r="G35" s="4" t="n">
        <v>2750000</v>
      </c>
    </row>
    <row r="36">
      <c r="A36" t="inlineStr">
        <is>
          <t>MacBook Air 13" M1 8/256Gb</t>
        </is>
      </c>
      <c r="B36" s="3" t="n">
        <v>18090000</v>
      </c>
      <c r="C36" s="3" t="n">
        <v>18090000</v>
      </c>
      <c r="D36" s="34" t="n">
        <v>17890000</v>
      </c>
      <c r="E36" s="37" t="n"/>
      <c r="F36" s="34" t="n">
        <v>18290000</v>
      </c>
      <c r="G36" s="4" t="n">
        <v>17490000</v>
      </c>
    </row>
    <row r="37">
      <c r="A37" t="inlineStr">
        <is>
          <t>MacBook Air 13" M2 8/256GB</t>
        </is>
      </c>
      <c r="B37" s="3" t="n">
        <v>23190000</v>
      </c>
      <c r="C37" s="3" t="n">
        <v>23190000</v>
      </c>
      <c r="D37" s="3" t="n">
        <v>22790000</v>
      </c>
      <c r="E37" s="37" t="n"/>
      <c r="F37" s="34" t="n">
        <v>22490000</v>
      </c>
      <c r="G37" s="3" t="n">
        <v>22790000</v>
      </c>
    </row>
    <row r="38">
      <c r="A38" t="inlineStr">
        <is>
          <t>MacBook Air 13" M3 8/256GB</t>
        </is>
      </c>
      <c r="B38" s="3" t="n">
        <v>25790000</v>
      </c>
      <c r="C38" s="3" t="n">
        <v>25790000</v>
      </c>
      <c r="D38" s="34" t="n">
        <v>25690000</v>
      </c>
      <c r="E38" s="37" t="n"/>
      <c r="F38" s="39" t="n">
        <v>26490000</v>
      </c>
      <c r="G38" s="4" t="n">
        <v>26490000</v>
      </c>
    </row>
    <row r="39">
      <c r="A39" t="inlineStr">
        <is>
          <t>MacBook Air 15" M3 8/256GB</t>
        </is>
      </c>
      <c r="B39" s="3" t="n">
        <v>30890000</v>
      </c>
      <c r="C39" s="3" t="n">
        <v>30890000</v>
      </c>
      <c r="D39" s="3" t="n">
        <v>31390000</v>
      </c>
      <c r="E39" s="37" t="n"/>
      <c r="F39" s="34" t="n">
        <v>30990000</v>
      </c>
      <c r="G39" s="4" t="n">
        <v>30990000</v>
      </c>
    </row>
    <row r="40">
      <c r="A40" t="inlineStr">
        <is>
          <t>MacBook Pro 14" M3 8/512GB</t>
        </is>
      </c>
      <c r="B40" s="37" t="n">
        <v>36690000</v>
      </c>
      <c r="C40" s="37" t="n">
        <v>36690000</v>
      </c>
      <c r="D40" s="3" t="n">
        <v>36290000</v>
      </c>
      <c r="E40" s="37" t="n"/>
      <c r="F40" s="39" t="inlineStr">
        <is>
          <t>OOS</t>
        </is>
      </c>
      <c r="G40" s="4"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32.xml><?xml version="1.0" encoding="utf-8"?>
<worksheet xmlns="http://schemas.openxmlformats.org/spreadsheetml/2006/main">
  <sheetPr codeName="Sheet31">
    <outlinePr summaryBelow="1" summaryRight="1"/>
    <pageSetUpPr/>
  </sheetPr>
  <dimension ref="A1:K40"/>
  <sheetViews>
    <sheetView zoomScale="130" zoomScaleNormal="130" workbookViewId="0">
      <pane xSplit="1" ySplit="1" topLeftCell="B7" activePane="bottomRight" state="frozen"/>
      <selection pane="bottomRight" activeCell="B1" sqref="B1"/>
      <selection pane="bottomLeft" activeCell="A2" sqref="A2"/>
      <selection pane="topRight" activeCell="B1" sqref="B1"/>
    </sheetView>
  </sheetViews>
  <sheetFormatPr baseColWidth="8" defaultColWidth="11" defaultRowHeight="15.95"/>
  <cols>
    <col width="25.3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22290000</v>
      </c>
      <c r="C2" s="3" t="n">
        <v>22290000</v>
      </c>
      <c r="D2" s="42" t="n">
        <v>21490000</v>
      </c>
      <c r="E2" s="40" t="n">
        <v>21990000</v>
      </c>
      <c r="F2" s="38" t="n">
        <v>21490000</v>
      </c>
      <c r="G2" s="4" t="n">
        <v>21690000</v>
      </c>
    </row>
    <row r="3">
      <c r="A3" t="inlineStr">
        <is>
          <t>iPhone 16  Plus 128GB</t>
        </is>
      </c>
      <c r="B3" s="3" t="n">
        <v>25690000</v>
      </c>
      <c r="C3" s="3" t="n">
        <v>25690000</v>
      </c>
      <c r="D3" s="42" t="n">
        <v>25090000</v>
      </c>
      <c r="E3" s="40" t="n">
        <v>24990000</v>
      </c>
      <c r="F3" s="40" t="n">
        <v>24890000</v>
      </c>
      <c r="G3" s="4" t="n">
        <v>24990000</v>
      </c>
    </row>
    <row r="4">
      <c r="A4" t="inlineStr">
        <is>
          <t>iPhone 16 Pro  128GB</t>
        </is>
      </c>
      <c r="B4" s="3" t="n">
        <v>28890000</v>
      </c>
      <c r="C4" s="3" t="n">
        <v>28890000</v>
      </c>
      <c r="D4" s="42" t="n">
        <v>28090000</v>
      </c>
      <c r="E4" s="40" t="n">
        <v>27990000</v>
      </c>
      <c r="F4" s="40" t="n">
        <v>28290000</v>
      </c>
      <c r="G4" s="3" t="n">
        <v>28290000</v>
      </c>
    </row>
    <row r="5">
      <c r="A5" t="inlineStr">
        <is>
          <t>iPhone 16 Pro Max 256GB</t>
        </is>
      </c>
      <c r="B5" s="3" t="n">
        <v>34490000</v>
      </c>
      <c r="C5" s="3" t="n">
        <v>34490000</v>
      </c>
      <c r="D5" s="42" t="n">
        <v>33590000</v>
      </c>
      <c r="E5" s="38" t="n">
        <v>33490000</v>
      </c>
      <c r="F5" s="38" t="n">
        <v>33590000</v>
      </c>
      <c r="G5" s="3" t="n">
        <v>33590000</v>
      </c>
    </row>
    <row r="6">
      <c r="A6" t="inlineStr">
        <is>
          <t>iPhone 15  128GB</t>
        </is>
      </c>
      <c r="B6" s="3" t="n">
        <v>19890000</v>
      </c>
      <c r="C6" s="3" t="n">
        <v>19890000</v>
      </c>
      <c r="D6" s="42" t="n">
        <v>19590000</v>
      </c>
      <c r="E6" s="40" t="n">
        <v>19490000</v>
      </c>
      <c r="F6" s="40" t="n">
        <v>19490000</v>
      </c>
      <c r="G6" s="4" t="inlineStr">
        <is>
          <t>19.490.000</t>
        </is>
      </c>
    </row>
    <row r="7">
      <c r="A7" t="inlineStr">
        <is>
          <t>iPhone 15  Plus 128GB</t>
        </is>
      </c>
      <c r="B7" s="3" t="n">
        <v>22890000</v>
      </c>
      <c r="C7" s="3" t="n">
        <v>22890000</v>
      </c>
      <c r="D7" s="43" t="n">
        <v>22690000</v>
      </c>
      <c r="E7" s="40" t="n">
        <v>22490000</v>
      </c>
      <c r="F7" s="40" t="n">
        <v>22590000</v>
      </c>
      <c r="G7" s="4" t="n">
        <v>22390000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40" t="n">
        <v>25590000</v>
      </c>
      <c r="G8" s="4" t="n">
        <v>24390000</v>
      </c>
      <c r="I8" t="inlineStr">
        <is>
          <t>TZ</t>
        </is>
      </c>
      <c r="J8" t="inlineStr">
        <is>
          <t>Nghĩa</t>
        </is>
      </c>
      <c r="K8" t="b">
        <v>1</v>
      </c>
    </row>
    <row r="9">
      <c r="A9" t="inlineStr">
        <is>
          <t>iPhone 15 Pro Max 256GB</t>
        </is>
      </c>
      <c r="B9" s="3" t="n">
        <v>29590000</v>
      </c>
      <c r="C9" s="3" t="n">
        <v>29590000</v>
      </c>
      <c r="D9" s="3" t="n">
        <v>29590000</v>
      </c>
      <c r="E9" s="38" t="n">
        <v>28990000</v>
      </c>
      <c r="F9" s="40" t="n">
        <v>28990000</v>
      </c>
      <c r="G9" s="4" t="n">
        <v>28490000</v>
      </c>
      <c r="H9" t="inlineStr">
        <is>
          <t>x</t>
        </is>
      </c>
      <c r="I9" t="inlineStr">
        <is>
          <t>FPT</t>
        </is>
      </c>
      <c r="J9" t="inlineStr">
        <is>
          <t>Việt</t>
        </is>
      </c>
      <c r="K9" t="b">
        <v>1</v>
      </c>
    </row>
    <row r="10">
      <c r="A10" t="inlineStr">
        <is>
          <t>iPhone 14 Plus 128GB</t>
        </is>
      </c>
      <c r="B10" s="3" t="n">
        <v>20090000</v>
      </c>
      <c r="C10" s="3" t="n">
        <v>20090000</v>
      </c>
      <c r="D10" s="3" t="n">
        <v>20090000</v>
      </c>
      <c r="E10" s="40" t="n">
        <v>19690000</v>
      </c>
      <c r="F10" s="39" t="n">
        <v>19690000</v>
      </c>
      <c r="G10" s="4" t="n">
        <v>20090000</v>
      </c>
      <c r="I10" t="inlineStr">
        <is>
          <t>Viettel</t>
        </is>
      </c>
      <c r="J10" t="inlineStr">
        <is>
          <t>Sơn</t>
        </is>
      </c>
      <c r="K10" t="b">
        <v>1</v>
      </c>
    </row>
    <row r="11">
      <c r="A11" t="inlineStr">
        <is>
          <t>iPhone 14 128GB</t>
        </is>
      </c>
      <c r="B11" s="3" t="n">
        <v>17490000</v>
      </c>
      <c r="C11" s="3" t="n">
        <v>17490000</v>
      </c>
      <c r="D11" s="38" t="n">
        <v>17390000</v>
      </c>
      <c r="E11" s="37" t="inlineStr">
        <is>
          <t>OOS</t>
        </is>
      </c>
      <c r="F11" s="39" t="n">
        <v>16850000</v>
      </c>
      <c r="G11" s="4" t="n">
        <v>17290000</v>
      </c>
      <c r="I11" t="inlineStr">
        <is>
          <t>CPS</t>
        </is>
      </c>
      <c r="J11" t="inlineStr">
        <is>
          <t>Trang</t>
        </is>
      </c>
      <c r="K11" t="b">
        <v>1</v>
      </c>
    </row>
    <row r="12">
      <c r="A12" t="inlineStr">
        <is>
          <t>iPhone 13  128GB</t>
        </is>
      </c>
      <c r="B12" s="3" t="n">
        <v>13490000</v>
      </c>
      <c r="C12" s="3" t="n">
        <v>13490000</v>
      </c>
      <c r="D12" s="34" t="n">
        <v>13390000</v>
      </c>
      <c r="E12" s="40" t="n">
        <v>13290000</v>
      </c>
      <c r="F12" s="39" t="n">
        <v>13390000</v>
      </c>
      <c r="G12" s="4" t="inlineStr">
        <is>
          <t>13.390.000</t>
        </is>
      </c>
      <c r="I12" t="inlineStr">
        <is>
          <t>ShopDunk</t>
        </is>
      </c>
      <c r="J12" t="inlineStr">
        <is>
          <t>Đạt</t>
        </is>
      </c>
      <c r="K12" t="b">
        <v>1</v>
      </c>
    </row>
    <row r="13">
      <c r="A13" t="inlineStr">
        <is>
          <t>iPhone 12 64GB</t>
        </is>
      </c>
      <c r="B13" s="3" t="n">
        <v>11590000</v>
      </c>
      <c r="C13" s="3" t="n">
        <v>11590000</v>
      </c>
      <c r="D13" s="25" t="n">
        <v>10990000</v>
      </c>
      <c r="E13" s="37" t="n">
        <v>10990000</v>
      </c>
      <c r="F13" s="39" t="n">
        <v>10890000</v>
      </c>
      <c r="G13" s="4" t="n">
        <v>12290000</v>
      </c>
    </row>
    <row r="14">
      <c r="A14" t="inlineStr">
        <is>
          <t>iPhone 11 64GB</t>
        </is>
      </c>
      <c r="B14" s="3" t="n">
        <v>8990000</v>
      </c>
      <c r="C14" s="3" t="n">
        <v>8990000</v>
      </c>
      <c r="D14" s="25" t="n">
        <v>8990000</v>
      </c>
      <c r="E14" s="40" t="n">
        <v>8490000</v>
      </c>
      <c r="F14" s="39" t="n">
        <v>8790000</v>
      </c>
      <c r="G14" s="4" t="n">
        <v>8790000</v>
      </c>
    </row>
    <row r="15">
      <c r="A15" t="inlineStr">
        <is>
          <t>iPad Mini 7 128GB Wifi</t>
        </is>
      </c>
      <c r="B15" s="37" t="n">
        <v>13990000</v>
      </c>
      <c r="C15" s="37" t="n">
        <v>13990000</v>
      </c>
      <c r="D15" s="25" t="n">
        <v>13990000</v>
      </c>
      <c r="E15" s="37" t="inlineStr">
        <is>
          <t>OOS</t>
        </is>
      </c>
      <c r="F15" s="39" t="n">
        <v>13990000</v>
      </c>
      <c r="G15" s="3" t="n">
        <v>13990000</v>
      </c>
    </row>
    <row r="16">
      <c r="A16" t="inlineStr">
        <is>
          <t>iPad Gen 10th 64GB Wifi</t>
        </is>
      </c>
      <c r="B16" s="3" t="n">
        <v>9190000</v>
      </c>
      <c r="C16" s="3" t="n">
        <v>9190000</v>
      </c>
      <c r="D16" s="3" t="n">
        <v>8590000</v>
      </c>
      <c r="E16" s="38" t="n">
        <v>8690000</v>
      </c>
      <c r="F16" s="39" t="n">
        <v>8750000</v>
      </c>
      <c r="G16" s="4" t="n">
        <v>8790000</v>
      </c>
    </row>
    <row r="17">
      <c r="A17" t="inlineStr">
        <is>
          <t>iPad Gen 9th  64GB Wifi</t>
        </is>
      </c>
      <c r="B17" s="3" t="n">
        <v>7090000</v>
      </c>
      <c r="C17" s="3" t="n">
        <v>7090000</v>
      </c>
      <c r="D17" s="3" t="n">
        <v>7050000</v>
      </c>
      <c r="E17" s="40" t="n">
        <v>6990000</v>
      </c>
      <c r="F17" s="39" t="n">
        <v>7090000</v>
      </c>
      <c r="G17" s="4" t="n">
        <v>7090000</v>
      </c>
    </row>
    <row r="18">
      <c r="A18" t="inlineStr">
        <is>
          <t>iPad Air M2  11" 128 GB Wifi</t>
        </is>
      </c>
      <c r="B18" s="3" t="n">
        <v>15090000</v>
      </c>
      <c r="C18" s="3" t="n">
        <v>15090000</v>
      </c>
      <c r="D18" s="25" t="n">
        <v>14890000</v>
      </c>
      <c r="E18" s="38" t="n">
        <v>15190000</v>
      </c>
      <c r="F18" s="34" t="n">
        <v>14890000</v>
      </c>
      <c r="G18" s="4" t="n">
        <v>14790000</v>
      </c>
    </row>
    <row r="19">
      <c r="A19" t="inlineStr">
        <is>
          <t>iPad Air M2  13" 128 GB Wifi</t>
        </is>
      </c>
      <c r="B19" s="3" t="n">
        <v>20840000</v>
      </c>
      <c r="C19" s="3" t="n">
        <v>20840000</v>
      </c>
      <c r="D19" s="25" t="n">
        <v>20690000</v>
      </c>
      <c r="E19" s="38" t="n">
        <v>21490000</v>
      </c>
      <c r="F19" s="34" t="n">
        <v>20990000</v>
      </c>
      <c r="G19" s="4" t="n">
        <v>20990000</v>
      </c>
    </row>
    <row r="20">
      <c r="A20" t="inlineStr">
        <is>
          <t>iPad Pro  M4  11" 256 GB Wifi</t>
        </is>
      </c>
      <c r="B20" s="3" t="n">
        <v>27490000</v>
      </c>
      <c r="C20" s="3" t="n">
        <v>27490000</v>
      </c>
      <c r="D20" s="3" t="n">
        <v>27490000</v>
      </c>
      <c r="E20" s="38" t="n">
        <v>27190000</v>
      </c>
      <c r="F20" s="39" t="n">
        <v>27590000</v>
      </c>
      <c r="G20" s="4" t="n">
        <v>27190000</v>
      </c>
    </row>
    <row r="21">
      <c r="A21" t="inlineStr">
        <is>
          <t>iPad Pro  M4  13" 256 GB Wifi</t>
        </is>
      </c>
      <c r="B21" s="37" t="n">
        <v>36790000</v>
      </c>
      <c r="C21" s="37" t="n">
        <v>36790000</v>
      </c>
      <c r="D21" s="25" t="n">
        <v>36790000</v>
      </c>
      <c r="E21" s="37" t="n">
        <v>36490000</v>
      </c>
      <c r="F21" s="39" t="n">
        <v>36990000</v>
      </c>
      <c r="G21" s="4" t="n">
        <v>36490000</v>
      </c>
    </row>
    <row r="22">
      <c r="A22" t="inlineStr">
        <is>
          <t>AW SE 2 (40mm GPS)</t>
        </is>
      </c>
      <c r="B22" s="3" t="n">
        <v>5990000</v>
      </c>
      <c r="C22" s="3" t="n">
        <v>5990000</v>
      </c>
      <c r="D22" s="25" t="n">
        <v>5890000</v>
      </c>
      <c r="E22" s="40" t="n">
        <v>5790000</v>
      </c>
      <c r="F22" s="39" t="n">
        <v>5990000</v>
      </c>
      <c r="G22" s="4" t="n">
        <v>5790000</v>
      </c>
    </row>
    <row r="23">
      <c r="A23" t="inlineStr">
        <is>
          <t>AW SE 2 (40mm LTE)</t>
        </is>
      </c>
      <c r="B23" s="3" t="n">
        <v>7290000</v>
      </c>
      <c r="C23" s="37" t="inlineStr">
        <is>
          <t>OOS</t>
        </is>
      </c>
      <c r="D23" s="25" t="n">
        <v>7190000</v>
      </c>
      <c r="E23" s="40" t="n">
        <v>7290000</v>
      </c>
      <c r="F23" s="39" t="n">
        <v>7290000</v>
      </c>
      <c r="G23" s="3" t="n">
        <v>7190000</v>
      </c>
    </row>
    <row r="24">
      <c r="A24" t="inlineStr">
        <is>
          <t>AW SE 2 (44mm GPS)</t>
        </is>
      </c>
      <c r="B24" s="3" t="n">
        <v>6790000</v>
      </c>
      <c r="C24" s="3" t="n">
        <v>6790000</v>
      </c>
      <c r="D24" s="25" t="n">
        <v>6690000</v>
      </c>
      <c r="E24" s="40" t="n">
        <v>6590000</v>
      </c>
      <c r="F24" s="39" t="n">
        <v>6790000</v>
      </c>
      <c r="G24" s="4" t="n">
        <v>6590000</v>
      </c>
    </row>
    <row r="25">
      <c r="A25" t="inlineStr">
        <is>
          <t>AW SE 2 (44mm LTE)</t>
        </is>
      </c>
      <c r="B25" s="3" t="n">
        <v>7990000</v>
      </c>
      <c r="C25" s="37" t="inlineStr">
        <is>
          <t>OOS</t>
        </is>
      </c>
      <c r="D25" s="25" t="n">
        <v>7990000</v>
      </c>
      <c r="E25" s="40" t="n">
        <v>7990000</v>
      </c>
      <c r="F25" s="39" t="n">
        <v>8090000</v>
      </c>
      <c r="G25" s="4" t="inlineStr">
        <is>
          <t>7.890.000</t>
        </is>
      </c>
    </row>
    <row r="26">
      <c r="A26" t="inlineStr">
        <is>
          <t>AW S10 (42mm GPS)</t>
        </is>
      </c>
      <c r="B26" s="3" t="n">
        <v>10990000</v>
      </c>
      <c r="C26" s="3" t="n">
        <v>10990000</v>
      </c>
      <c r="D26" s="25" t="n">
        <v>10990000</v>
      </c>
      <c r="E26" s="40" t="n">
        <v>10490000</v>
      </c>
      <c r="F26" s="39" t="n">
        <v>10890000</v>
      </c>
      <c r="G26" s="4" t="n">
        <v>10990000</v>
      </c>
    </row>
    <row r="27">
      <c r="A27" t="inlineStr">
        <is>
          <t>AW S10 (42mm CEL)</t>
        </is>
      </c>
      <c r="B27" s="3" t="n">
        <v>13590000</v>
      </c>
      <c r="C27" s="37" t="inlineStr">
        <is>
          <t>OOS</t>
        </is>
      </c>
      <c r="D27" s="25" t="n">
        <v>13590000</v>
      </c>
      <c r="E27" s="40" t="n">
        <v>12990000</v>
      </c>
      <c r="F27" s="39" t="n">
        <v>13590000</v>
      </c>
      <c r="G27" s="4" t="n">
        <v>13590000</v>
      </c>
    </row>
    <row r="28">
      <c r="A28" t="inlineStr">
        <is>
          <t>AW S10 (46mm GPS)</t>
        </is>
      </c>
      <c r="B28" s="3" t="n">
        <v>11790000</v>
      </c>
      <c r="C28" s="3" t="n">
        <v>11790000</v>
      </c>
      <c r="D28" s="25" t="n">
        <v>11790000</v>
      </c>
      <c r="E28" s="40" t="n">
        <v>11290000</v>
      </c>
      <c r="F28" s="39" t="n">
        <v>11690000</v>
      </c>
      <c r="G28" s="4" t="inlineStr">
        <is>
          <t>11.790.000</t>
        </is>
      </c>
    </row>
    <row r="29">
      <c r="A29" t="inlineStr">
        <is>
          <t>AW S10 (46mm CEL)</t>
        </is>
      </c>
      <c r="B29" s="3" t="n">
        <v>14390000</v>
      </c>
      <c r="C29" s="37" t="inlineStr">
        <is>
          <t>OOS</t>
        </is>
      </c>
      <c r="D29" s="25" t="n">
        <v>14390000</v>
      </c>
      <c r="E29" s="40" t="n">
        <v>13890000</v>
      </c>
      <c r="F29" s="39" t="n">
        <v>14390000</v>
      </c>
      <c r="G29" s="4" t="n">
        <v>14390000</v>
      </c>
    </row>
    <row r="30">
      <c r="A30" t="inlineStr">
        <is>
          <t>AW Ultra 2 (49mm)</t>
        </is>
      </c>
      <c r="B30" s="3" t="n">
        <v>22990000</v>
      </c>
      <c r="C30" s="3" t="n">
        <v>22990000</v>
      </c>
      <c r="D30" s="25" t="n">
        <v>22990000</v>
      </c>
      <c r="E30" s="37" t="inlineStr">
        <is>
          <t>OOS</t>
        </is>
      </c>
      <c r="F30" s="40" t="n">
        <v>22590000</v>
      </c>
      <c r="G30" s="4" t="n">
        <v>20890000</v>
      </c>
    </row>
    <row r="31">
      <c r="A31" t="inlineStr">
        <is>
          <t>AirPods Pro 2 - 2023 (C-Type)</t>
        </is>
      </c>
      <c r="B31" s="3" t="n">
        <v>5790000</v>
      </c>
      <c r="C31" s="3" t="n">
        <v>5790000</v>
      </c>
      <c r="D31" s="34" t="n">
        <v>5590000</v>
      </c>
      <c r="E31" s="38" t="n">
        <v>5390000</v>
      </c>
      <c r="F31" s="40" t="n">
        <v>5490000</v>
      </c>
      <c r="G31" s="4" t="n">
        <v>5450000</v>
      </c>
    </row>
    <row r="32">
      <c r="A32" t="inlineStr">
        <is>
          <t>AirPods 4 ANC</t>
        </is>
      </c>
      <c r="B32" s="3" t="n">
        <v>4790000</v>
      </c>
      <c r="C32" s="3" t="n">
        <v>4790000</v>
      </c>
      <c r="D32" s="38" t="n">
        <v>4790000</v>
      </c>
      <c r="E32" s="40" t="n">
        <v>4590000</v>
      </c>
      <c r="F32" s="38" t="n">
        <v>4590000</v>
      </c>
      <c r="G32" s="3" t="n">
        <v>4590000</v>
      </c>
    </row>
    <row r="33">
      <c r="A33" t="inlineStr">
        <is>
          <t>AirPods 4 with charging case</t>
        </is>
      </c>
      <c r="B33" s="3" t="n">
        <v>3490000</v>
      </c>
      <c r="C33" s="3" t="n">
        <v>3490000</v>
      </c>
      <c r="D33" s="38" t="n">
        <v>3490000</v>
      </c>
      <c r="E33" s="40" t="n">
        <v>3290000</v>
      </c>
      <c r="F33" s="37" t="n">
        <v>3360000</v>
      </c>
      <c r="G33" s="3" t="n">
        <v>3360000</v>
      </c>
    </row>
    <row r="34">
      <c r="A34" t="inlineStr">
        <is>
          <t>AirPods 3 with charging case</t>
        </is>
      </c>
      <c r="B34" s="3" t="n">
        <v>4090000</v>
      </c>
      <c r="C34" s="3" t="n">
        <v>4090000</v>
      </c>
      <c r="D34" s="42" t="n">
        <v>3590000</v>
      </c>
      <c r="E34" s="40" t="n">
        <v>3890000</v>
      </c>
      <c r="F34" s="39" t="n">
        <v>3790000</v>
      </c>
      <c r="G34" s="4" t="inlineStr">
        <is>
          <t>3.890.000</t>
        </is>
      </c>
    </row>
    <row r="35">
      <c r="A35" t="inlineStr">
        <is>
          <t>AirPods 2 with charging case</t>
        </is>
      </c>
      <c r="B35" s="37" t="n">
        <v>3090000</v>
      </c>
      <c r="C35" s="37" t="n">
        <v>3090000</v>
      </c>
      <c r="D35" s="40" t="n">
        <v>2990000</v>
      </c>
      <c r="E35" s="40" t="n">
        <v>2790000</v>
      </c>
      <c r="F35" s="39" t="n">
        <v>3090000</v>
      </c>
      <c r="G35" s="4" t="n">
        <v>2750000</v>
      </c>
    </row>
    <row r="36">
      <c r="A36" t="inlineStr">
        <is>
          <t>MacBook Air 13" M1 8/256Gb</t>
        </is>
      </c>
      <c r="B36" s="3" t="n">
        <v>18190000</v>
      </c>
      <c r="C36" s="3" t="n">
        <v>18190000</v>
      </c>
      <c r="D36" s="34" t="n">
        <v>17990000</v>
      </c>
      <c r="E36" s="37" t="n"/>
      <c r="F36" s="34" t="n">
        <v>18090000</v>
      </c>
      <c r="G36" s="4" t="n">
        <v>17490000</v>
      </c>
    </row>
    <row r="37">
      <c r="A37" t="inlineStr">
        <is>
          <t>MacBook Air 13" M2 8/256GB</t>
        </is>
      </c>
      <c r="B37" s="3" t="n">
        <v>23290000</v>
      </c>
      <c r="C37" s="3" t="n">
        <v>23290000</v>
      </c>
      <c r="D37" s="3" t="n">
        <v>23090000</v>
      </c>
      <c r="E37" s="37" t="n"/>
      <c r="F37" s="34" t="n">
        <v>22590000</v>
      </c>
      <c r="G37" s="3" t="n">
        <v>22790000</v>
      </c>
    </row>
    <row r="38">
      <c r="A38" t="inlineStr">
        <is>
          <t>MacBook Air 13" M3 8/256GB</t>
        </is>
      </c>
      <c r="B38" s="3" t="n">
        <v>26090000</v>
      </c>
      <c r="C38" s="3" t="n">
        <v>26090000</v>
      </c>
      <c r="D38" s="34" t="n">
        <v>25790000</v>
      </c>
      <c r="E38" s="37" t="n"/>
      <c r="F38" s="34" t="n">
        <v>25990000</v>
      </c>
      <c r="G38" s="4" t="n">
        <v>26490000</v>
      </c>
    </row>
    <row r="39">
      <c r="A39" t="inlineStr">
        <is>
          <t>MacBook Air 15" M3 8/256GB</t>
        </is>
      </c>
      <c r="B39" s="3" t="n">
        <v>31290000</v>
      </c>
      <c r="C39" s="3" t="n">
        <v>31290000</v>
      </c>
      <c r="D39" s="3" t="n">
        <v>31190000</v>
      </c>
      <c r="E39" s="37" t="n"/>
      <c r="F39" s="34" t="n">
        <v>30690000</v>
      </c>
      <c r="G39" s="4" t="n">
        <v>30990000</v>
      </c>
    </row>
    <row r="40">
      <c r="A40" t="inlineStr">
        <is>
          <t>MacBook Pro 14" M3 8/512GB</t>
        </is>
      </c>
      <c r="B40" s="3" t="n">
        <v>36290000</v>
      </c>
      <c r="C40" s="3" t="n">
        <v>36290000</v>
      </c>
      <c r="D40" s="25" t="n">
        <v>36290000</v>
      </c>
      <c r="E40" s="37" t="n"/>
      <c r="F40" s="39" t="inlineStr">
        <is>
          <t>OOS</t>
        </is>
      </c>
      <c r="G40"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3.xml><?xml version="1.0" encoding="utf-8"?>
<worksheet xmlns="http://schemas.openxmlformats.org/spreadsheetml/2006/main">
  <sheetPr codeName="Sheet32">
    <outlinePr summaryBelow="1" summaryRight="1"/>
    <pageSetUpPr/>
  </sheetPr>
  <dimension ref="A1:K40"/>
  <sheetViews>
    <sheetView zoomScale="135" zoomScaleNormal="171" workbookViewId="0">
      <pane xSplit="1" ySplit="1" topLeftCell="B23" activePane="bottomRight" state="frozen"/>
      <selection pane="bottomRight" activeCell="B1" sqref="B1"/>
      <selection pane="bottomLeft" activeCell="A2" sqref="A2"/>
      <selection pane="topRight" activeCell="B1" sqref="B1"/>
    </sheetView>
  </sheetViews>
  <sheetFormatPr baseColWidth="8" defaultColWidth="11" defaultRowHeight="15.95"/>
  <cols>
    <col width="25.3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22590000</v>
      </c>
      <c r="C2" s="3" t="n">
        <v>22590000</v>
      </c>
      <c r="D2" s="43" t="n">
        <v>21490000</v>
      </c>
      <c r="E2" s="40" t="n">
        <v>21990000</v>
      </c>
      <c r="F2" s="38" t="n">
        <v>21290000</v>
      </c>
      <c r="G2" s="3" t="n">
        <v>21490000</v>
      </c>
    </row>
    <row r="3">
      <c r="A3" t="inlineStr">
        <is>
          <t>iPhone 16  Plus 128GB</t>
        </is>
      </c>
      <c r="B3" s="3" t="n">
        <v>25990000</v>
      </c>
      <c r="C3" s="3" t="n">
        <v>25990000</v>
      </c>
      <c r="D3" s="42" t="n">
        <v>24990000</v>
      </c>
      <c r="E3" s="40" t="n">
        <v>24990000</v>
      </c>
      <c r="F3" s="40" t="n">
        <v>24890000</v>
      </c>
      <c r="G3" s="3" t="n">
        <v>24890000</v>
      </c>
    </row>
    <row r="4">
      <c r="A4" t="inlineStr">
        <is>
          <t>iPhone 16 Pro  128GB</t>
        </is>
      </c>
      <c r="B4" s="3" t="n">
        <v>28990000</v>
      </c>
      <c r="C4" s="3" t="n">
        <v>28590000</v>
      </c>
      <c r="D4" s="42" t="n">
        <v>27790000</v>
      </c>
      <c r="E4" s="38" t="n">
        <v>27710000</v>
      </c>
      <c r="F4" s="38" t="n">
        <v>27490000</v>
      </c>
      <c r="G4" s="3" t="n">
        <v>27490000</v>
      </c>
    </row>
    <row r="5">
      <c r="A5" t="inlineStr">
        <is>
          <t>iPhone 16 Pro Max 256GB</t>
        </is>
      </c>
      <c r="B5" s="3" t="n">
        <v>34590000</v>
      </c>
      <c r="C5" s="3" t="n">
        <v>34590000</v>
      </c>
      <c r="D5" s="42" t="n">
        <v>32990000</v>
      </c>
      <c r="E5" s="38" t="n">
        <v>32990000</v>
      </c>
      <c r="F5" s="38" t="n">
        <v>32990000</v>
      </c>
      <c r="G5" s="3" t="n">
        <v>32990000</v>
      </c>
    </row>
    <row r="6">
      <c r="A6" t="inlineStr">
        <is>
          <t>iPhone 15  128GB</t>
        </is>
      </c>
      <c r="B6" s="3" t="n">
        <v>19990000</v>
      </c>
      <c r="C6" s="3" t="n">
        <v>19990000</v>
      </c>
      <c r="D6" s="43" t="n">
        <v>19590000</v>
      </c>
      <c r="E6" s="40" t="n">
        <v>19490000</v>
      </c>
      <c r="F6" s="40" t="n">
        <v>19490000</v>
      </c>
      <c r="G6" s="4" t="inlineStr">
        <is>
          <t>19.490.000</t>
        </is>
      </c>
    </row>
    <row r="7">
      <c r="A7" t="inlineStr">
        <is>
          <t>iPhone 15  Plus 128GB</t>
        </is>
      </c>
      <c r="B7" s="3" t="n">
        <v>22990000</v>
      </c>
      <c r="C7" s="3" t="n">
        <v>22990000</v>
      </c>
      <c r="D7" s="43" t="n">
        <v>22690000</v>
      </c>
      <c r="E7" s="40" t="n">
        <v>22490000</v>
      </c>
      <c r="F7" s="40" t="n">
        <v>22590000</v>
      </c>
      <c r="G7" s="4" t="n">
        <v>22390000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n">
        <v>24390000</v>
      </c>
      <c r="I8" t="inlineStr">
        <is>
          <t>TZ</t>
        </is>
      </c>
      <c r="J8" t="inlineStr">
        <is>
          <t>Nghĩa</t>
        </is>
      </c>
      <c r="K8" t="b">
        <v>1</v>
      </c>
    </row>
    <row r="9">
      <c r="A9" t="inlineStr">
        <is>
          <t>iPhone 15 Pro Max 256GB</t>
        </is>
      </c>
      <c r="B9" s="37" t="n">
        <v>29590000</v>
      </c>
      <c r="C9" s="37" t="n">
        <v>29590000</v>
      </c>
      <c r="D9" s="3" t="n">
        <v>28990000</v>
      </c>
      <c r="E9" s="40" t="n">
        <v>28990000</v>
      </c>
      <c r="F9" s="40" t="n">
        <v>28990000</v>
      </c>
      <c r="G9" s="4" t="n">
        <v>28490000</v>
      </c>
      <c r="H9" t="inlineStr">
        <is>
          <t>x</t>
        </is>
      </c>
      <c r="I9" t="inlineStr">
        <is>
          <t>FPT</t>
        </is>
      </c>
      <c r="J9" t="inlineStr">
        <is>
          <t>Việt</t>
        </is>
      </c>
      <c r="K9" t="b">
        <v>1</v>
      </c>
    </row>
    <row r="10">
      <c r="A10" t="inlineStr">
        <is>
          <t>iPhone 14 Plus 128GB</t>
        </is>
      </c>
      <c r="B10" s="3" t="n">
        <v>20590000</v>
      </c>
      <c r="C10" s="3" t="n">
        <v>20590000</v>
      </c>
      <c r="D10" s="3" t="n">
        <v>19990000</v>
      </c>
      <c r="E10" s="40" t="n">
        <v>19690000</v>
      </c>
      <c r="F10" s="39" t="n">
        <v>19690000</v>
      </c>
      <c r="G10" s="4" t="n">
        <v>20090000</v>
      </c>
      <c r="I10" t="inlineStr">
        <is>
          <t>Viettel</t>
        </is>
      </c>
      <c r="J10" t="inlineStr">
        <is>
          <t>Sơn</t>
        </is>
      </c>
      <c r="K10" t="b">
        <v>1</v>
      </c>
    </row>
    <row r="11">
      <c r="A11" t="inlineStr">
        <is>
          <t>iPhone 14 128GB</t>
        </is>
      </c>
      <c r="B11" s="3" t="n">
        <v>17590000</v>
      </c>
      <c r="C11" s="3" t="n">
        <v>17590000</v>
      </c>
      <c r="D11" s="38" t="n">
        <v>17190000</v>
      </c>
      <c r="E11" s="40" t="n">
        <v>16990000</v>
      </c>
      <c r="F11" s="39" t="n">
        <v>16850000</v>
      </c>
      <c r="G11" s="4" t="n">
        <v>17290000</v>
      </c>
      <c r="I11" t="inlineStr">
        <is>
          <t>CPS</t>
        </is>
      </c>
      <c r="J11" t="inlineStr">
        <is>
          <t>Trang</t>
        </is>
      </c>
      <c r="K11" t="b">
        <v>1</v>
      </c>
    </row>
    <row r="12">
      <c r="A12" t="inlineStr">
        <is>
          <t>iPhone 13  128GB</t>
        </is>
      </c>
      <c r="B12" s="3" t="n">
        <v>13990000</v>
      </c>
      <c r="C12" s="3" t="n">
        <v>13990000</v>
      </c>
      <c r="D12" s="34" t="n">
        <v>13290000</v>
      </c>
      <c r="E12" s="40" t="n">
        <v>13290000</v>
      </c>
      <c r="F12" s="34" t="n">
        <v>13290000</v>
      </c>
      <c r="G12" s="3" t="inlineStr">
        <is>
          <t>12.990.000</t>
        </is>
      </c>
      <c r="I12" t="inlineStr">
        <is>
          <t>ShopDunk</t>
        </is>
      </c>
      <c r="J12" t="inlineStr">
        <is>
          <t>Đạt</t>
        </is>
      </c>
      <c r="K12" t="b">
        <v>1</v>
      </c>
    </row>
    <row r="13">
      <c r="A13" t="inlineStr">
        <is>
          <t>iPhone 12 64GB</t>
        </is>
      </c>
      <c r="B13" s="37" t="n">
        <v>11590000</v>
      </c>
      <c r="C13" s="37" t="n">
        <v>11590000</v>
      </c>
      <c r="D13" s="25" t="inlineStr">
        <is>
          <t>OOS</t>
        </is>
      </c>
      <c r="E13" s="37" t="n">
        <v>10990000</v>
      </c>
      <c r="F13" s="39" t="n">
        <v>10890000</v>
      </c>
      <c r="G13" s="4" t="n">
        <v>12290000</v>
      </c>
    </row>
    <row r="14">
      <c r="A14" t="inlineStr">
        <is>
          <t>iPhone 11 64GB</t>
        </is>
      </c>
      <c r="B14" s="37" t="n">
        <v>8990000</v>
      </c>
      <c r="C14" s="37" t="n">
        <v>8990000</v>
      </c>
      <c r="D14" s="3" t="n">
        <v>8690000</v>
      </c>
      <c r="E14" s="40" t="n">
        <v>8490000</v>
      </c>
      <c r="F14" s="34" t="n">
        <v>8390000</v>
      </c>
      <c r="G14" s="4" t="inlineStr">
        <is>
          <t>OOS</t>
        </is>
      </c>
    </row>
    <row r="15">
      <c r="A15" t="inlineStr">
        <is>
          <t>iPad Mini 7 128GB Wifi</t>
        </is>
      </c>
      <c r="B15" s="37" t="n">
        <v>13990000</v>
      </c>
      <c r="C15" s="37" t="n">
        <v>13990000</v>
      </c>
      <c r="D15" s="25" t="n">
        <v>13990000</v>
      </c>
      <c r="E15" s="37" t="inlineStr">
        <is>
          <t>OOS</t>
        </is>
      </c>
      <c r="F15" s="39" t="n">
        <v>13990000</v>
      </c>
      <c r="G15" s="4" t="n">
        <v>13990000</v>
      </c>
    </row>
    <row r="16">
      <c r="A16" t="inlineStr">
        <is>
          <t>iPad Gen 10th 64GB Wifi</t>
        </is>
      </c>
      <c r="B16" s="3" t="n">
        <v>9390000</v>
      </c>
      <c r="C16" s="3" t="n">
        <v>8990000</v>
      </c>
      <c r="D16" s="25" t="n">
        <v>8590000</v>
      </c>
      <c r="E16" s="38" t="n">
        <v>8490000</v>
      </c>
      <c r="F16" s="34" t="n">
        <v>8690000</v>
      </c>
      <c r="G16" s="4" t="n">
        <v>8790000</v>
      </c>
    </row>
    <row r="17">
      <c r="A17" t="inlineStr">
        <is>
          <t>iPad Gen 9th  64GB Wifi</t>
        </is>
      </c>
      <c r="B17" s="37" t="n">
        <v>7090000</v>
      </c>
      <c r="C17" s="37" t="n">
        <v>7090000</v>
      </c>
      <c r="D17" s="25" t="n">
        <v>7050000</v>
      </c>
      <c r="E17" s="40" t="n">
        <v>6990000</v>
      </c>
      <c r="F17" s="39" t="n">
        <v>7050000</v>
      </c>
      <c r="G17" s="4" t="n">
        <v>7090000</v>
      </c>
    </row>
    <row r="18">
      <c r="A18" t="inlineStr">
        <is>
          <t>iPad Air M2  11" 128 GB Wifi</t>
        </is>
      </c>
      <c r="B18" s="3" t="n">
        <v>15290000</v>
      </c>
      <c r="C18" s="25" t="n">
        <v>15090000</v>
      </c>
      <c r="D18" s="25" t="n">
        <v>14890000</v>
      </c>
      <c r="E18" s="38" t="n">
        <v>14642000</v>
      </c>
      <c r="F18" s="39" t="n">
        <v>14890000</v>
      </c>
      <c r="G18" s="3" t="n">
        <v>14390000</v>
      </c>
    </row>
    <row r="19">
      <c r="A19" t="inlineStr">
        <is>
          <t>iPad Air M2  13" 128 GB Wifi</t>
        </is>
      </c>
      <c r="B19" s="3" t="n">
        <v>20990000</v>
      </c>
      <c r="C19" s="25" t="n">
        <v>20840000</v>
      </c>
      <c r="D19" s="25" t="n">
        <v>20690000</v>
      </c>
      <c r="E19" s="40" t="n">
        <v>21275000</v>
      </c>
      <c r="F19" s="39" t="n">
        <v>20990000</v>
      </c>
      <c r="G19" s="4" t="n">
        <v>20990000</v>
      </c>
    </row>
    <row r="20">
      <c r="A20" t="inlineStr">
        <is>
          <t>iPad Pro  M4  11" 256 GB Wifi</t>
        </is>
      </c>
      <c r="B20" s="3" t="n">
        <v>27790000</v>
      </c>
      <c r="C20" s="25" t="n">
        <v>27490000</v>
      </c>
      <c r="D20" s="25" t="n">
        <v>27490000</v>
      </c>
      <c r="E20" s="40" t="n">
        <v>27190000</v>
      </c>
      <c r="F20" s="39" t="n">
        <v>27590000</v>
      </c>
      <c r="G20" s="4" t="n">
        <v>27190000</v>
      </c>
    </row>
    <row r="21">
      <c r="A21" t="inlineStr">
        <is>
          <t>iPad Pro  M4  13" 256 GB Wifi</t>
        </is>
      </c>
      <c r="B21" s="3" t="n">
        <v>37290000</v>
      </c>
      <c r="C21" s="37" t="inlineStr">
        <is>
          <t>OOS</t>
        </is>
      </c>
      <c r="D21" s="25" t="n">
        <v>36790000</v>
      </c>
      <c r="E21" s="37" t="n">
        <v>36490000</v>
      </c>
      <c r="F21" s="39" t="n">
        <v>36990000</v>
      </c>
      <c r="G21" s="4" t="n">
        <v>36490000</v>
      </c>
    </row>
    <row r="22">
      <c r="A22" t="inlineStr">
        <is>
          <t>AW SE 2 (40mm GPS)</t>
        </is>
      </c>
      <c r="B22" s="3" t="n">
        <v>5790000</v>
      </c>
      <c r="C22" s="3" t="n">
        <v>5790000</v>
      </c>
      <c r="D22" s="3" t="n">
        <v>5790000</v>
      </c>
      <c r="E22" s="40" t="n">
        <v>5790000</v>
      </c>
      <c r="F22" s="34" t="n">
        <v>5690000</v>
      </c>
      <c r="G22" s="4" t="n">
        <v>5790000</v>
      </c>
    </row>
    <row r="23">
      <c r="A23" t="inlineStr">
        <is>
          <t>AW SE 2 (40mm LTE)</t>
        </is>
      </c>
      <c r="B23" s="3" t="n">
        <v>7090000</v>
      </c>
      <c r="C23" s="3" t="n">
        <v>7090000</v>
      </c>
      <c r="D23" s="3" t="n">
        <v>7090000</v>
      </c>
      <c r="E23" s="40" t="n">
        <v>7290000</v>
      </c>
      <c r="F23" s="39" t="n">
        <v>7290000</v>
      </c>
      <c r="G23" s="4" t="n">
        <v>7190000</v>
      </c>
    </row>
    <row r="24">
      <c r="A24" t="inlineStr">
        <is>
          <t>AW SE 2 (44mm GPS)</t>
        </is>
      </c>
      <c r="B24" s="3" t="n">
        <v>6590000</v>
      </c>
      <c r="C24" s="3" t="n">
        <v>6590000</v>
      </c>
      <c r="D24" s="3" t="n">
        <v>6590000</v>
      </c>
      <c r="E24" s="40" t="n">
        <v>6590000</v>
      </c>
      <c r="F24" s="39" t="n">
        <v>6790000</v>
      </c>
      <c r="G24" s="4" t="n">
        <v>6590000</v>
      </c>
    </row>
    <row r="25">
      <c r="A25" t="inlineStr">
        <is>
          <t>AW SE 2 (44mm LTE)</t>
        </is>
      </c>
      <c r="B25" s="3" t="n">
        <v>7890000</v>
      </c>
      <c r="C25" s="3" t="n">
        <v>7890000</v>
      </c>
      <c r="D25" s="3" t="n">
        <v>7890000</v>
      </c>
      <c r="E25" s="40" t="n">
        <v>7990000</v>
      </c>
      <c r="F25" s="39" t="n">
        <v>8090000</v>
      </c>
      <c r="G25" s="4" t="inlineStr">
        <is>
          <t>7.890.000</t>
        </is>
      </c>
    </row>
    <row r="26">
      <c r="A26" t="inlineStr">
        <is>
          <t>AW S10 (42mm GPS)</t>
        </is>
      </c>
      <c r="B26" s="3" t="n">
        <v>10790000</v>
      </c>
      <c r="C26" s="3" t="n">
        <v>10790000</v>
      </c>
      <c r="D26" s="3" t="n">
        <v>9990000</v>
      </c>
      <c r="E26" s="40" t="n">
        <v>10490000</v>
      </c>
      <c r="F26" s="39" t="n">
        <v>10890000</v>
      </c>
      <c r="G26" s="4" t="n">
        <v>10990000</v>
      </c>
    </row>
    <row r="27">
      <c r="A27" t="inlineStr">
        <is>
          <t>AW S10 (42mm CEL)</t>
        </is>
      </c>
      <c r="B27" s="3" t="n">
        <v>13390000</v>
      </c>
      <c r="C27" s="3" t="n">
        <v>13390000</v>
      </c>
      <c r="D27" s="25" t="n">
        <v>13590000</v>
      </c>
      <c r="E27" s="40" t="n">
        <v>12990000</v>
      </c>
      <c r="F27" s="39" t="n">
        <v>13590000</v>
      </c>
      <c r="G27" s="4" t="n">
        <v>13590000</v>
      </c>
    </row>
    <row r="28">
      <c r="A28" t="inlineStr">
        <is>
          <t>AW S10 (46mm GPS)</t>
        </is>
      </c>
      <c r="B28" s="37" t="n">
        <v>11790000</v>
      </c>
      <c r="C28" s="37" t="n">
        <v>11790000</v>
      </c>
      <c r="D28" s="25" t="n">
        <v>11790000</v>
      </c>
      <c r="E28" s="40" t="n">
        <v>11290000</v>
      </c>
      <c r="F28" s="39" t="n">
        <v>11690000</v>
      </c>
      <c r="G28" s="4" t="inlineStr">
        <is>
          <t>11.790.000</t>
        </is>
      </c>
    </row>
    <row r="29">
      <c r="A29" t="inlineStr">
        <is>
          <t>AW S10 (46mm CEL)</t>
        </is>
      </c>
      <c r="B29" s="37" t="n">
        <v>14390000</v>
      </c>
      <c r="C29" s="37" t="n">
        <v>14390000</v>
      </c>
      <c r="D29" s="25" t="n">
        <v>14390000</v>
      </c>
      <c r="E29" s="40" t="n">
        <v>13890000</v>
      </c>
      <c r="F29" s="39" t="n">
        <v>14390000</v>
      </c>
      <c r="G29" s="4" t="n">
        <v>14390000</v>
      </c>
    </row>
    <row r="30">
      <c r="A30" t="inlineStr">
        <is>
          <t>AW Ultra 2 (49mm)</t>
        </is>
      </c>
      <c r="B30" s="37" t="n">
        <v>22990000</v>
      </c>
      <c r="C30" s="37" t="n">
        <v>22990000</v>
      </c>
      <c r="D30" s="25" t="n">
        <v>22990000</v>
      </c>
      <c r="E30" s="37" t="inlineStr">
        <is>
          <t>OOS</t>
        </is>
      </c>
      <c r="F30" s="40" t="n">
        <v>22590000</v>
      </c>
      <c r="G30" s="4" t="n">
        <v>20890000</v>
      </c>
    </row>
    <row r="31">
      <c r="A31" t="inlineStr">
        <is>
          <t>AirPods Pro 2 - 2023 (C-Type)</t>
        </is>
      </c>
      <c r="B31" s="3" t="n">
        <v>5690000</v>
      </c>
      <c r="C31" s="3" t="n">
        <v>5690000</v>
      </c>
      <c r="D31" s="39" t="n">
        <v>5590000</v>
      </c>
      <c r="E31" s="40" t="n">
        <v>5390000</v>
      </c>
      <c r="F31" s="40" t="n">
        <v>5490000</v>
      </c>
      <c r="G31" s="4" t="n">
        <v>5450000</v>
      </c>
    </row>
    <row r="32">
      <c r="A32" t="inlineStr">
        <is>
          <t>AirPods 4 ANC</t>
        </is>
      </c>
      <c r="B32" s="3" t="n">
        <v>4590000</v>
      </c>
      <c r="C32" s="3" t="n">
        <v>4590000</v>
      </c>
      <c r="D32" s="38" t="n">
        <v>4590000</v>
      </c>
      <c r="E32" s="40" t="n">
        <v>4590000</v>
      </c>
      <c r="F32" s="38" t="n">
        <v>4590000</v>
      </c>
      <c r="G32" s="4" t="n">
        <v>4590000</v>
      </c>
    </row>
    <row r="33">
      <c r="A33" t="inlineStr">
        <is>
          <t>AirPods 4 with charging case</t>
        </is>
      </c>
      <c r="B33" s="3" t="n">
        <v>3390000</v>
      </c>
      <c r="C33" s="3" t="n">
        <v>3390000</v>
      </c>
      <c r="D33" s="38" t="n">
        <v>3390000</v>
      </c>
      <c r="E33" s="40" t="n">
        <v>3290000</v>
      </c>
      <c r="F33" s="40" t="n">
        <v>3290000</v>
      </c>
      <c r="G33" s="4" t="n">
        <v>3360000</v>
      </c>
    </row>
    <row r="34">
      <c r="A34" t="inlineStr">
        <is>
          <t>AirPods 3 with charging case</t>
        </is>
      </c>
      <c r="B34" s="37" t="n">
        <v>4090000</v>
      </c>
      <c r="C34" s="37" t="n">
        <v>4090000</v>
      </c>
      <c r="D34" s="43" t="n">
        <v>3590000</v>
      </c>
      <c r="E34" s="40" t="n">
        <v>3890000</v>
      </c>
      <c r="F34" s="39" t="n">
        <v>3790000</v>
      </c>
      <c r="G34" s="4" t="inlineStr">
        <is>
          <t>3.890.000</t>
        </is>
      </c>
    </row>
    <row r="35">
      <c r="A35" t="inlineStr">
        <is>
          <t>AirPods 2 with charging case</t>
        </is>
      </c>
      <c r="B35" s="37" t="inlineStr">
        <is>
          <t>OOS</t>
        </is>
      </c>
      <c r="C35" s="37" t="inlineStr">
        <is>
          <t>OOS</t>
        </is>
      </c>
      <c r="D35" s="40" t="n">
        <v>2990000</v>
      </c>
      <c r="E35" s="40" t="inlineStr">
        <is>
          <t>OOS</t>
        </is>
      </c>
      <c r="F35" s="39" t="n">
        <v>3090000</v>
      </c>
      <c r="G35" s="4" t="n">
        <v>2750000</v>
      </c>
    </row>
    <row r="36">
      <c r="A36" t="inlineStr">
        <is>
          <t>MacBook Air 13" M1 8/256Gb</t>
        </is>
      </c>
      <c r="B36" s="37" t="n">
        <v>18190000</v>
      </c>
      <c r="C36" s="42" t="n">
        <v>17490000</v>
      </c>
      <c r="D36" s="34" t="n">
        <v>17790000</v>
      </c>
      <c r="E36" s="37" t="n"/>
      <c r="F36" s="34" t="n">
        <v>17590000</v>
      </c>
      <c r="G36" s="3" t="n">
        <v>16990000</v>
      </c>
    </row>
    <row r="37">
      <c r="A37" t="inlineStr">
        <is>
          <t>MacBook Air 13" M2 8/256GB</t>
        </is>
      </c>
      <c r="B37" s="3" t="n">
        <v>22990000</v>
      </c>
      <c r="C37" s="25" t="n">
        <v>23290000</v>
      </c>
      <c r="D37" s="3" t="n">
        <v>22490000</v>
      </c>
      <c r="E37" s="37" t="n"/>
      <c r="F37" s="34" t="n">
        <v>22290000</v>
      </c>
      <c r="G37" s="3" t="n">
        <v>22290000</v>
      </c>
    </row>
    <row r="38">
      <c r="A38" t="inlineStr">
        <is>
          <t>MacBook Air 13" M3 8/256GB</t>
        </is>
      </c>
      <c r="B38" s="37" t="n">
        <v>26090000</v>
      </c>
      <c r="C38" s="37" t="inlineStr">
        <is>
          <t>OOS</t>
        </is>
      </c>
      <c r="D38" s="39" t="n">
        <v>25790000</v>
      </c>
      <c r="E38" s="37" t="n"/>
      <c r="F38" s="34" t="n">
        <v>25990000</v>
      </c>
      <c r="G38" s="3" t="n">
        <v>25990000</v>
      </c>
    </row>
    <row r="39">
      <c r="A39" t="inlineStr">
        <is>
          <t>MacBook Air 15" M3 8/256GB</t>
        </is>
      </c>
      <c r="B39" s="3" t="n">
        <v>30790000</v>
      </c>
      <c r="C39" s="37" t="inlineStr">
        <is>
          <t>OOS</t>
        </is>
      </c>
      <c r="D39" s="25" t="n">
        <v>31190000</v>
      </c>
      <c r="E39" s="37" t="n"/>
      <c r="F39" s="34" t="n">
        <v>30690000</v>
      </c>
      <c r="G39" s="3" t="n">
        <v>30190000</v>
      </c>
    </row>
    <row r="40">
      <c r="A40" t="inlineStr">
        <is>
          <t>MacBook Pro 14" M3 8/512GB</t>
        </is>
      </c>
      <c r="B40" s="3" t="n">
        <v>36490000</v>
      </c>
      <c r="C40" s="37" t="inlineStr">
        <is>
          <t>OOS</t>
        </is>
      </c>
      <c r="D40" s="25" t="n">
        <v>36290000</v>
      </c>
      <c r="E40" s="37" t="n"/>
      <c r="F40" s="39" t="inlineStr">
        <is>
          <t>OOS</t>
        </is>
      </c>
      <c r="G40"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4.xml><?xml version="1.0" encoding="utf-8"?>
<worksheet xmlns="http://schemas.openxmlformats.org/spreadsheetml/2006/main">
  <sheetPr codeName="Sheet33">
    <outlinePr summaryBelow="1" summaryRight="1"/>
    <pageSetUpPr/>
  </sheetPr>
  <dimension ref="A1:K40"/>
  <sheetViews>
    <sheetView zoomScale="114" zoomScaleNormal="160" workbookViewId="0">
      <pane xSplit="1" ySplit="1" topLeftCell="H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21890000</v>
      </c>
      <c r="C2" s="3" t="n">
        <v>21890000</v>
      </c>
      <c r="D2" s="43" t="n">
        <v>21490000</v>
      </c>
      <c r="E2" s="40" t="n">
        <v>21990000</v>
      </c>
      <c r="F2" s="38" t="n">
        <v>21490000</v>
      </c>
      <c r="G2" s="4" t="n">
        <v>21490000</v>
      </c>
    </row>
    <row r="3">
      <c r="A3" t="inlineStr">
        <is>
          <t>iPhone 16  Plus 128GB</t>
        </is>
      </c>
      <c r="B3" s="3" t="n">
        <v>25390000</v>
      </c>
      <c r="C3" s="3" t="n">
        <v>25390000</v>
      </c>
      <c r="D3" s="43" t="n">
        <v>24990000</v>
      </c>
      <c r="E3" s="40" t="n">
        <v>24990000</v>
      </c>
      <c r="F3" s="40" t="n">
        <v>24890000</v>
      </c>
      <c r="G3" s="4" t="n">
        <v>24890000</v>
      </c>
    </row>
    <row r="4">
      <c r="A4" t="inlineStr">
        <is>
          <t>iPhone 16 Pro  128GB</t>
        </is>
      </c>
      <c r="B4" s="3" t="n">
        <v>28190000</v>
      </c>
      <c r="C4" s="3" t="n">
        <v>28190000</v>
      </c>
      <c r="D4" s="42" t="n">
        <v>27890000</v>
      </c>
      <c r="E4" s="38" t="n">
        <v>28190000</v>
      </c>
      <c r="F4" s="38" t="n">
        <v>27790000</v>
      </c>
      <c r="G4" s="3" t="n">
        <v>27790000</v>
      </c>
    </row>
    <row r="5">
      <c r="A5" t="inlineStr">
        <is>
          <t>iPhone 16 Pro Max 256GB</t>
        </is>
      </c>
      <c r="B5" s="3" t="n">
        <v>33890000</v>
      </c>
      <c r="C5" s="3" t="n">
        <v>33890000</v>
      </c>
      <c r="D5" s="42" t="n">
        <v>33490000</v>
      </c>
      <c r="E5" s="40" t="n">
        <v>32990000</v>
      </c>
      <c r="F5" s="38" t="n">
        <v>33490000</v>
      </c>
      <c r="G5" s="3" t="n">
        <v>33490000</v>
      </c>
    </row>
    <row r="6">
      <c r="A6" t="inlineStr">
        <is>
          <t>iPhone 15  128GB</t>
        </is>
      </c>
      <c r="B6" s="3" t="n">
        <v>19590000</v>
      </c>
      <c r="C6" s="3" t="n">
        <v>19590000</v>
      </c>
      <c r="D6" s="42" t="n">
        <v>19490000</v>
      </c>
      <c r="E6" s="40" t="n">
        <v>19490000</v>
      </c>
      <c r="F6" s="40" t="n">
        <v>19490000</v>
      </c>
      <c r="G6" s="4" t="inlineStr">
        <is>
          <t>19.490.000</t>
        </is>
      </c>
    </row>
    <row r="7">
      <c r="A7" t="inlineStr">
        <is>
          <t>iPhone 15  Plus 128GB</t>
        </is>
      </c>
      <c r="B7" s="3" t="n">
        <v>22590000</v>
      </c>
      <c r="C7" s="3" t="n">
        <v>22590000</v>
      </c>
      <c r="D7" s="42" t="n">
        <v>22590000</v>
      </c>
      <c r="E7" s="40" t="n">
        <v>22490000</v>
      </c>
      <c r="F7" s="38" t="n">
        <v>22490000</v>
      </c>
      <c r="G7" s="4" t="n">
        <v>22390000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 t="n">
        <v>29190000</v>
      </c>
      <c r="C9" s="3" t="n">
        <v>29190000</v>
      </c>
      <c r="D9" s="3" t="n">
        <v>29290000</v>
      </c>
      <c r="E9" s="40" t="n">
        <v>28990000</v>
      </c>
      <c r="F9" s="38" t="n">
        <v>29190000</v>
      </c>
      <c r="G9" s="3" t="n">
        <v>28690000</v>
      </c>
      <c r="H9" t="inlineStr">
        <is>
          <t>x</t>
        </is>
      </c>
      <c r="I9" t="inlineStr">
        <is>
          <t>FPT</t>
        </is>
      </c>
      <c r="J9" t="inlineStr">
        <is>
          <t>Việt</t>
        </is>
      </c>
      <c r="K9" t="b">
        <v>1</v>
      </c>
    </row>
    <row r="10">
      <c r="A10" t="inlineStr">
        <is>
          <t>iPhone 14 Plus 128GB</t>
        </is>
      </c>
      <c r="B10" s="3" t="n">
        <v>19690000</v>
      </c>
      <c r="C10" s="3" t="n">
        <v>19690000</v>
      </c>
      <c r="D10" s="3" t="n">
        <v>19690000</v>
      </c>
      <c r="E10" s="40" t="n">
        <v>19690000</v>
      </c>
      <c r="F10" s="39" t="n">
        <v>19690000</v>
      </c>
      <c r="G10" s="4" t="n">
        <v>20090000</v>
      </c>
      <c r="I10" t="inlineStr">
        <is>
          <t>Viettel</t>
        </is>
      </c>
      <c r="J10" t="inlineStr">
        <is>
          <t>Sơn</t>
        </is>
      </c>
      <c r="K10" t="b">
        <v>1</v>
      </c>
    </row>
    <row r="11">
      <c r="A11" t="inlineStr">
        <is>
          <t>iPhone 14 128GB</t>
        </is>
      </c>
      <c r="B11" s="3" t="n">
        <v>17090000</v>
      </c>
      <c r="C11" s="3" t="n">
        <v>17090000</v>
      </c>
      <c r="D11" s="38" t="n">
        <v>16990000</v>
      </c>
      <c r="E11" s="38" t="n">
        <v>16490000</v>
      </c>
      <c r="F11" s="39" t="n">
        <v>16850000</v>
      </c>
      <c r="G11" s="4" t="n">
        <v>17290000</v>
      </c>
      <c r="I11" t="inlineStr">
        <is>
          <t>CPS</t>
        </is>
      </c>
      <c r="J11" t="inlineStr">
        <is>
          <t>Trang</t>
        </is>
      </c>
      <c r="K11" t="b">
        <v>1</v>
      </c>
    </row>
    <row r="12">
      <c r="A12" t="inlineStr">
        <is>
          <t>iPhone 13  128GB</t>
        </is>
      </c>
      <c r="B12" s="3" t="n">
        <v>13490000</v>
      </c>
      <c r="C12" s="3" t="n">
        <v>13490000</v>
      </c>
      <c r="D12" s="34" t="n">
        <v>13490000</v>
      </c>
      <c r="E12" s="40" t="n">
        <v>13290000</v>
      </c>
      <c r="F12" s="34" t="n">
        <v>13390000</v>
      </c>
      <c r="G12" s="4" t="inlineStr">
        <is>
          <t>12.990.000</t>
        </is>
      </c>
      <c r="I12" t="inlineStr">
        <is>
          <t>ShopDunk</t>
        </is>
      </c>
      <c r="J12" t="inlineStr">
        <is>
          <t>Đạt</t>
        </is>
      </c>
      <c r="K12" t="b">
        <v>1</v>
      </c>
    </row>
    <row r="13">
      <c r="A13" t="inlineStr">
        <is>
          <t>iPhone 12 64GB</t>
        </is>
      </c>
      <c r="B13" s="3" t="n">
        <v>11490000</v>
      </c>
      <c r="C13" s="3" t="n">
        <v>11490000</v>
      </c>
      <c r="D13" s="25" t="inlineStr">
        <is>
          <t>OOS</t>
        </is>
      </c>
      <c r="E13" s="37" t="n">
        <v>10990000</v>
      </c>
      <c r="F13" s="39" t="n">
        <v>10890000</v>
      </c>
      <c r="G13" s="4" t="n">
        <v>12290000</v>
      </c>
    </row>
    <row r="14">
      <c r="A14" t="inlineStr">
        <is>
          <t>iPhone 11 64GB</t>
        </is>
      </c>
      <c r="B14" s="3" t="n">
        <v>8740000</v>
      </c>
      <c r="C14" s="3" t="n">
        <v>8740000</v>
      </c>
      <c r="D14" s="3" t="n">
        <v>8790000</v>
      </c>
      <c r="E14" s="40" t="n">
        <v>8490000</v>
      </c>
      <c r="F14" s="34" t="n">
        <v>8790000</v>
      </c>
      <c r="G14" s="4" t="inlineStr">
        <is>
          <t>OOS</t>
        </is>
      </c>
    </row>
    <row r="15">
      <c r="A15" t="inlineStr">
        <is>
          <t>iPad Mini 7 128GB Wifi</t>
        </is>
      </c>
      <c r="B15" s="3" t="n">
        <v>13990000</v>
      </c>
      <c r="C15" s="25" t="n">
        <v>13990000</v>
      </c>
      <c r="D15" s="25" t="n">
        <v>13990000</v>
      </c>
      <c r="E15" s="37" t="inlineStr">
        <is>
          <t>OOS</t>
        </is>
      </c>
      <c r="F15" s="39" t="n">
        <v>13990000</v>
      </c>
      <c r="G15" s="4" t="n">
        <v>13990000</v>
      </c>
    </row>
    <row r="16">
      <c r="A16" t="inlineStr">
        <is>
          <t>iPad Gen 10th 64GB Wifi</t>
        </is>
      </c>
      <c r="B16" s="3" t="n">
        <v>9690000</v>
      </c>
      <c r="C16" s="3" t="n">
        <v>9690000</v>
      </c>
      <c r="D16" s="3" t="n">
        <v>9590000</v>
      </c>
      <c r="E16" s="38" t="n">
        <v>9290000</v>
      </c>
      <c r="F16" s="34" t="n">
        <v>9390000</v>
      </c>
      <c r="G16" s="3" t="n">
        <v>9290000</v>
      </c>
    </row>
    <row r="17">
      <c r="A17" t="inlineStr">
        <is>
          <t>iPad Gen 9th  64GB Wifi</t>
        </is>
      </c>
      <c r="B17" s="3" t="n">
        <v>7040000</v>
      </c>
      <c r="C17" s="3" t="n">
        <v>7040000</v>
      </c>
      <c r="D17" s="25" t="n">
        <v>7050000</v>
      </c>
      <c r="E17" s="40" t="n">
        <v>6990000</v>
      </c>
      <c r="F17" s="39" t="n">
        <v>7050000</v>
      </c>
      <c r="G17" s="4" t="n">
        <v>7090000</v>
      </c>
    </row>
    <row r="18">
      <c r="A18" t="inlineStr">
        <is>
          <t>iPad Air M2  11" 128 GB Wifi</t>
        </is>
      </c>
      <c r="B18" s="3" t="n">
        <v>16890000</v>
      </c>
      <c r="C18" s="3" t="n">
        <v>16890000</v>
      </c>
      <c r="D18" s="3" t="n">
        <v>16490000</v>
      </c>
      <c r="E18" s="38" t="n">
        <v>15830000</v>
      </c>
      <c r="F18" s="34" t="n">
        <v>16490000</v>
      </c>
      <c r="G18" s="3" t="n">
        <v>15990000</v>
      </c>
    </row>
    <row r="19">
      <c r="A19" t="inlineStr">
        <is>
          <t>iPad Air M2  13" 128 GB Wifi</t>
        </is>
      </c>
      <c r="B19" s="3" t="n">
        <v>22290000</v>
      </c>
      <c r="C19" s="3" t="n">
        <v>22290000</v>
      </c>
      <c r="D19" s="3" t="n">
        <v>21690000</v>
      </c>
      <c r="E19" s="40" t="n">
        <v>21275000</v>
      </c>
      <c r="F19" s="34" t="n">
        <v>21490000</v>
      </c>
      <c r="G19" s="4" t="n">
        <v>20990000</v>
      </c>
    </row>
    <row r="20">
      <c r="A20" t="inlineStr">
        <is>
          <t>iPad Pro  M4  11" 256 GB Wifi</t>
        </is>
      </c>
      <c r="B20" s="3" t="n">
        <v>27590000</v>
      </c>
      <c r="C20" s="3" t="n">
        <v>27590000</v>
      </c>
      <c r="D20" s="25" t="n">
        <v>27490000</v>
      </c>
      <c r="E20" s="40" t="n">
        <v>26918000</v>
      </c>
      <c r="F20" s="39" t="n">
        <v>27590000</v>
      </c>
      <c r="G20" s="4" t="n">
        <v>27190000</v>
      </c>
    </row>
    <row r="21">
      <c r="A21" t="inlineStr">
        <is>
          <t>iPad Pro  M4  13" 256 GB Wifi</t>
        </is>
      </c>
      <c r="B21" s="3" t="n">
        <v>37090000</v>
      </c>
      <c r="C21" s="37" t="inlineStr">
        <is>
          <t>OOS</t>
        </is>
      </c>
      <c r="D21" s="25" t="n">
        <v>36790000</v>
      </c>
      <c r="E21" s="38" t="n">
        <v>36490000</v>
      </c>
      <c r="F21" s="39" t="n">
        <v>36990000</v>
      </c>
      <c r="G21" s="4" t="n">
        <v>36490000</v>
      </c>
    </row>
    <row r="22">
      <c r="A22" t="inlineStr">
        <is>
          <t>AW SE 2 (40mm GPS)</t>
        </is>
      </c>
      <c r="B22" s="3" t="n">
        <v>5940000</v>
      </c>
      <c r="C22" s="3" t="n">
        <v>5940000</v>
      </c>
      <c r="D22" s="25" t="n">
        <v>5790000</v>
      </c>
      <c r="E22" s="40" t="n">
        <v>5790000</v>
      </c>
      <c r="F22" s="34" t="n">
        <v>5990000</v>
      </c>
      <c r="G22" s="4" t="n">
        <v>5790000</v>
      </c>
    </row>
    <row r="23">
      <c r="A23" t="inlineStr">
        <is>
          <t>AW SE 2 (40mm LTE)</t>
        </is>
      </c>
      <c r="B23" s="3" t="n">
        <v>7240000</v>
      </c>
      <c r="C23" s="3" t="n">
        <v>7240000</v>
      </c>
      <c r="D23" s="25" t="n">
        <v>7090000</v>
      </c>
      <c r="E23" s="40" t="n">
        <v>7290000</v>
      </c>
      <c r="F23" s="39" t="n">
        <v>7290000</v>
      </c>
      <c r="G23" s="3" t="n">
        <v>7290000</v>
      </c>
    </row>
    <row r="24">
      <c r="A24" t="inlineStr">
        <is>
          <t>AW SE 2 (44mm GPS)</t>
        </is>
      </c>
      <c r="B24" s="3" t="n">
        <v>6740000</v>
      </c>
      <c r="C24" s="3" t="n">
        <v>6740000</v>
      </c>
      <c r="D24" s="25" t="n">
        <v>6590000</v>
      </c>
      <c r="E24" s="40" t="n">
        <v>6590000</v>
      </c>
      <c r="F24" s="39" t="n">
        <v>6790000</v>
      </c>
      <c r="G24" s="4" t="n">
        <v>6590000</v>
      </c>
    </row>
    <row r="25">
      <c r="A25" t="inlineStr">
        <is>
          <t>AW SE 2 (44mm LTE)</t>
        </is>
      </c>
      <c r="B25" s="3" t="n">
        <v>8040000</v>
      </c>
      <c r="C25" s="3" t="n">
        <v>8040000</v>
      </c>
      <c r="D25" s="25" t="n">
        <v>7890000</v>
      </c>
      <c r="E25" s="40" t="n">
        <v>7990000</v>
      </c>
      <c r="F25" s="39" t="n">
        <v>8090000</v>
      </c>
      <c r="G25" s="4" t="inlineStr">
        <is>
          <t>7.890.000</t>
        </is>
      </c>
    </row>
    <row r="26">
      <c r="A26" t="inlineStr">
        <is>
          <t>AW S10 (42mm GPS)</t>
        </is>
      </c>
      <c r="B26" s="37" t="n">
        <v>10790000</v>
      </c>
      <c r="C26" s="37" t="n">
        <v>10790000</v>
      </c>
      <c r="D26" s="3" t="n">
        <v>10990000</v>
      </c>
      <c r="E26" s="40" t="n">
        <v>10490000</v>
      </c>
      <c r="F26" s="39" t="n">
        <v>10890000</v>
      </c>
      <c r="G26" s="4" t="n">
        <v>10990000</v>
      </c>
    </row>
    <row r="27">
      <c r="A27" t="inlineStr">
        <is>
          <t>AW S10 (42mm CEL)</t>
        </is>
      </c>
      <c r="B27" s="3" t="n">
        <v>13440000</v>
      </c>
      <c r="C27" s="3" t="n">
        <v>13440000</v>
      </c>
      <c r="D27" s="25" t="n">
        <v>13590000</v>
      </c>
      <c r="E27" s="40" t="n">
        <v>12990000</v>
      </c>
      <c r="F27" s="39" t="n">
        <v>13590000</v>
      </c>
      <c r="G27" s="4" t="n">
        <v>13590000</v>
      </c>
    </row>
    <row r="28">
      <c r="A28" t="inlineStr">
        <is>
          <t>AW S10 (46mm GPS)</t>
        </is>
      </c>
      <c r="B28" s="3" t="n">
        <v>11740000</v>
      </c>
      <c r="C28" s="3" t="n">
        <v>11740000</v>
      </c>
      <c r="D28" s="25" t="n">
        <v>11790000</v>
      </c>
      <c r="E28" s="40" t="n">
        <v>11290000</v>
      </c>
      <c r="F28" s="39" t="n">
        <v>11690000</v>
      </c>
      <c r="G28" s="4" t="inlineStr">
        <is>
          <t>11.790.000</t>
        </is>
      </c>
    </row>
    <row r="29">
      <c r="A29" t="inlineStr">
        <is>
          <t>AW S10 (46mm CEL)</t>
        </is>
      </c>
      <c r="B29" s="3" t="n">
        <v>14340000</v>
      </c>
      <c r="C29" s="3" t="n">
        <v>14340000</v>
      </c>
      <c r="D29" s="25" t="n">
        <v>14390000</v>
      </c>
      <c r="E29" s="40" t="n">
        <v>13890000</v>
      </c>
      <c r="F29" s="39" t="n">
        <v>14390000</v>
      </c>
      <c r="G29" s="4" t="n">
        <v>14390000</v>
      </c>
    </row>
    <row r="30">
      <c r="A30" t="inlineStr">
        <is>
          <t>AW Ultra 2 (49mm)</t>
        </is>
      </c>
      <c r="B30" s="3" t="n">
        <v>22290000</v>
      </c>
      <c r="C30" s="3" t="n">
        <v>22290000</v>
      </c>
      <c r="D30" s="25" t="n">
        <v>22990000</v>
      </c>
      <c r="E30" s="38" t="n">
        <v>21770000</v>
      </c>
      <c r="F30" s="40" t="n">
        <v>22590000</v>
      </c>
      <c r="G30" s="3" t="n">
        <v>22990000</v>
      </c>
    </row>
    <row r="31">
      <c r="A31" t="inlineStr">
        <is>
          <t>AirPods Pro 2 - 2023 (C-Type)</t>
        </is>
      </c>
      <c r="B31" s="3" t="n">
        <v>5740000</v>
      </c>
      <c r="C31" s="3" t="n">
        <v>5740000</v>
      </c>
      <c r="D31" s="34" t="n">
        <v>5690000</v>
      </c>
      <c r="E31" s="38" t="n">
        <v>5590000</v>
      </c>
      <c r="F31" s="38" t="n">
        <v>5650000</v>
      </c>
      <c r="G31" s="4" t="n">
        <v>5450000</v>
      </c>
    </row>
    <row r="32">
      <c r="A32" t="inlineStr">
        <is>
          <t>AirPods 4 ANC</t>
        </is>
      </c>
      <c r="B32" s="3" t="n">
        <v>4590000</v>
      </c>
      <c r="C32" s="25" t="n">
        <v>4590000</v>
      </c>
      <c r="D32" s="40" t="n">
        <v>4590000</v>
      </c>
      <c r="E32" s="40" t="n">
        <v>4590000</v>
      </c>
      <c r="F32" s="40" t="n">
        <v>4590000</v>
      </c>
      <c r="G32" s="4" t="n">
        <v>4590000</v>
      </c>
    </row>
    <row r="33">
      <c r="A33" t="inlineStr">
        <is>
          <t>AirPods 4 with charging case</t>
        </is>
      </c>
      <c r="B33" s="37" t="n">
        <v>3390000</v>
      </c>
      <c r="C33" s="37" t="n">
        <v>3390000</v>
      </c>
      <c r="D33" s="40" t="n">
        <v>3390000</v>
      </c>
      <c r="E33" s="40" t="n">
        <v>3290000</v>
      </c>
      <c r="F33" s="40" t="n">
        <v>3290000</v>
      </c>
      <c r="G33" s="4" t="n">
        <v>3360000</v>
      </c>
    </row>
    <row r="34">
      <c r="A34" t="inlineStr">
        <is>
          <t>AirPods 3 with charging case</t>
        </is>
      </c>
      <c r="B34" s="3" t="n">
        <v>3990000</v>
      </c>
      <c r="C34" s="3" t="n">
        <v>3990000</v>
      </c>
      <c r="D34" s="42" t="n">
        <v>3990000</v>
      </c>
      <c r="E34" s="38" t="n">
        <v>4150000</v>
      </c>
      <c r="F34" s="39" t="n">
        <v>3790000</v>
      </c>
      <c r="G34" s="4" t="inlineStr">
        <is>
          <t>OOS</t>
        </is>
      </c>
    </row>
    <row r="35">
      <c r="A35" t="inlineStr">
        <is>
          <t>AirPods 2 with charging case</t>
        </is>
      </c>
      <c r="B35" s="37" t="inlineStr">
        <is>
          <t>OOS</t>
        </is>
      </c>
      <c r="C35" s="37" t="inlineStr">
        <is>
          <t>OOS</t>
        </is>
      </c>
      <c r="D35" s="40" t="n">
        <v>2990000</v>
      </c>
      <c r="E35" s="40" t="inlineStr">
        <is>
          <t>OOS</t>
        </is>
      </c>
      <c r="F35" s="39" t="n">
        <v>3090000</v>
      </c>
      <c r="G35" s="4" t="inlineStr">
        <is>
          <t>OOS</t>
        </is>
      </c>
    </row>
    <row r="36">
      <c r="A36" t="inlineStr">
        <is>
          <t>MacBook Air 13" M1 8/256Gb</t>
        </is>
      </c>
      <c r="B36" s="3" t="n">
        <v>17990000</v>
      </c>
      <c r="C36" s="3" t="n">
        <v>17990000</v>
      </c>
      <c r="D36" s="34" t="n">
        <v>17990000</v>
      </c>
      <c r="E36" s="37" t="n"/>
      <c r="F36" s="34" t="n">
        <v>18090000</v>
      </c>
      <c r="G36" s="3" t="n">
        <v>17490000</v>
      </c>
    </row>
    <row r="37">
      <c r="A37" t="inlineStr">
        <is>
          <t>MacBook Air 13" M2 16/256GB</t>
        </is>
      </c>
      <c r="B37" s="3" t="n">
        <v>24290000</v>
      </c>
      <c r="C37" s="25" t="n">
        <v>24290000</v>
      </c>
      <c r="D37" s="3" t="n">
        <v>22390000</v>
      </c>
      <c r="E37" s="37" t="n"/>
      <c r="F37" s="34" t="n">
        <v>24490000</v>
      </c>
      <c r="G37" s="4" t="n">
        <v>22290000</v>
      </c>
    </row>
    <row r="38">
      <c r="A38" t="inlineStr">
        <is>
          <t>MacBook Air 13" M3 16/256GB</t>
        </is>
      </c>
      <c r="B38" s="37" t="n">
        <v>27490000</v>
      </c>
      <c r="C38" s="37" t="inlineStr">
        <is>
          <t>OOS</t>
        </is>
      </c>
      <c r="D38" s="34" t="n">
        <v>25490000</v>
      </c>
      <c r="E38" s="37" t="n"/>
      <c r="F38" s="39" t="n">
        <v>25990000</v>
      </c>
      <c r="G38" s="4" t="n">
        <v>25990000</v>
      </c>
    </row>
    <row r="39">
      <c r="A39" t="inlineStr">
        <is>
          <t>MacBook Air 15" M3 16/256GB</t>
        </is>
      </c>
      <c r="B39" s="3" t="n">
        <v>32590000</v>
      </c>
      <c r="C39" s="37" t="inlineStr">
        <is>
          <t>OOS</t>
        </is>
      </c>
      <c r="D39" s="25" t="n">
        <v>31190000</v>
      </c>
      <c r="E39" s="37" t="n"/>
      <c r="F39" s="39" t="n">
        <v>30690000</v>
      </c>
      <c r="G39" s="4" t="n">
        <v>30190000</v>
      </c>
    </row>
    <row r="40">
      <c r="A40" t="inlineStr">
        <is>
          <t>MacBook Pro 14" M3 8/512GB</t>
        </is>
      </c>
      <c r="B40" s="3" t="n">
        <v>35790000</v>
      </c>
      <c r="C40" s="37" t="inlineStr">
        <is>
          <t>OOS</t>
        </is>
      </c>
      <c r="D40" s="3" t="n">
        <v>35790000</v>
      </c>
      <c r="E40" s="37" t="n"/>
      <c r="F40" s="39" t="inlineStr">
        <is>
          <t>OOS</t>
        </is>
      </c>
      <c r="G40"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5.xml><?xml version="1.0" encoding="utf-8"?>
<worksheet xmlns="http://schemas.openxmlformats.org/spreadsheetml/2006/main">
  <sheetPr codeName="Sheet34">
    <outlinePr summaryBelow="1" summaryRight="1"/>
    <pageSetUpPr/>
  </sheetPr>
  <dimension ref="A1:K39"/>
  <sheetViews>
    <sheetView zoomScale="125" zoomScaleNormal="160"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7" t="n">
        <v>21890000</v>
      </c>
      <c r="C2" s="37" t="n">
        <v>21890000</v>
      </c>
      <c r="D2" s="42" t="n">
        <v>21590000</v>
      </c>
      <c r="E2" s="40" t="n">
        <v>21990000</v>
      </c>
      <c r="F2" s="38" t="n">
        <v>21490000</v>
      </c>
      <c r="G2" s="4" t="n">
        <v>21490000</v>
      </c>
    </row>
    <row r="3">
      <c r="A3" t="inlineStr">
        <is>
          <t>iPhone 16  Plus 128GB</t>
        </is>
      </c>
      <c r="B3" s="3" t="n">
        <v>25290000</v>
      </c>
      <c r="C3" s="3" t="n">
        <v>25290000</v>
      </c>
      <c r="D3" s="43" t="n">
        <v>24990000</v>
      </c>
      <c r="E3" s="40" t="n">
        <v>24990000</v>
      </c>
      <c r="F3" s="40" t="n">
        <v>24890000</v>
      </c>
      <c r="G3" s="4" t="n">
        <v>24890000</v>
      </c>
    </row>
    <row r="4">
      <c r="A4" t="inlineStr">
        <is>
          <t>iPhone 16 Pro  128GB</t>
        </is>
      </c>
      <c r="B4" s="3" t="n">
        <v>28290000</v>
      </c>
      <c r="C4" s="3" t="n">
        <v>28290000</v>
      </c>
      <c r="D4" s="43" t="n">
        <v>27890000</v>
      </c>
      <c r="E4" s="40" t="n">
        <v>28190000</v>
      </c>
      <c r="F4" s="38" t="n">
        <v>27790000</v>
      </c>
      <c r="G4" s="4" t="n">
        <v>27790000</v>
      </c>
    </row>
    <row r="5">
      <c r="A5" t="inlineStr">
        <is>
          <t>iPhone 16 Pro Max 256GB</t>
        </is>
      </c>
      <c r="B5" s="3" t="n">
        <v>33390000</v>
      </c>
      <c r="C5" s="3" t="n">
        <v>33390000</v>
      </c>
      <c r="D5" s="43" t="n">
        <v>33490000</v>
      </c>
      <c r="E5" s="40" t="n">
        <v>32990000</v>
      </c>
      <c r="F5" s="38" t="n">
        <v>33190000</v>
      </c>
      <c r="G5" s="3" t="n">
        <v>32990000</v>
      </c>
    </row>
    <row r="6">
      <c r="A6" t="inlineStr">
        <is>
          <t>iPhone 15  128GB</t>
        </is>
      </c>
      <c r="B6" s="3" t="n">
        <v>19490000</v>
      </c>
      <c r="C6" s="3" t="n">
        <v>19490000</v>
      </c>
      <c r="D6" s="43" t="n">
        <v>19490000</v>
      </c>
      <c r="E6" s="40" t="n">
        <v>19490000</v>
      </c>
      <c r="F6" s="40" t="n">
        <v>19490000</v>
      </c>
      <c r="G6" s="3" t="n">
        <v>19290000</v>
      </c>
    </row>
    <row r="7">
      <c r="A7" t="inlineStr">
        <is>
          <t>iPhone 15  Plus 128GB</t>
        </is>
      </c>
      <c r="B7" s="37" t="n">
        <v>22590000</v>
      </c>
      <c r="C7" s="37" t="n">
        <v>22590000</v>
      </c>
      <c r="D7" s="43" t="n">
        <v>22590000</v>
      </c>
      <c r="E7" s="40" t="n">
        <v>22490000</v>
      </c>
      <c r="F7" s="38" t="n">
        <v>22490000</v>
      </c>
      <c r="G7" s="4" t="n">
        <v>22390000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7" t="n">
        <v>29190000</v>
      </c>
      <c r="C9" s="37" t="n">
        <v>29190000</v>
      </c>
      <c r="D9" s="25" t="n">
        <v>29290000</v>
      </c>
      <c r="E9" s="40" t="inlineStr">
        <is>
          <t>OOS</t>
        </is>
      </c>
      <c r="F9" s="38" t="n">
        <v>29190000</v>
      </c>
      <c r="G9" s="3" t="n">
        <v>28390000</v>
      </c>
      <c r="H9" t="inlineStr">
        <is>
          <t>x</t>
        </is>
      </c>
      <c r="I9" t="inlineStr">
        <is>
          <t>FPT</t>
        </is>
      </c>
      <c r="J9" t="inlineStr">
        <is>
          <t>Việt</t>
        </is>
      </c>
      <c r="K9" t="b">
        <v>1</v>
      </c>
    </row>
    <row r="10">
      <c r="A10" t="inlineStr">
        <is>
          <t>iPhone 14 Plus 128GB</t>
        </is>
      </c>
      <c r="B10" s="37" t="n">
        <v>19690000</v>
      </c>
      <c r="C10" s="37" t="n">
        <v>19690000</v>
      </c>
      <c r="D10" s="25" t="n">
        <v>19690000</v>
      </c>
      <c r="E10" s="38" t="n">
        <v>18990000</v>
      </c>
      <c r="F10" s="39" t="n">
        <v>19690000</v>
      </c>
      <c r="G10" s="4" t="n">
        <v>20090000</v>
      </c>
      <c r="I10" t="inlineStr">
        <is>
          <t>Viettel</t>
        </is>
      </c>
      <c r="J10" t="inlineStr">
        <is>
          <t>Sơn</t>
        </is>
      </c>
      <c r="K10" t="b">
        <v>1</v>
      </c>
    </row>
    <row r="11">
      <c r="A11" t="inlineStr">
        <is>
          <t>iPhone 14 128GB</t>
        </is>
      </c>
      <c r="B11" s="37" t="n">
        <v>17090000</v>
      </c>
      <c r="C11" s="37" t="n">
        <v>17090000</v>
      </c>
      <c r="D11" s="40" t="n">
        <v>16990000</v>
      </c>
      <c r="E11" s="37" t="inlineStr">
        <is>
          <t>OOS</t>
        </is>
      </c>
      <c r="F11" s="39" t="n">
        <v>16850000</v>
      </c>
      <c r="G11" s="4" t="n">
        <v>17290000</v>
      </c>
      <c r="I11" t="inlineStr">
        <is>
          <t>CPS</t>
        </is>
      </c>
      <c r="J11" t="inlineStr">
        <is>
          <t>Trang</t>
        </is>
      </c>
      <c r="K11" t="b">
        <v>1</v>
      </c>
    </row>
    <row r="12">
      <c r="A12" t="inlineStr">
        <is>
          <t>iPhone 13  128GB</t>
        </is>
      </c>
      <c r="B12" s="37" t="n">
        <v>13490000</v>
      </c>
      <c r="C12" s="37" t="n">
        <v>13490000</v>
      </c>
      <c r="D12" s="34" t="n">
        <v>13590000</v>
      </c>
      <c r="E12" s="40" t="n">
        <v>13290000</v>
      </c>
      <c r="F12" s="39" t="n">
        <v>13390000</v>
      </c>
      <c r="G12" s="4" t="inlineStr">
        <is>
          <t>12.990.000</t>
        </is>
      </c>
      <c r="I12" t="inlineStr">
        <is>
          <t>ShopDunk</t>
        </is>
      </c>
      <c r="J12" t="inlineStr">
        <is>
          <t>Đạt</t>
        </is>
      </c>
      <c r="K12" t="b">
        <v>1</v>
      </c>
    </row>
    <row r="13">
      <c r="A13" t="inlineStr">
        <is>
          <t>iPhone 12 64GB</t>
        </is>
      </c>
      <c r="B13" s="37" t="n">
        <v>11490000</v>
      </c>
      <c r="C13" s="37" t="n">
        <v>11490000</v>
      </c>
      <c r="D13" s="25" t="inlineStr">
        <is>
          <t>OOS</t>
        </is>
      </c>
      <c r="E13" s="37" t="n">
        <v>10990000</v>
      </c>
      <c r="F13" s="39" t="n">
        <v>10890000</v>
      </c>
      <c r="G13" s="4" t="n">
        <v>12290000</v>
      </c>
    </row>
    <row r="14">
      <c r="A14" t="inlineStr">
        <is>
          <t>iPhone 11 64GB</t>
        </is>
      </c>
      <c r="B14" s="3" t="n">
        <v>8840000</v>
      </c>
      <c r="C14" s="3" t="n">
        <v>8840000</v>
      </c>
      <c r="D14" s="25" t="n">
        <v>8790000</v>
      </c>
      <c r="E14" s="40" t="n">
        <v>8490000</v>
      </c>
      <c r="F14" s="34" t="n">
        <v>8790000</v>
      </c>
      <c r="G14" s="4" t="inlineStr">
        <is>
          <t>OOS</t>
        </is>
      </c>
    </row>
    <row r="15">
      <c r="A15" t="inlineStr">
        <is>
          <t>iPad Mini 7 128GB Wifi</t>
        </is>
      </c>
      <c r="B15" s="3" t="n">
        <v>13890000</v>
      </c>
      <c r="C15" s="3" t="n">
        <v>13890000</v>
      </c>
      <c r="D15" s="25" t="n">
        <v>13990000</v>
      </c>
      <c r="E15" s="37" t="inlineStr">
        <is>
          <t>OOS</t>
        </is>
      </c>
      <c r="F15" s="39" t="n">
        <v>13990000</v>
      </c>
      <c r="G15" s="3" t="n">
        <v>13690000</v>
      </c>
    </row>
    <row r="16">
      <c r="A16" t="inlineStr">
        <is>
          <t>iPad Gen 10th 64GB Wifi</t>
        </is>
      </c>
      <c r="B16" s="3" t="n">
        <v>8940000</v>
      </c>
      <c r="C16" s="3" t="n">
        <v>8940000</v>
      </c>
      <c r="D16" s="3" t="n">
        <v>8990000</v>
      </c>
      <c r="E16" s="40" t="n">
        <v>9290000</v>
      </c>
      <c r="F16" s="34" t="n">
        <v>8750000</v>
      </c>
      <c r="G16" s="3" t="n">
        <v>8550000</v>
      </c>
    </row>
    <row r="17">
      <c r="A17" t="inlineStr">
        <is>
          <t>iPad Gen 9th  64GB Wifi</t>
        </is>
      </c>
      <c r="B17" s="37" t="n">
        <v>7040000</v>
      </c>
      <c r="C17" s="37" t="n">
        <v>7040000</v>
      </c>
      <c r="D17" s="25" t="n">
        <v>7050000</v>
      </c>
      <c r="E17" s="40" t="n">
        <v>6990000</v>
      </c>
      <c r="F17" s="39" t="n">
        <v>7050000</v>
      </c>
      <c r="G17" s="4" t="n">
        <v>7090000</v>
      </c>
    </row>
    <row r="18">
      <c r="A18" t="inlineStr">
        <is>
          <t>iPad Air M2  11" 128 GB Wifi</t>
        </is>
      </c>
      <c r="B18" s="3" t="n">
        <v>14990000</v>
      </c>
      <c r="C18" s="3" t="n">
        <v>14990000</v>
      </c>
      <c r="D18" s="3" t="n">
        <v>14890000</v>
      </c>
      <c r="E18" s="38" t="n">
        <v>14490000</v>
      </c>
      <c r="F18" s="34" t="n">
        <v>14990000</v>
      </c>
      <c r="G18" s="3" t="n">
        <v>14490000</v>
      </c>
    </row>
    <row r="19">
      <c r="A19" t="inlineStr">
        <is>
          <t>iPad Air M2  13" 128 GB Wifi</t>
        </is>
      </c>
      <c r="B19" s="3" t="n">
        <v>20590000</v>
      </c>
      <c r="C19" s="3" t="n">
        <v>20590000</v>
      </c>
      <c r="D19" s="3" t="n">
        <v>20690000</v>
      </c>
      <c r="E19" s="40" t="n">
        <v>21275000</v>
      </c>
      <c r="F19" s="34" t="n">
        <v>20590000</v>
      </c>
      <c r="G19" s="3" t="n">
        <v>20890000</v>
      </c>
    </row>
    <row r="20">
      <c r="A20" t="inlineStr">
        <is>
          <t>iPad Pro  M4  11" 256 GB Wifi</t>
        </is>
      </c>
      <c r="B20" s="37" t="n">
        <v>27590000</v>
      </c>
      <c r="C20" s="37" t="n">
        <v>27590000</v>
      </c>
      <c r="D20" s="25" t="n">
        <v>27490000</v>
      </c>
      <c r="E20" s="40" t="n">
        <v>26918000</v>
      </c>
      <c r="F20" s="39" t="n">
        <v>27590000</v>
      </c>
      <c r="G20" s="4" t="n">
        <v>27190000</v>
      </c>
    </row>
    <row r="21">
      <c r="A21" t="inlineStr">
        <is>
          <t>iPad Pro  M4  13" 256 GB Wifi</t>
        </is>
      </c>
      <c r="B21" s="37" t="n">
        <v>37090000</v>
      </c>
      <c r="C21" s="37" t="n">
        <v>37090000</v>
      </c>
      <c r="D21" s="25" t="n">
        <v>36790000</v>
      </c>
      <c r="E21" s="40" t="n">
        <v>36490000</v>
      </c>
      <c r="F21" s="39" t="n">
        <v>36990000</v>
      </c>
      <c r="G21" s="4" t="n">
        <v>36490000</v>
      </c>
    </row>
    <row r="22">
      <c r="A22" t="inlineStr">
        <is>
          <t>AW SE 2 (40mm GPS)</t>
        </is>
      </c>
      <c r="B22" s="37" t="n">
        <v>5940000</v>
      </c>
      <c r="C22" s="37" t="n">
        <v>5940000</v>
      </c>
      <c r="D22" s="25" t="n">
        <v>5790000</v>
      </c>
      <c r="E22" s="40" t="n">
        <v>5790000</v>
      </c>
      <c r="F22" s="39" t="n">
        <v>5990000</v>
      </c>
      <c r="G22" s="4" t="n">
        <v>5790000</v>
      </c>
    </row>
    <row r="23">
      <c r="A23" t="inlineStr">
        <is>
          <t>AW SE 2 (40mm LTE)</t>
        </is>
      </c>
      <c r="B23" s="37" t="n">
        <v>7240000</v>
      </c>
      <c r="C23" s="37" t="n">
        <v>7240000</v>
      </c>
      <c r="D23" s="25" t="n">
        <v>7090000</v>
      </c>
      <c r="E23" s="40" t="n">
        <v>7290000</v>
      </c>
      <c r="F23" s="39" t="n">
        <v>7290000</v>
      </c>
      <c r="G23" s="3" t="n">
        <v>7190000</v>
      </c>
    </row>
    <row r="24">
      <c r="A24" t="inlineStr">
        <is>
          <t>AW SE 2 (44mm GPS)</t>
        </is>
      </c>
      <c r="B24" s="37" t="n">
        <v>6740000</v>
      </c>
      <c r="C24" s="37" t="n">
        <v>6740000</v>
      </c>
      <c r="D24" s="25" t="n">
        <v>6590000</v>
      </c>
      <c r="E24" s="40" t="n">
        <v>6590000</v>
      </c>
      <c r="F24" s="39" t="n">
        <v>6790000</v>
      </c>
      <c r="G24" s="4" t="n">
        <v>6590000</v>
      </c>
    </row>
    <row r="25">
      <c r="A25" t="inlineStr">
        <is>
          <t>AW SE 2 (44mm LTE)</t>
        </is>
      </c>
      <c r="B25" s="37" t="n">
        <v>8040000</v>
      </c>
      <c r="C25" s="37" t="n">
        <v>8040000</v>
      </c>
      <c r="D25" s="25" t="n">
        <v>7890000</v>
      </c>
      <c r="E25" s="40" t="n">
        <v>7990000</v>
      </c>
      <c r="F25" s="39" t="n">
        <v>8090000</v>
      </c>
      <c r="G25" s="4" t="inlineStr">
        <is>
          <t>7.890.000</t>
        </is>
      </c>
    </row>
    <row r="26">
      <c r="A26" t="inlineStr">
        <is>
          <t>AW S10 (42mm GPS)</t>
        </is>
      </c>
      <c r="B26" s="37" t="n">
        <v>10790000</v>
      </c>
      <c r="C26" s="37" t="n">
        <v>10790000</v>
      </c>
      <c r="D26" s="3" t="n">
        <v>10790000</v>
      </c>
      <c r="E26" s="40" t="n">
        <v>10490000</v>
      </c>
      <c r="F26" s="39" t="n">
        <v>10890000</v>
      </c>
      <c r="G26" s="4" t="n">
        <v>10990000</v>
      </c>
    </row>
    <row r="27">
      <c r="A27" t="inlineStr">
        <is>
          <t>AW S10 (42mm CEL)</t>
        </is>
      </c>
      <c r="B27" s="3" t="n">
        <v>13390000</v>
      </c>
      <c r="C27" s="25" t="n">
        <v>13390000</v>
      </c>
      <c r="D27" s="3" t="n">
        <v>13390000</v>
      </c>
      <c r="E27" s="40" t="n">
        <v>12990000</v>
      </c>
      <c r="F27" s="39" t="n">
        <v>13590000</v>
      </c>
      <c r="G27" s="4" t="n">
        <v>13590000</v>
      </c>
    </row>
    <row r="28">
      <c r="A28" t="inlineStr">
        <is>
          <t>AW S10 (46mm GPS)</t>
        </is>
      </c>
      <c r="B28" s="3" t="n">
        <v>11690000</v>
      </c>
      <c r="C28" s="3" t="n">
        <v>11690000</v>
      </c>
      <c r="D28" s="3" t="n">
        <v>11590000</v>
      </c>
      <c r="E28" s="40" t="n">
        <v>11290000</v>
      </c>
      <c r="F28" s="39" t="n">
        <v>11690000</v>
      </c>
      <c r="G28" s="4" t="inlineStr">
        <is>
          <t>11.790.000</t>
        </is>
      </c>
    </row>
    <row r="29">
      <c r="A29" t="inlineStr">
        <is>
          <t>AW S10 (46mm CEL)</t>
        </is>
      </c>
      <c r="B29" s="3" t="n">
        <v>14290000</v>
      </c>
      <c r="C29" s="3" t="n">
        <v>14290000</v>
      </c>
      <c r="D29" s="3" t="n">
        <v>14190000</v>
      </c>
      <c r="E29" s="40" t="n">
        <v>13890000</v>
      </c>
      <c r="F29" s="39" t="n">
        <v>14390000</v>
      </c>
      <c r="G29" s="4" t="n">
        <v>14390000</v>
      </c>
    </row>
    <row r="30">
      <c r="A30" t="inlineStr">
        <is>
          <t>AW Ultra 2 (49mm)</t>
        </is>
      </c>
      <c r="B30" s="37" t="n">
        <v>22290000</v>
      </c>
      <c r="C30" s="37" t="n">
        <v>22290000</v>
      </c>
      <c r="D30" s="25" t="n">
        <v>22990000</v>
      </c>
      <c r="E30" s="40" t="n">
        <v>21770000</v>
      </c>
      <c r="F30" s="40" t="n">
        <v>22590000</v>
      </c>
      <c r="G30" s="4" t="n">
        <v>22990000</v>
      </c>
    </row>
    <row r="31">
      <c r="A31" t="inlineStr">
        <is>
          <t>AirPods Pro 2 - 2023 (C-Type)</t>
        </is>
      </c>
      <c r="B31" s="37" t="n">
        <v>5740000</v>
      </c>
      <c r="C31" s="37" t="n">
        <v>5740000</v>
      </c>
      <c r="D31" s="39" t="n">
        <v>5690000</v>
      </c>
      <c r="E31" s="38" t="n">
        <v>5690000</v>
      </c>
      <c r="F31" s="40" t="n">
        <v>5650000</v>
      </c>
      <c r="G31" s="4" t="n">
        <v>5450000</v>
      </c>
    </row>
    <row r="32">
      <c r="A32" t="inlineStr">
        <is>
          <t>AirPods 4 ANC</t>
        </is>
      </c>
      <c r="B32" s="37" t="n">
        <v>4590000</v>
      </c>
      <c r="C32" s="37" t="n">
        <v>4590000</v>
      </c>
      <c r="D32" s="40" t="n">
        <v>4590000</v>
      </c>
      <c r="E32" s="40" t="n">
        <v>4590000</v>
      </c>
      <c r="F32" s="40" t="n">
        <v>4590000</v>
      </c>
      <c r="G32" s="4" t="n">
        <v>4590000</v>
      </c>
    </row>
    <row r="33">
      <c r="A33" t="inlineStr">
        <is>
          <t>AirPods 4 with charging case</t>
        </is>
      </c>
      <c r="B33" s="37" t="n">
        <v>3390000</v>
      </c>
      <c r="C33" s="37" t="n">
        <v>3390000</v>
      </c>
      <c r="D33" s="40" t="n">
        <v>3390000</v>
      </c>
      <c r="E33" s="40" t="n">
        <v>3290000</v>
      </c>
      <c r="F33" s="40" t="n">
        <v>3290000</v>
      </c>
      <c r="G33" s="4" t="n">
        <v>3360000</v>
      </c>
    </row>
    <row r="34">
      <c r="A34" t="inlineStr">
        <is>
          <t>AirPods 3 with charging case</t>
        </is>
      </c>
      <c r="B34" s="37" t="n">
        <v>3990000</v>
      </c>
      <c r="C34" s="37" t="n">
        <v>3990000</v>
      </c>
      <c r="D34" s="43" t="n">
        <v>3990000</v>
      </c>
      <c r="E34" s="38" t="n">
        <v>3890000</v>
      </c>
      <c r="F34" s="39" t="n">
        <v>3790000</v>
      </c>
      <c r="G34" s="4" t="inlineStr">
        <is>
          <t>OOS</t>
        </is>
      </c>
    </row>
    <row r="35">
      <c r="A35" t="inlineStr">
        <is>
          <t>MacBook Air 13" M1 8/256Gb</t>
        </is>
      </c>
      <c r="B35" s="37" t="n">
        <v>17990000</v>
      </c>
      <c r="C35" s="37" t="n">
        <v>17990000</v>
      </c>
      <c r="D35" s="39" t="n">
        <v>17990000</v>
      </c>
      <c r="E35" s="37" t="n"/>
      <c r="F35" s="39" t="n">
        <v>18090000</v>
      </c>
      <c r="G35" s="4" t="n">
        <v>17490000</v>
      </c>
    </row>
    <row r="36">
      <c r="A36" t="inlineStr">
        <is>
          <t>MacBook Air 13" M2 16/256GB</t>
        </is>
      </c>
      <c r="B36" s="37" t="n">
        <v>24290000</v>
      </c>
      <c r="C36" s="25" t="n">
        <v>24290000</v>
      </c>
      <c r="D36" s="25" t="n">
        <v>24290000</v>
      </c>
      <c r="E36" s="37" t="n"/>
      <c r="F36" s="34" t="n">
        <v>24290000</v>
      </c>
      <c r="G36" s="4" t="n">
        <v>24490000</v>
      </c>
    </row>
    <row r="37">
      <c r="A37" t="inlineStr">
        <is>
          <t>MacBook Air 13" M3 16/256GB</t>
        </is>
      </c>
      <c r="B37" s="37" t="n">
        <v>27490000</v>
      </c>
      <c r="C37" s="37" t="inlineStr">
        <is>
          <t>OOS</t>
        </is>
      </c>
      <c r="D37" s="39" t="n">
        <v>27490000</v>
      </c>
      <c r="E37" s="37" t="n"/>
      <c r="F37" s="39" t="n">
        <v>27590000</v>
      </c>
      <c r="G37" s="4" t="n">
        <v>27190000</v>
      </c>
    </row>
    <row r="38">
      <c r="A38" t="inlineStr">
        <is>
          <t>MacBook Air 15" M3 16/256GB</t>
        </is>
      </c>
      <c r="B38" s="37" t="n">
        <v>32590000</v>
      </c>
      <c r="C38" s="37" t="inlineStr">
        <is>
          <t>OOS</t>
        </is>
      </c>
      <c r="D38" s="25" t="n">
        <v>31190000</v>
      </c>
      <c r="E38" s="37" t="n"/>
      <c r="F38" s="34" t="n">
        <v>32990000</v>
      </c>
      <c r="G38" s="4" t="n">
        <v>30190000</v>
      </c>
    </row>
    <row r="39">
      <c r="A39" t="inlineStr">
        <is>
          <t>MacBook Pro 14" M4 16/512GB</t>
        </is>
      </c>
      <c r="B39" s="3" t="inlineStr">
        <is>
          <t>OOS</t>
        </is>
      </c>
      <c r="C39" s="37" t="inlineStr">
        <is>
          <t>OOS</t>
        </is>
      </c>
      <c r="D39" s="25" t="n">
        <v>35790000</v>
      </c>
      <c r="E39" s="37" t="n"/>
      <c r="F39" s="39" t="n">
        <v>39990000</v>
      </c>
      <c r="G39"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6.xml><?xml version="1.0" encoding="utf-8"?>
<worksheet xmlns="http://schemas.openxmlformats.org/spreadsheetml/2006/main">
  <sheetPr codeName="Sheet35">
    <outlinePr summaryBelow="1" summaryRight="1"/>
    <pageSetUpPr/>
  </sheetPr>
  <dimension ref="A1:K39"/>
  <sheetViews>
    <sheetView zoomScale="130" zoomScaleNormal="130"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22390000</v>
      </c>
      <c r="C2" s="3" t="n">
        <v>22290000</v>
      </c>
      <c r="D2" s="43" t="n">
        <v>21590000</v>
      </c>
      <c r="E2" s="40" t="n">
        <v>21990000</v>
      </c>
      <c r="F2" s="38" t="n">
        <v>21590000</v>
      </c>
      <c r="G2" s="4" t="n">
        <v>21490000</v>
      </c>
    </row>
    <row r="3">
      <c r="A3" t="inlineStr">
        <is>
          <t>iPhone 16  Plus 128GB</t>
        </is>
      </c>
      <c r="B3" s="3" t="n">
        <v>25790000</v>
      </c>
      <c r="C3" s="3" t="n">
        <v>25390000</v>
      </c>
      <c r="D3" s="42" t="n">
        <v>24790000</v>
      </c>
      <c r="E3" s="40" t="n">
        <v>24990000</v>
      </c>
      <c r="F3" s="38" t="n">
        <v>24790000</v>
      </c>
      <c r="G3" s="4" t="n">
        <v>24890000</v>
      </c>
    </row>
    <row r="4">
      <c r="A4" t="inlineStr">
        <is>
          <t>iPhone 16 Pro  128GB</t>
        </is>
      </c>
      <c r="B4" s="3" t="n">
        <v>28390000</v>
      </c>
      <c r="C4" s="3" t="n">
        <v>28590000</v>
      </c>
      <c r="D4" s="42" t="n">
        <v>27990000</v>
      </c>
      <c r="E4" s="40" t="n">
        <v>28190000</v>
      </c>
      <c r="F4" s="40" t="n">
        <v>27790000</v>
      </c>
      <c r="G4" s="4" t="n">
        <v>27790000</v>
      </c>
    </row>
    <row r="5">
      <c r="A5" t="inlineStr">
        <is>
          <t>iPhone 16 Pro Max 256GB</t>
        </is>
      </c>
      <c r="B5" s="3" t="n">
        <v>34390000</v>
      </c>
      <c r="C5" s="3" t="n">
        <v>34190000</v>
      </c>
      <c r="D5" s="43" t="n">
        <v>33490000</v>
      </c>
      <c r="E5" s="40" t="n">
        <v>32990000</v>
      </c>
      <c r="F5" s="40" t="n">
        <v>33190000</v>
      </c>
      <c r="G5" s="3" t="n">
        <v>33190000</v>
      </c>
    </row>
    <row r="6">
      <c r="A6" t="inlineStr">
        <is>
          <t>iPhone 15  128GB</t>
        </is>
      </c>
      <c r="B6" s="3" t="n">
        <v>19690000</v>
      </c>
      <c r="C6" s="3" t="n">
        <v>19890000</v>
      </c>
      <c r="D6" s="43" t="n">
        <v>19490000</v>
      </c>
      <c r="E6" s="40" t="n">
        <v>19490000</v>
      </c>
      <c r="F6" s="40" t="n">
        <v>19490000</v>
      </c>
      <c r="G6" s="3" t="n">
        <v>19190000</v>
      </c>
    </row>
    <row r="7">
      <c r="A7" t="inlineStr">
        <is>
          <t>iPhone 15  Plus 128GB</t>
        </is>
      </c>
      <c r="B7" s="37" t="n">
        <v>22590000</v>
      </c>
      <c r="C7" s="37" t="n">
        <v>22590000</v>
      </c>
      <c r="D7" s="43" t="n">
        <v>22590000</v>
      </c>
      <c r="E7" s="40" t="n">
        <v>22490000</v>
      </c>
      <c r="F7" s="40" t="n">
        <v>22490000</v>
      </c>
      <c r="G7" s="3" t="n">
        <v>22190000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 t="n">
        <v>29290000</v>
      </c>
      <c r="C9" s="3" t="n">
        <v>29590000</v>
      </c>
      <c r="D9" s="25" t="n">
        <v>29290000</v>
      </c>
      <c r="E9" s="40" t="inlineStr">
        <is>
          <t>OOS</t>
        </is>
      </c>
      <c r="F9" s="40" t="n">
        <v>29190000</v>
      </c>
      <c r="G9" s="3" t="n">
        <v>28890000</v>
      </c>
      <c r="H9" t="inlineStr">
        <is>
          <t>x</t>
        </is>
      </c>
      <c r="I9" t="inlineStr">
        <is>
          <t>FPT</t>
        </is>
      </c>
      <c r="J9" t="inlineStr">
        <is>
          <t>Việt</t>
        </is>
      </c>
      <c r="K9" t="b">
        <v>1</v>
      </c>
    </row>
    <row r="10">
      <c r="A10" t="inlineStr">
        <is>
          <t>iPhone 14 Plus 128GB</t>
        </is>
      </c>
      <c r="B10" s="3" t="n">
        <v>19790000</v>
      </c>
      <c r="C10" s="3" t="n">
        <v>19990000</v>
      </c>
      <c r="D10" s="25" t="n">
        <v>19690000</v>
      </c>
      <c r="E10" s="40" t="n">
        <v>18990000</v>
      </c>
      <c r="F10" s="39" t="n">
        <v>19690000</v>
      </c>
      <c r="G10" s="4" t="n">
        <v>20090000</v>
      </c>
      <c r="I10" t="inlineStr">
        <is>
          <t>Viettel</t>
        </is>
      </c>
      <c r="J10" t="inlineStr">
        <is>
          <t>Sơn</t>
        </is>
      </c>
      <c r="K10" t="b">
        <v>1</v>
      </c>
    </row>
    <row r="11">
      <c r="A11" t="inlineStr">
        <is>
          <t>iPhone 14 128GB</t>
        </is>
      </c>
      <c r="B11" s="3" t="n">
        <v>17190000</v>
      </c>
      <c r="C11" s="3" t="n">
        <v>17190000</v>
      </c>
      <c r="D11" s="40" t="n">
        <v>16990000</v>
      </c>
      <c r="E11" s="37" t="inlineStr">
        <is>
          <t>OOS</t>
        </is>
      </c>
      <c r="F11" s="39" t="n">
        <v>16850000</v>
      </c>
      <c r="G11" s="4" t="n">
        <v>17290000</v>
      </c>
      <c r="I11" t="inlineStr">
        <is>
          <t>CPS</t>
        </is>
      </c>
      <c r="J11" t="inlineStr">
        <is>
          <t>Trang</t>
        </is>
      </c>
      <c r="K11" t="b">
        <v>1</v>
      </c>
    </row>
    <row r="12">
      <c r="A12" t="inlineStr">
        <is>
          <t>iPhone 13  128GB</t>
        </is>
      </c>
      <c r="B12" s="3" t="n">
        <v>13590000</v>
      </c>
      <c r="C12" s="3" t="n">
        <v>13790000</v>
      </c>
      <c r="D12" s="39" t="n">
        <v>13590000</v>
      </c>
      <c r="E12" s="40" t="n">
        <v>13290000</v>
      </c>
      <c r="F12" s="39" t="n">
        <v>13390000</v>
      </c>
      <c r="G12" s="4" t="inlineStr">
        <is>
          <t>12.990.000</t>
        </is>
      </c>
      <c r="I12" t="inlineStr">
        <is>
          <t>ShopDunk</t>
        </is>
      </c>
      <c r="J12" t="inlineStr">
        <is>
          <t>Đạt</t>
        </is>
      </c>
      <c r="K12" t="b">
        <v>1</v>
      </c>
    </row>
    <row r="13">
      <c r="A13" t="inlineStr">
        <is>
          <t>iPhone 12 64GB</t>
        </is>
      </c>
      <c r="B13" s="3" t="n">
        <v>10990000</v>
      </c>
      <c r="C13" s="3" t="n">
        <v>11590000</v>
      </c>
      <c r="D13" s="25" t="inlineStr">
        <is>
          <t>OOS</t>
        </is>
      </c>
      <c r="E13" s="37" t="n">
        <v>10990000</v>
      </c>
      <c r="F13" s="39" t="n">
        <v>10890000</v>
      </c>
      <c r="G13" s="4" t="n">
        <v>12290000</v>
      </c>
    </row>
    <row r="14">
      <c r="A14" t="inlineStr">
        <is>
          <t>iPhone 11 64GB</t>
        </is>
      </c>
      <c r="B14" s="3" t="n">
        <v>8890000</v>
      </c>
      <c r="C14" s="3" t="n">
        <v>8990000</v>
      </c>
      <c r="D14" s="25" t="n">
        <v>8790000</v>
      </c>
      <c r="E14" s="40" t="n">
        <v>8490000</v>
      </c>
      <c r="F14" s="34" t="n">
        <v>8890000</v>
      </c>
      <c r="G14" s="4" t="inlineStr">
        <is>
          <t>OOS</t>
        </is>
      </c>
    </row>
    <row r="15">
      <c r="A15" t="inlineStr">
        <is>
          <t>iPad Mini 7 128GB Wifi</t>
        </is>
      </c>
      <c r="B15" s="3" t="n">
        <v>13990000</v>
      </c>
      <c r="C15" s="3" t="n">
        <v>13990000</v>
      </c>
      <c r="D15" s="25" t="n">
        <v>13990000</v>
      </c>
      <c r="E15" s="37" t="inlineStr">
        <is>
          <t>OOS</t>
        </is>
      </c>
      <c r="F15" s="39" t="n">
        <v>13990000</v>
      </c>
      <c r="G15" s="4" t="n">
        <v>13690000</v>
      </c>
    </row>
    <row r="16">
      <c r="A16" t="inlineStr">
        <is>
          <t>iPad Gen 10th 64GB Wifi</t>
        </is>
      </c>
      <c r="B16" s="3" t="n">
        <v>8990000</v>
      </c>
      <c r="C16" s="3" t="n">
        <v>8990000</v>
      </c>
      <c r="D16" s="3" t="n">
        <v>8890000</v>
      </c>
      <c r="E16" s="38" t="n">
        <v>8690000</v>
      </c>
      <c r="F16" s="39" t="n">
        <v>8750000</v>
      </c>
      <c r="G16" s="4" t="n">
        <v>8550000</v>
      </c>
    </row>
    <row r="17">
      <c r="A17" t="inlineStr">
        <is>
          <t>iPad Gen 9th  64GB Wifi</t>
        </is>
      </c>
      <c r="B17" s="3" t="n">
        <v>7090000</v>
      </c>
      <c r="C17" s="3" t="n">
        <v>7090000</v>
      </c>
      <c r="D17" s="25" t="n">
        <v>7050000</v>
      </c>
      <c r="E17" s="40" t="n">
        <v>6990000</v>
      </c>
      <c r="F17" s="39" t="n">
        <v>7050000</v>
      </c>
      <c r="G17" s="4" t="n">
        <v>7090000</v>
      </c>
    </row>
    <row r="18">
      <c r="A18" t="inlineStr">
        <is>
          <t>iPad Air M2  11" 128 GB Wifi</t>
        </is>
      </c>
      <c r="B18" s="37" t="n">
        <v>14990000</v>
      </c>
      <c r="C18" s="37" t="n">
        <v>14990000</v>
      </c>
      <c r="D18" s="25" t="n">
        <v>14890000</v>
      </c>
      <c r="E18" s="38" t="n">
        <v>14345000</v>
      </c>
      <c r="F18" s="39" t="n">
        <v>14990000</v>
      </c>
      <c r="G18" s="4" t="n">
        <v>14490000</v>
      </c>
    </row>
    <row r="19">
      <c r="A19" t="inlineStr">
        <is>
          <t>iPad Air M2  13" 128 GB Wifi</t>
        </is>
      </c>
      <c r="B19" s="37" t="n">
        <v>20590000</v>
      </c>
      <c r="C19" s="37" t="n">
        <v>20590000</v>
      </c>
      <c r="D19" s="25" t="n">
        <v>20690000</v>
      </c>
      <c r="E19" s="40" t="n">
        <v>21275000</v>
      </c>
      <c r="F19" s="39" t="n">
        <v>20590000</v>
      </c>
      <c r="G19" s="3" t="n">
        <v>20390000</v>
      </c>
    </row>
    <row r="20">
      <c r="A20" t="inlineStr">
        <is>
          <t>iPad Pro  M4  11" 256 GB Wifi</t>
        </is>
      </c>
      <c r="B20" s="3" t="n">
        <v>27690000</v>
      </c>
      <c r="C20" s="3" t="n">
        <v>27690000</v>
      </c>
      <c r="D20" s="25" t="n">
        <v>27490000</v>
      </c>
      <c r="E20" s="40" t="n">
        <v>26918000</v>
      </c>
      <c r="F20" s="39" t="n">
        <v>27590000</v>
      </c>
      <c r="G20" s="4" t="n">
        <v>27190000</v>
      </c>
    </row>
    <row r="21">
      <c r="A21" t="inlineStr">
        <is>
          <t>iPad Pro  M4  13" 256 GB Wifi</t>
        </is>
      </c>
      <c r="B21" s="3" t="n">
        <v>36790000</v>
      </c>
      <c r="C21" s="3" t="n">
        <v>36790000</v>
      </c>
      <c r="D21" s="25" t="n">
        <v>36790000</v>
      </c>
      <c r="E21" s="40" t="n">
        <v>36490000</v>
      </c>
      <c r="F21" s="39" t="n">
        <v>36990000</v>
      </c>
      <c r="G21" s="4" t="n">
        <v>36490000</v>
      </c>
    </row>
    <row r="22">
      <c r="A22" t="inlineStr">
        <is>
          <t>AW SE 2 (40mm GPS)</t>
        </is>
      </c>
      <c r="B22" s="3" t="n">
        <v>5590000</v>
      </c>
      <c r="C22" s="3" t="n">
        <v>5590000</v>
      </c>
      <c r="D22" s="25" t="n">
        <v>5790000</v>
      </c>
      <c r="E22" s="40" t="n">
        <v>5790000</v>
      </c>
      <c r="F22" s="34" t="n">
        <v>5890000</v>
      </c>
      <c r="G22" s="4" t="n">
        <v>5790000</v>
      </c>
    </row>
    <row r="23">
      <c r="A23" t="inlineStr">
        <is>
          <t>AW SE 2 (40mm LTE)</t>
        </is>
      </c>
      <c r="B23" s="3" t="n">
        <v>6990000</v>
      </c>
      <c r="C23" s="3" t="n">
        <v>6990000</v>
      </c>
      <c r="D23" s="25" t="n">
        <v>7090000</v>
      </c>
      <c r="E23" s="40" t="n">
        <v>7290000</v>
      </c>
      <c r="F23" s="34" t="n">
        <v>7190000</v>
      </c>
      <c r="G23" s="3" t="n">
        <v>7290000</v>
      </c>
    </row>
    <row r="24">
      <c r="A24" t="inlineStr">
        <is>
          <t>AW SE 2 (44mm GPS)</t>
        </is>
      </c>
      <c r="B24" s="3" t="n">
        <v>5990000</v>
      </c>
      <c r="C24" s="3" t="n">
        <v>5990000</v>
      </c>
      <c r="D24" s="25" t="n">
        <v>6590000</v>
      </c>
      <c r="E24" s="40" t="n">
        <v>6590000</v>
      </c>
      <c r="F24" s="34" t="n">
        <v>6490000</v>
      </c>
      <c r="G24" s="4" t="n">
        <v>6590000</v>
      </c>
    </row>
    <row r="25">
      <c r="A25" t="inlineStr">
        <is>
          <t>AW SE 2 (44mm LTE)</t>
        </is>
      </c>
      <c r="B25" s="3" t="n">
        <v>7790000</v>
      </c>
      <c r="C25" s="3" t="n">
        <v>7790000</v>
      </c>
      <c r="D25" s="25" t="n">
        <v>7890000</v>
      </c>
      <c r="E25" s="40" t="n">
        <v>7990000</v>
      </c>
      <c r="F25" s="39" t="n">
        <v>8090000</v>
      </c>
      <c r="G25" s="4" t="inlineStr">
        <is>
          <t>7.890.000</t>
        </is>
      </c>
    </row>
    <row r="26">
      <c r="A26" t="inlineStr">
        <is>
          <t>AW S10 (42mm GPS)</t>
        </is>
      </c>
      <c r="B26" s="37" t="n">
        <v>10790000</v>
      </c>
      <c r="C26" s="37" t="n">
        <v>10790000</v>
      </c>
      <c r="D26" s="25" t="n">
        <v>10790000</v>
      </c>
      <c r="E26" s="40" t="n">
        <v>10490000</v>
      </c>
      <c r="F26" s="39" t="n">
        <v>10890000</v>
      </c>
      <c r="G26" s="4" t="n">
        <v>10990000</v>
      </c>
    </row>
    <row r="27">
      <c r="A27" t="inlineStr">
        <is>
          <t>AW S10 (42mm CEL)</t>
        </is>
      </c>
      <c r="B27" s="37" t="n">
        <v>13390000</v>
      </c>
      <c r="C27" s="25" t="n">
        <v>13390000</v>
      </c>
      <c r="D27" s="25" t="n">
        <v>13390000</v>
      </c>
      <c r="E27" s="40" t="n">
        <v>12990000</v>
      </c>
      <c r="F27" s="39" t="n">
        <v>13590000</v>
      </c>
      <c r="G27" s="4" t="n">
        <v>13590000</v>
      </c>
    </row>
    <row r="28">
      <c r="A28" t="inlineStr">
        <is>
          <t>AW S10 (46mm GPS)</t>
        </is>
      </c>
      <c r="B28" s="3" t="n">
        <v>11590000</v>
      </c>
      <c r="C28" s="3" t="n">
        <v>11590000</v>
      </c>
      <c r="D28" s="25" t="n">
        <v>11590000</v>
      </c>
      <c r="E28" s="40" t="n">
        <v>11290000</v>
      </c>
      <c r="F28" s="39" t="n">
        <v>11690000</v>
      </c>
      <c r="G28" s="4" t="inlineStr">
        <is>
          <t>11.790.000</t>
        </is>
      </c>
    </row>
    <row r="29">
      <c r="A29" t="inlineStr">
        <is>
          <t>AW S10 (46mm CEL)</t>
        </is>
      </c>
      <c r="B29" s="3" t="n">
        <v>14190000</v>
      </c>
      <c r="C29" s="3" t="n">
        <v>14190000</v>
      </c>
      <c r="D29" s="25" t="n">
        <v>14190000</v>
      </c>
      <c r="E29" s="40" t="n">
        <v>13890000</v>
      </c>
      <c r="F29" s="39" t="n">
        <v>14390000</v>
      </c>
      <c r="G29" s="4" t="n">
        <v>14390000</v>
      </c>
    </row>
    <row r="30">
      <c r="A30" t="inlineStr">
        <is>
          <t>AW Ultra 2 (49mm)</t>
        </is>
      </c>
      <c r="B30" s="3" t="n">
        <v>21990000</v>
      </c>
      <c r="C30" s="3" t="n">
        <v>21990000</v>
      </c>
      <c r="D30" s="25" t="n">
        <v>22990000</v>
      </c>
      <c r="E30" s="38" t="n">
        <v>21470000</v>
      </c>
      <c r="F30" s="38" t="n">
        <v>22490000</v>
      </c>
      <c r="G30" s="4" t="n">
        <v>22990000</v>
      </c>
    </row>
    <row r="31">
      <c r="A31" t="inlineStr">
        <is>
          <t>AirPods Pro 2 - 2023 (C-Type)</t>
        </is>
      </c>
      <c r="B31" s="3" t="n">
        <v>5590000</v>
      </c>
      <c r="C31" s="3" t="n">
        <v>5590000</v>
      </c>
      <c r="D31" s="34" t="n">
        <v>5590000</v>
      </c>
      <c r="E31" s="38" t="n">
        <v>5290000</v>
      </c>
      <c r="F31" s="40" t="n">
        <v>5690000</v>
      </c>
      <c r="G31" s="4" t="n">
        <v>5450000</v>
      </c>
    </row>
    <row r="32">
      <c r="A32" t="inlineStr">
        <is>
          <t>AirPods 4 ANC</t>
        </is>
      </c>
      <c r="B32" s="37" t="n">
        <v>4590000</v>
      </c>
      <c r="C32" s="37" t="n">
        <v>4590000</v>
      </c>
      <c r="D32" s="40" t="n">
        <v>4590000</v>
      </c>
      <c r="E32" s="40" t="n">
        <v>4590000</v>
      </c>
      <c r="F32" s="40" t="n">
        <v>4590000</v>
      </c>
      <c r="G32" s="4" t="n">
        <v>4590000</v>
      </c>
    </row>
    <row r="33">
      <c r="A33" t="inlineStr">
        <is>
          <t>AirPods 4 with charging case</t>
        </is>
      </c>
      <c r="B33" s="3" t="n">
        <v>3290000</v>
      </c>
      <c r="C33" s="3" t="n">
        <v>3290000</v>
      </c>
      <c r="D33" s="38" t="n">
        <v>3290000</v>
      </c>
      <c r="E33" s="40" t="n">
        <v>3290000</v>
      </c>
      <c r="F33" s="40" t="n">
        <v>3290000</v>
      </c>
      <c r="G33" s="4" t="n">
        <v>3360000</v>
      </c>
    </row>
    <row r="34">
      <c r="A34" t="inlineStr">
        <is>
          <t>AirPods 3 with charging case</t>
        </is>
      </c>
      <c r="B34" s="3" t="n">
        <v>3790000</v>
      </c>
      <c r="C34" s="3" t="n">
        <v>3790000</v>
      </c>
      <c r="D34" s="42" t="n">
        <v>3590000</v>
      </c>
      <c r="E34" s="40" t="n">
        <v>3890000</v>
      </c>
      <c r="F34" s="39" t="n">
        <v>3790000</v>
      </c>
      <c r="G34" s="4" t="inlineStr">
        <is>
          <t>OOS</t>
        </is>
      </c>
    </row>
    <row r="35">
      <c r="A35" t="inlineStr">
        <is>
          <t>MacBook Air 13" M1 8/256Gb</t>
        </is>
      </c>
      <c r="B35" s="3" t="n">
        <v>18090000</v>
      </c>
      <c r="C35" s="3" t="n">
        <v>18090000</v>
      </c>
      <c r="D35" s="39" t="n">
        <v>17990000</v>
      </c>
      <c r="E35" s="37" t="n"/>
      <c r="F35" s="39" t="n">
        <v>18090000</v>
      </c>
      <c r="G35" s="4" t="n">
        <v>17490000</v>
      </c>
    </row>
    <row r="36">
      <c r="A36" t="inlineStr">
        <is>
          <t>MacBook Air 13" M2 16/256GB</t>
        </is>
      </c>
      <c r="B36" s="3" t="n">
        <v>24390000</v>
      </c>
      <c r="C36" s="3" t="n">
        <v>24390000</v>
      </c>
      <c r="D36" s="3" t="n">
        <v>24190000</v>
      </c>
      <c r="E36" s="37" t="n"/>
      <c r="F36" s="39" t="n">
        <v>24290000</v>
      </c>
      <c r="G36" s="3" t="n">
        <v>23990000</v>
      </c>
    </row>
    <row r="37">
      <c r="A37" t="inlineStr">
        <is>
          <t>MacBook Air 13" M3 16/256GB</t>
        </is>
      </c>
      <c r="B37" s="37" t="n">
        <v>27490000</v>
      </c>
      <c r="C37" s="37" t="inlineStr">
        <is>
          <t>OOS</t>
        </is>
      </c>
      <c r="D37" s="34" t="n">
        <v>27290000</v>
      </c>
      <c r="E37" s="37" t="n"/>
      <c r="F37" s="39" t="n">
        <v>27590000</v>
      </c>
      <c r="G37" s="3" t="n">
        <v>27090000</v>
      </c>
    </row>
    <row r="38">
      <c r="A38" t="inlineStr">
        <is>
          <t>MacBook Air 15" M3 16/256GB</t>
        </is>
      </c>
      <c r="B38" s="3" t="n">
        <v>32490000</v>
      </c>
      <c r="C38" s="37" t="inlineStr">
        <is>
          <t>OOS</t>
        </is>
      </c>
      <c r="D38" s="25" t="n">
        <v>32490000</v>
      </c>
      <c r="E38" s="37" t="n"/>
      <c r="F38" s="34" t="n">
        <v>32990000</v>
      </c>
      <c r="G38" s="4" t="n">
        <v>30190000</v>
      </c>
    </row>
    <row r="39">
      <c r="A39" t="inlineStr">
        <is>
          <t>MacBook Pro 14" M4 16/512GB</t>
        </is>
      </c>
      <c r="B39" s="3" t="inlineStr">
        <is>
          <t>OOS</t>
        </is>
      </c>
      <c r="C39" s="37" t="inlineStr">
        <is>
          <t>OOS</t>
        </is>
      </c>
      <c r="D39" s="25" t="inlineStr">
        <is>
          <t>OOS</t>
        </is>
      </c>
      <c r="E39" s="37" t="n"/>
      <c r="F39" s="37" t="inlineStr">
        <is>
          <t>OOS</t>
        </is>
      </c>
      <c r="G39"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7.xml><?xml version="1.0" encoding="utf-8"?>
<worksheet xmlns="http://schemas.openxmlformats.org/spreadsheetml/2006/main">
  <sheetPr codeName="Sheet36">
    <outlinePr summaryBelow="1" summaryRight="1"/>
    <pageSetUpPr/>
  </sheetPr>
  <dimension ref="A1:K39"/>
  <sheetViews>
    <sheetView zoomScale="188" zoomScaleNormal="188" workbookViewId="0">
      <pane xSplit="1" ySplit="1" topLeftCell="C10"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22190000</v>
      </c>
      <c r="C2" s="3" t="n">
        <v>22290000</v>
      </c>
      <c r="D2" s="43" t="n">
        <v>21590000</v>
      </c>
      <c r="E2" s="40" t="n">
        <v>21990000</v>
      </c>
      <c r="F2" s="38" t="n">
        <v>21590000</v>
      </c>
      <c r="G2" s="4" t="n">
        <v>21490000</v>
      </c>
    </row>
    <row r="3">
      <c r="A3" t="inlineStr">
        <is>
          <t>iPhone 16  Plus 128GB</t>
        </is>
      </c>
      <c r="B3" s="3" t="n">
        <v>25190000</v>
      </c>
      <c r="C3" s="3" t="n">
        <v>25390000</v>
      </c>
      <c r="D3" s="42" t="n">
        <v>24890000</v>
      </c>
      <c r="E3" s="40" t="n">
        <v>24990000</v>
      </c>
      <c r="F3" s="40" t="n">
        <v>24790000</v>
      </c>
      <c r="G3" s="4" t="n">
        <v>24890000</v>
      </c>
    </row>
    <row r="4">
      <c r="A4" t="inlineStr">
        <is>
          <t>iPhone 16 Pro  128GB</t>
        </is>
      </c>
      <c r="B4" s="3" t="n">
        <v>28490000</v>
      </c>
      <c r="C4" s="3" t="n">
        <v>28590000</v>
      </c>
      <c r="D4" s="43" t="n">
        <v>27990000</v>
      </c>
      <c r="E4" s="40" t="n">
        <v>28190000</v>
      </c>
      <c r="F4" s="40" t="n">
        <v>27790000</v>
      </c>
      <c r="G4" s="4" t="n">
        <v>27790000</v>
      </c>
    </row>
    <row r="5">
      <c r="A5" t="inlineStr">
        <is>
          <t>iPhone 16 Pro Max 256GB</t>
        </is>
      </c>
      <c r="B5" s="3" t="n">
        <v>33890000</v>
      </c>
      <c r="C5" s="3" t="n">
        <v>34090000</v>
      </c>
      <c r="D5" s="42" t="n">
        <v>33390000</v>
      </c>
      <c r="E5" s="40" t="n">
        <v>32990000</v>
      </c>
      <c r="F5" s="38" t="n">
        <v>33090000</v>
      </c>
      <c r="G5" s="3" t="n">
        <v>32990000</v>
      </c>
    </row>
    <row r="6">
      <c r="A6" t="inlineStr">
        <is>
          <t>iPhone 15  128GB</t>
        </is>
      </c>
      <c r="B6" s="37" t="n">
        <v>19690000</v>
      </c>
      <c r="C6" s="42" t="n">
        <v>19890000</v>
      </c>
      <c r="D6" s="42" t="n">
        <v>19390000</v>
      </c>
      <c r="E6" s="40" t="n">
        <v>19490000</v>
      </c>
      <c r="F6" s="38" t="n">
        <v>19390000</v>
      </c>
      <c r="G6" s="3" t="n">
        <v>18990000</v>
      </c>
    </row>
    <row r="7">
      <c r="A7" t="inlineStr">
        <is>
          <t>iPhone 15  Plus 128GB</t>
        </is>
      </c>
      <c r="B7" s="37" t="n">
        <v>22590000</v>
      </c>
      <c r="C7" s="42" t="n">
        <v>22790000</v>
      </c>
      <c r="D7" s="43" t="n">
        <v>22590000</v>
      </c>
      <c r="E7" s="40" t="n">
        <v>22490000</v>
      </c>
      <c r="F7" s="38" t="n">
        <v>22390000</v>
      </c>
      <c r="G7" s="3" t="n">
        <v>22190000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7" t="n">
        <v>29290000</v>
      </c>
      <c r="C9" s="37" t="n">
        <v>29290000</v>
      </c>
      <c r="D9" s="25" t="n">
        <v>29290000</v>
      </c>
      <c r="E9" s="40" t="inlineStr">
        <is>
          <t>OOS</t>
        </is>
      </c>
      <c r="F9" s="38" t="n">
        <v>28490000</v>
      </c>
      <c r="G9" s="3" t="n">
        <v>28490000</v>
      </c>
      <c r="H9" t="inlineStr">
        <is>
          <t>x</t>
        </is>
      </c>
      <c r="I9" t="inlineStr">
        <is>
          <t>FPT</t>
        </is>
      </c>
      <c r="J9" t="inlineStr">
        <is>
          <t>Việt</t>
        </is>
      </c>
      <c r="K9" t="b">
        <v>1</v>
      </c>
    </row>
    <row r="10">
      <c r="A10" t="inlineStr">
        <is>
          <t>iPhone 14 Plus 128GB</t>
        </is>
      </c>
      <c r="B10" s="3" t="n">
        <v>19690000</v>
      </c>
      <c r="C10" s="3" t="n">
        <v>19990000</v>
      </c>
      <c r="D10" s="25" t="n">
        <v>19690000</v>
      </c>
      <c r="E10" s="40" t="n">
        <v>18990000</v>
      </c>
      <c r="F10" s="39" t="n">
        <v>19690000</v>
      </c>
      <c r="G10" s="3" t="n">
        <v>19890000</v>
      </c>
      <c r="I10" t="inlineStr">
        <is>
          <t>Viettel</t>
        </is>
      </c>
      <c r="J10" t="inlineStr">
        <is>
          <t>Sơn</t>
        </is>
      </c>
      <c r="K10" t="b">
        <v>1</v>
      </c>
    </row>
    <row r="11">
      <c r="A11" t="inlineStr">
        <is>
          <t>iPhone 14 128GB</t>
        </is>
      </c>
      <c r="B11" s="3" t="n">
        <v>16990000</v>
      </c>
      <c r="C11" s="3" t="n">
        <v>17190000</v>
      </c>
      <c r="D11" s="40" t="n">
        <v>16990000</v>
      </c>
      <c r="E11" s="37" t="inlineStr">
        <is>
          <t>OOS</t>
        </is>
      </c>
      <c r="F11" s="39" t="n">
        <v>16850000</v>
      </c>
      <c r="G11" s="3" t="n">
        <v>17090000</v>
      </c>
      <c r="I11" t="inlineStr">
        <is>
          <t>CPS</t>
        </is>
      </c>
      <c r="J11" t="inlineStr">
        <is>
          <t>Trang</t>
        </is>
      </c>
      <c r="K11" t="b">
        <v>1</v>
      </c>
    </row>
    <row r="12">
      <c r="A12" t="inlineStr">
        <is>
          <t>iPhone 13  128GB</t>
        </is>
      </c>
      <c r="B12" s="3" t="n">
        <v>13490000</v>
      </c>
      <c r="C12" s="3" t="n">
        <v>13690000</v>
      </c>
      <c r="D12" s="39" t="n">
        <v>13590000</v>
      </c>
      <c r="E12" s="40" t="n">
        <v>13290000</v>
      </c>
      <c r="F12" s="39" t="n">
        <v>13390000</v>
      </c>
      <c r="G12" s="4" t="inlineStr">
        <is>
          <t>12.990.000</t>
        </is>
      </c>
      <c r="I12" t="inlineStr">
        <is>
          <t>ShopDunk</t>
        </is>
      </c>
      <c r="J12" t="inlineStr">
        <is>
          <t>Đạt</t>
        </is>
      </c>
      <c r="K12" t="b">
        <v>1</v>
      </c>
    </row>
    <row r="13">
      <c r="A13" t="inlineStr">
        <is>
          <t>iPhone 12 64GB</t>
        </is>
      </c>
      <c r="B13" s="3" t="n">
        <v>11990000</v>
      </c>
      <c r="C13" s="37" t="inlineStr">
        <is>
          <t>OOS</t>
        </is>
      </c>
      <c r="D13" s="25" t="inlineStr">
        <is>
          <t>OOS</t>
        </is>
      </c>
      <c r="E13" s="37" t="n">
        <v>10990000</v>
      </c>
      <c r="F13" s="39" t="n">
        <v>10890000</v>
      </c>
      <c r="G13" s="4" t="n">
        <v>12290000</v>
      </c>
    </row>
    <row r="14">
      <c r="A14" t="inlineStr">
        <is>
          <t>iPhone 11 64GB</t>
        </is>
      </c>
      <c r="B14" s="37" t="n">
        <v>8890000</v>
      </c>
      <c r="C14" s="37" t="n">
        <v>8890000</v>
      </c>
      <c r="D14" s="3" t="n">
        <v>8990000</v>
      </c>
      <c r="E14" s="40" t="n">
        <v>8490000</v>
      </c>
      <c r="F14" s="39" t="n">
        <v>8890000</v>
      </c>
      <c r="G14" s="4" t="inlineStr">
        <is>
          <t>OOS</t>
        </is>
      </c>
    </row>
    <row r="15">
      <c r="A15" t="inlineStr">
        <is>
          <t>iPad Mini 7 128GB Wifi</t>
        </is>
      </c>
      <c r="B15" s="3" t="n">
        <v>13990000</v>
      </c>
      <c r="C15" s="25" t="n">
        <v>13990000</v>
      </c>
      <c r="D15" s="25" t="n">
        <v>13990000</v>
      </c>
      <c r="E15" s="25" t="n">
        <v>13850000</v>
      </c>
      <c r="F15" s="34" t="n">
        <v>13890000</v>
      </c>
      <c r="G15" s="4" t="n">
        <v>13690000</v>
      </c>
    </row>
    <row r="16">
      <c r="A16" t="inlineStr">
        <is>
          <t>iPad Gen 10th 64GB Wifi</t>
        </is>
      </c>
      <c r="B16" s="3" t="n">
        <v>8590000</v>
      </c>
      <c r="C16" s="3" t="n">
        <v>8590000</v>
      </c>
      <c r="D16" s="3" t="n">
        <v>8690000</v>
      </c>
      <c r="E16" s="40" t="n">
        <v>8690000</v>
      </c>
      <c r="F16" s="34" t="n">
        <v>8690000</v>
      </c>
      <c r="G16" s="4" t="n">
        <v>8590000</v>
      </c>
    </row>
    <row r="17">
      <c r="A17" t="inlineStr">
        <is>
          <t>iPad Gen 9th  64GB Wifi</t>
        </is>
      </c>
      <c r="B17" s="3" t="n">
        <v>6990000</v>
      </c>
      <c r="C17" s="3" t="n">
        <v>6990000</v>
      </c>
      <c r="D17" s="25" t="n">
        <v>7050000</v>
      </c>
      <c r="E17" s="40" t="n">
        <v>6990000</v>
      </c>
      <c r="F17" s="34" t="n">
        <v>6990000</v>
      </c>
      <c r="G17" s="3" t="n">
        <v>6990000</v>
      </c>
    </row>
    <row r="18">
      <c r="A18" t="inlineStr">
        <is>
          <t>iPad Air M2  11" 128 GB Wifi</t>
        </is>
      </c>
      <c r="B18" s="3" t="n">
        <v>14890000</v>
      </c>
      <c r="C18" s="3" t="n">
        <v>14890000</v>
      </c>
      <c r="D18" s="25" t="n">
        <v>14890000</v>
      </c>
      <c r="E18" s="40" t="n">
        <v>14345000</v>
      </c>
      <c r="F18" s="39" t="n">
        <v>14990000</v>
      </c>
      <c r="G18" s="3" t="n">
        <v>14190000</v>
      </c>
    </row>
    <row r="19">
      <c r="A19" t="inlineStr">
        <is>
          <t>iPad Air M2  13" 128 GB Wifi</t>
        </is>
      </c>
      <c r="B19" s="3" t="n">
        <v>20590000</v>
      </c>
      <c r="C19" s="3" t="n">
        <v>20590000</v>
      </c>
      <c r="D19" s="25" t="n">
        <v>20690000</v>
      </c>
      <c r="E19" s="40" t="n">
        <v>21275000</v>
      </c>
      <c r="F19" s="39" t="n">
        <v>20590000</v>
      </c>
      <c r="G19" s="4" t="n">
        <v>20390000</v>
      </c>
    </row>
    <row r="20">
      <c r="A20" t="inlineStr">
        <is>
          <t>iPad Pro  M4  11" 256 GB Wifi</t>
        </is>
      </c>
      <c r="B20" s="3" t="n">
        <v>27490000</v>
      </c>
      <c r="C20" s="3" t="n">
        <v>27490000</v>
      </c>
      <c r="D20" s="3" t="n">
        <v>27690000</v>
      </c>
      <c r="E20" s="40" t="n">
        <v>26918000</v>
      </c>
      <c r="F20" s="39" t="n">
        <v>27590000</v>
      </c>
      <c r="G20" s="3" t="n">
        <v>27090000</v>
      </c>
    </row>
    <row r="21">
      <c r="A21" t="inlineStr">
        <is>
          <t>iPad Pro  M4  13" 256 GB Wifi</t>
        </is>
      </c>
      <c r="B21" s="37" t="n">
        <v>36790000</v>
      </c>
      <c r="C21" s="37" t="n">
        <v>36790000</v>
      </c>
      <c r="D21" s="25" t="n">
        <v>36790000</v>
      </c>
      <c r="E21" s="40" t="n">
        <v>36490000</v>
      </c>
      <c r="F21" s="39" t="n">
        <v>36990000</v>
      </c>
      <c r="G21" s="4" t="n">
        <v>36490000</v>
      </c>
    </row>
    <row r="22">
      <c r="A22" t="inlineStr">
        <is>
          <t>AW SE 2 (40mm GPS)</t>
        </is>
      </c>
      <c r="B22" s="3" t="n">
        <v>5690000</v>
      </c>
      <c r="C22" s="3" t="n">
        <v>5690000</v>
      </c>
      <c r="D22" s="25" t="n">
        <v>5790000</v>
      </c>
      <c r="E22" s="40" t="n">
        <v>5790000</v>
      </c>
      <c r="F22" s="39" t="n">
        <v>5890000</v>
      </c>
      <c r="G22" s="4" t="n">
        <v>5790000</v>
      </c>
    </row>
    <row r="23">
      <c r="A23" t="inlineStr">
        <is>
          <t>AW SE 2 (40mm LTE)</t>
        </is>
      </c>
      <c r="B23" s="37" t="n">
        <v>6990000</v>
      </c>
      <c r="C23" s="37" t="n">
        <v>6990000</v>
      </c>
      <c r="D23" s="25" t="n">
        <v>7090000</v>
      </c>
      <c r="E23" s="40" t="n">
        <v>7290000</v>
      </c>
      <c r="F23" s="39" t="n">
        <v>7190000</v>
      </c>
      <c r="G23" s="4" t="n">
        <v>7290000</v>
      </c>
    </row>
    <row r="24">
      <c r="A24" t="inlineStr">
        <is>
          <t>AW SE 2 (44mm GPS)</t>
        </is>
      </c>
      <c r="B24" s="3" t="n">
        <v>6490000</v>
      </c>
      <c r="C24" s="3" t="n">
        <v>6490000</v>
      </c>
      <c r="D24" s="25" t="n">
        <v>6590000</v>
      </c>
      <c r="E24" s="40" t="n">
        <v>6590000</v>
      </c>
      <c r="F24" s="39" t="n">
        <v>6490000</v>
      </c>
      <c r="G24" s="4" t="n">
        <v>6590000</v>
      </c>
    </row>
    <row r="25">
      <c r="A25" t="inlineStr">
        <is>
          <t>AW SE 2 (44mm LTE)</t>
        </is>
      </c>
      <c r="B25" s="37" t="n">
        <v>7790000</v>
      </c>
      <c r="C25" s="37" t="n">
        <v>7790000</v>
      </c>
      <c r="D25" s="25" t="n">
        <v>7890000</v>
      </c>
      <c r="E25" s="40" t="n">
        <v>7990000</v>
      </c>
      <c r="F25" s="39" t="n">
        <v>8090000</v>
      </c>
      <c r="G25" s="4" t="inlineStr">
        <is>
          <t>7.890.000</t>
        </is>
      </c>
    </row>
    <row r="26">
      <c r="A26" t="inlineStr">
        <is>
          <t>AW S10 (42mm GPS)</t>
        </is>
      </c>
      <c r="B26" s="37" t="n">
        <v>10790000</v>
      </c>
      <c r="C26" s="37" t="n">
        <v>10790000</v>
      </c>
      <c r="D26" s="25" t="n">
        <v>10790000</v>
      </c>
      <c r="E26" s="40" t="n">
        <v>10490000</v>
      </c>
      <c r="F26" s="39" t="n">
        <v>10890000</v>
      </c>
      <c r="G26" s="4" t="n">
        <v>10990000</v>
      </c>
    </row>
    <row r="27">
      <c r="A27" t="inlineStr">
        <is>
          <t>AW S10 (42mm CEL)</t>
        </is>
      </c>
      <c r="B27" s="37" t="n">
        <v>13390000</v>
      </c>
      <c r="C27" s="25" t="n">
        <v>13390000</v>
      </c>
      <c r="D27" s="25" t="n">
        <v>13390000</v>
      </c>
      <c r="E27" s="40" t="n">
        <v>12990000</v>
      </c>
      <c r="F27" s="39" t="n">
        <v>13590000</v>
      </c>
      <c r="G27" s="4" t="n">
        <v>13590000</v>
      </c>
    </row>
    <row r="28">
      <c r="A28" t="inlineStr">
        <is>
          <t>AW S10 (46mm GPS)</t>
        </is>
      </c>
      <c r="B28" s="37" t="n">
        <v>11590000</v>
      </c>
      <c r="C28" s="37" t="n">
        <v>11590000</v>
      </c>
      <c r="D28" s="25" t="n">
        <v>11590000</v>
      </c>
      <c r="E28" s="40" t="n">
        <v>11290000</v>
      </c>
      <c r="F28" s="39" t="n">
        <v>11690000</v>
      </c>
      <c r="G28" s="4" t="inlineStr">
        <is>
          <t>11.790.000</t>
        </is>
      </c>
    </row>
    <row r="29">
      <c r="A29" t="inlineStr">
        <is>
          <t>AW S10 (46mm CEL)</t>
        </is>
      </c>
      <c r="B29" s="37" t="n">
        <v>14190000</v>
      </c>
      <c r="C29" s="37" t="n">
        <v>14190000</v>
      </c>
      <c r="D29" s="25" t="n">
        <v>14190000</v>
      </c>
      <c r="E29" s="40" t="n">
        <v>13890000</v>
      </c>
      <c r="F29" s="39" t="n">
        <v>14290000</v>
      </c>
      <c r="G29" s="4" t="n">
        <v>14390000</v>
      </c>
    </row>
    <row r="30">
      <c r="A30" t="inlineStr">
        <is>
          <t>AW Ultra 2 (49mm)</t>
        </is>
      </c>
      <c r="B30" s="3" t="n">
        <v>22490000</v>
      </c>
      <c r="C30" s="3" t="n">
        <v>22490000</v>
      </c>
      <c r="D30" s="25" t="n">
        <v>22990000</v>
      </c>
      <c r="E30" s="38" t="n">
        <v>21690000</v>
      </c>
      <c r="F30" s="40" t="n">
        <v>22490000</v>
      </c>
      <c r="G30" s="4" t="n">
        <v>22990000</v>
      </c>
    </row>
    <row r="31">
      <c r="A31" t="inlineStr">
        <is>
          <t>AirPods Pro 2 - 2023 (C-Type)</t>
        </is>
      </c>
      <c r="B31" s="37" t="n">
        <v>5590000</v>
      </c>
      <c r="C31" s="37" t="n">
        <v>5590000</v>
      </c>
      <c r="D31" s="39" t="n">
        <v>5590000</v>
      </c>
      <c r="E31" s="40" t="n">
        <v>5290000</v>
      </c>
      <c r="F31" s="40" t="n">
        <v>5690000</v>
      </c>
      <c r="G31" s="4" t="n">
        <v>5450000</v>
      </c>
    </row>
    <row r="32">
      <c r="A32" t="inlineStr">
        <is>
          <t>AirPods 4 ANC</t>
        </is>
      </c>
      <c r="B32" s="37" t="n">
        <v>4590000</v>
      </c>
      <c r="C32" s="37" t="n">
        <v>4590000</v>
      </c>
      <c r="D32" s="40" t="n">
        <v>4590000</v>
      </c>
      <c r="E32" s="40" t="n">
        <v>4590000</v>
      </c>
      <c r="F32" s="40" t="n">
        <v>4590000</v>
      </c>
      <c r="G32" s="4" t="n">
        <v>4590000</v>
      </c>
    </row>
    <row r="33">
      <c r="A33" t="inlineStr">
        <is>
          <t>AirPods 4 with charging case</t>
        </is>
      </c>
      <c r="B33" s="37" t="n">
        <v>3290000</v>
      </c>
      <c r="C33" s="37" t="n">
        <v>3290000</v>
      </c>
      <c r="D33" s="40" t="n">
        <v>3290000</v>
      </c>
      <c r="E33" s="40" t="n">
        <v>3290000</v>
      </c>
      <c r="F33" s="40" t="n">
        <v>3290000</v>
      </c>
      <c r="G33" s="4" t="n">
        <v>3360000</v>
      </c>
    </row>
    <row r="34">
      <c r="A34" t="inlineStr">
        <is>
          <t>AirPods 3 with charging case</t>
        </is>
      </c>
      <c r="B34" s="37" t="n">
        <v>3790000</v>
      </c>
      <c r="C34" s="37" t="n">
        <v>3790000</v>
      </c>
      <c r="D34" s="43" t="n">
        <v>3590000</v>
      </c>
      <c r="E34" s="40" t="n">
        <v>3890000</v>
      </c>
      <c r="F34" s="39" t="n">
        <v>3790000</v>
      </c>
      <c r="G34" s="4" t="inlineStr">
        <is>
          <t>OOS</t>
        </is>
      </c>
    </row>
    <row r="35">
      <c r="A35" t="inlineStr">
        <is>
          <t>MacBook Air 13" M1 8/256Gb</t>
        </is>
      </c>
      <c r="B35" s="3" t="n">
        <v>17990000</v>
      </c>
      <c r="C35" s="3" t="n">
        <v>17990000</v>
      </c>
      <c r="D35" s="39" t="n">
        <v>17990000</v>
      </c>
      <c r="E35" s="37" t="n"/>
      <c r="F35" s="39" t="n">
        <v>18090000</v>
      </c>
      <c r="G35" s="4" t="n">
        <v>17490000</v>
      </c>
    </row>
    <row r="36">
      <c r="A36" t="inlineStr">
        <is>
          <t>MacBook Air 13" M2 16/256GB</t>
        </is>
      </c>
      <c r="B36" s="3" t="n">
        <v>24290000</v>
      </c>
      <c r="C36" s="3" t="n">
        <v>24290000</v>
      </c>
      <c r="D36" s="25" t="n">
        <v>24190000</v>
      </c>
      <c r="E36" s="37" t="n"/>
      <c r="F36" s="39" t="n">
        <v>24290000</v>
      </c>
      <c r="G36" s="4" t="n">
        <v>23990000</v>
      </c>
    </row>
    <row r="37">
      <c r="A37" t="inlineStr">
        <is>
          <t>MacBook Air 13" M3 16/256GB</t>
        </is>
      </c>
      <c r="B37" s="37" t="n">
        <v>27490000</v>
      </c>
      <c r="C37" s="37" t="inlineStr">
        <is>
          <t>OOS</t>
        </is>
      </c>
      <c r="D37" s="39" t="n">
        <v>27290000</v>
      </c>
      <c r="E37" s="37" t="n"/>
      <c r="F37" s="34" t="n">
        <v>27390000</v>
      </c>
      <c r="G37" s="4" t="n">
        <v>27090000</v>
      </c>
    </row>
    <row r="38">
      <c r="A38" t="inlineStr">
        <is>
          <t>MacBook Air 15" M3 16/256GB</t>
        </is>
      </c>
      <c r="B38" s="37" t="n">
        <v>32490000</v>
      </c>
      <c r="C38" s="37" t="inlineStr">
        <is>
          <t>OOS</t>
        </is>
      </c>
      <c r="D38" s="25" t="n">
        <v>32490000</v>
      </c>
      <c r="E38" s="37" t="n"/>
      <c r="F38" s="39" t="n">
        <v>32990000</v>
      </c>
      <c r="G38" s="4" t="n">
        <v>30190000</v>
      </c>
    </row>
    <row r="39">
      <c r="A39" t="inlineStr">
        <is>
          <t>MacBook Pro 14" M4 16/512GB</t>
        </is>
      </c>
      <c r="B39" s="37" t="inlineStr">
        <is>
          <t>OOS</t>
        </is>
      </c>
      <c r="C39" s="37" t="inlineStr">
        <is>
          <t>OOS</t>
        </is>
      </c>
      <c r="D39" s="25" t="inlineStr">
        <is>
          <t>OOS</t>
        </is>
      </c>
      <c r="E39" s="37" t="n"/>
      <c r="F39" s="37" t="n">
        <v>38590000</v>
      </c>
      <c r="G39"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8.xml><?xml version="1.0" encoding="utf-8"?>
<worksheet xmlns="http://schemas.openxmlformats.org/spreadsheetml/2006/main">
  <sheetPr codeName="Sheet37">
    <outlinePr summaryBelow="1" summaryRight="1"/>
    <pageSetUpPr/>
  </sheetPr>
  <dimension ref="A1:K39"/>
  <sheetViews>
    <sheetView zoomScale="118" zoomScaleNormal="172"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21490000</v>
      </c>
      <c r="C2" s="3" t="n">
        <v>21490000</v>
      </c>
      <c r="D2" s="42" t="n">
        <v>21490000</v>
      </c>
      <c r="E2" s="38" t="n">
        <v>20790000</v>
      </c>
      <c r="F2" s="38" t="n">
        <v>21490000</v>
      </c>
      <c r="G2" s="3" t="n">
        <v>20790000</v>
      </c>
    </row>
    <row r="3">
      <c r="A3" t="inlineStr">
        <is>
          <t>iPhone 16  Plus 128GB</t>
        </is>
      </c>
      <c r="B3" s="3" t="n">
        <v>24990000</v>
      </c>
      <c r="C3" s="25" t="n">
        <v>25190000</v>
      </c>
      <c r="D3" s="42" t="n">
        <v>24990000</v>
      </c>
      <c r="E3" s="38" t="n">
        <v>24790000</v>
      </c>
      <c r="F3" s="38" t="n">
        <v>24990000</v>
      </c>
      <c r="G3" s="3" t="n">
        <v>24390000</v>
      </c>
    </row>
    <row r="4">
      <c r="A4" t="inlineStr">
        <is>
          <t>iPhone 16 Pro  128GB</t>
        </is>
      </c>
      <c r="B4" s="3" t="n">
        <v>27490000</v>
      </c>
      <c r="C4" s="3" t="n">
        <v>27490000</v>
      </c>
      <c r="D4" s="42" t="n">
        <v>27490000</v>
      </c>
      <c r="E4" s="38" t="n">
        <v>26990000</v>
      </c>
      <c r="F4" s="38" t="n">
        <v>27490000</v>
      </c>
      <c r="G4" s="3" t="n">
        <v>26690000</v>
      </c>
    </row>
    <row r="5">
      <c r="A5" t="inlineStr">
        <is>
          <t>iPhone 16 Pro Max 256GB</t>
        </is>
      </c>
      <c r="B5" s="3" t="n">
        <v>33790000</v>
      </c>
      <c r="C5" s="3" t="n">
        <v>33990000</v>
      </c>
      <c r="D5" s="42" t="n">
        <v>33290000</v>
      </c>
      <c r="E5" s="38" t="n">
        <v>32790000</v>
      </c>
      <c r="F5" s="38" t="n">
        <v>33290000</v>
      </c>
      <c r="G5" s="3" t="n">
        <v>32490000</v>
      </c>
    </row>
    <row r="6">
      <c r="A6" t="inlineStr">
        <is>
          <t>iPhone 15  128GB</t>
        </is>
      </c>
      <c r="B6" s="3" t="n">
        <v>18990000</v>
      </c>
      <c r="C6" s="3" t="n">
        <v>18990000</v>
      </c>
      <c r="D6" s="42" t="n">
        <v>18990000</v>
      </c>
      <c r="E6" s="38" t="n">
        <v>18990000</v>
      </c>
      <c r="F6" s="38" t="n">
        <v>18990000</v>
      </c>
      <c r="G6" s="3" t="n">
        <v>18490000</v>
      </c>
    </row>
    <row r="7">
      <c r="A7" t="inlineStr">
        <is>
          <t>iPhone 15  Plus 128GB</t>
        </is>
      </c>
      <c r="B7" s="3" t="n">
        <v>22690000</v>
      </c>
      <c r="C7" s="3" t="n">
        <v>22990000</v>
      </c>
      <c r="D7" s="43" t="n">
        <v>22590000</v>
      </c>
      <c r="E7" s="38" t="n">
        <v>22290000</v>
      </c>
      <c r="F7" s="38" t="n">
        <v>22790000</v>
      </c>
      <c r="G7" s="3" t="n">
        <v>21790000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7" t="n">
        <v>29290000</v>
      </c>
      <c r="C9" s="42" t="n">
        <v>29590000</v>
      </c>
      <c r="D9" s="25" t="n">
        <v>29290000</v>
      </c>
      <c r="E9" s="40" t="inlineStr">
        <is>
          <t>OOS</t>
        </is>
      </c>
      <c r="F9" s="38" t="n">
        <v>29290000</v>
      </c>
      <c r="G9" s="4" t="n">
        <v>28490000</v>
      </c>
      <c r="H9" t="inlineStr">
        <is>
          <t>x</t>
        </is>
      </c>
      <c r="I9" t="inlineStr">
        <is>
          <t>FPT</t>
        </is>
      </c>
      <c r="J9" t="inlineStr">
        <is>
          <t>Việt</t>
        </is>
      </c>
      <c r="K9" t="b">
        <v>1</v>
      </c>
    </row>
    <row r="10">
      <c r="A10" t="inlineStr">
        <is>
          <t>iPhone 14 Plus 128GB</t>
        </is>
      </c>
      <c r="B10" s="3" t="n">
        <v>18590000</v>
      </c>
      <c r="C10" s="3" t="n">
        <v>18590000</v>
      </c>
      <c r="D10" s="25" t="n">
        <v>19690000</v>
      </c>
      <c r="E10" s="40" t="inlineStr">
        <is>
          <t>OOS</t>
        </is>
      </c>
      <c r="F10" s="39" t="n">
        <v>19690000</v>
      </c>
      <c r="G10" s="3" t="n">
        <v>19590000</v>
      </c>
      <c r="I10" t="inlineStr">
        <is>
          <t>Viettel</t>
        </is>
      </c>
      <c r="J10" t="inlineStr">
        <is>
          <t>Sơn</t>
        </is>
      </c>
      <c r="K10" t="b">
        <v>1</v>
      </c>
    </row>
    <row r="11">
      <c r="A11" t="inlineStr">
        <is>
          <t>iPhone 14 128GB</t>
        </is>
      </c>
      <c r="B11" s="3" t="n">
        <v>15890000</v>
      </c>
      <c r="C11" s="3" t="n">
        <v>15890000</v>
      </c>
      <c r="D11" s="38" t="n">
        <v>15990000</v>
      </c>
      <c r="E11" s="37" t="inlineStr">
        <is>
          <t>OOS</t>
        </is>
      </c>
      <c r="F11" s="34" t="n">
        <v>15990000</v>
      </c>
      <c r="G11" s="3" t="n">
        <v>16390000</v>
      </c>
      <c r="I11" t="inlineStr">
        <is>
          <t>CPS</t>
        </is>
      </c>
      <c r="J11" t="inlineStr">
        <is>
          <t>Trang</t>
        </is>
      </c>
      <c r="K11" t="b">
        <v>1</v>
      </c>
    </row>
    <row r="12">
      <c r="A12" t="inlineStr">
        <is>
          <t>iPhone 13  128GB</t>
        </is>
      </c>
      <c r="B12" s="3" t="n">
        <v>13290000</v>
      </c>
      <c r="C12" s="3" t="n">
        <v>13290000</v>
      </c>
      <c r="D12" s="39" t="n">
        <v>13590000</v>
      </c>
      <c r="E12" s="38" t="n">
        <v>12590000</v>
      </c>
      <c r="F12" s="34" t="n">
        <v>12990000</v>
      </c>
      <c r="G12" s="3" t="inlineStr">
        <is>
          <t>12.790.000</t>
        </is>
      </c>
      <c r="I12" t="inlineStr">
        <is>
          <t>ShopDunk</t>
        </is>
      </c>
      <c r="J12" t="inlineStr">
        <is>
          <t>Đạt</t>
        </is>
      </c>
      <c r="K12" t="b">
        <v>1</v>
      </c>
    </row>
    <row r="13">
      <c r="A13" t="inlineStr">
        <is>
          <t>iPhone 12 64GB</t>
        </is>
      </c>
      <c r="B13" s="37" t="n">
        <v>11990000</v>
      </c>
      <c r="C13" s="37" t="inlineStr">
        <is>
          <t>OOS</t>
        </is>
      </c>
      <c r="D13" s="25" t="inlineStr">
        <is>
          <t>OOS</t>
        </is>
      </c>
      <c r="E13" s="38" t="n">
        <v>17990000</v>
      </c>
      <c r="F13" s="34" t="n">
        <v>10490000</v>
      </c>
      <c r="G13" s="4" t="n">
        <v>12290000</v>
      </c>
    </row>
    <row r="14">
      <c r="A14" t="inlineStr">
        <is>
          <t>iPhone 11 64GB</t>
        </is>
      </c>
      <c r="B14" s="37" t="n">
        <v>8890000</v>
      </c>
      <c r="C14" s="37" t="n">
        <v>8890000</v>
      </c>
      <c r="D14" s="25" t="n">
        <v>8990000</v>
      </c>
      <c r="E14" s="40" t="n">
        <v>8490000</v>
      </c>
      <c r="F14" s="39" t="n">
        <v>8990000</v>
      </c>
      <c r="G14" s="4" t="inlineStr">
        <is>
          <t>OOS</t>
        </is>
      </c>
    </row>
    <row r="15">
      <c r="A15" t="inlineStr">
        <is>
          <t>iPad Mini 7 128GB Wifi</t>
        </is>
      </c>
      <c r="B15" s="3" t="n">
        <v>13990000</v>
      </c>
      <c r="C15" s="25" t="n">
        <v>13990000</v>
      </c>
      <c r="D15" s="25" t="n">
        <v>13990000</v>
      </c>
      <c r="E15" s="34" t="n">
        <v>13790000</v>
      </c>
      <c r="F15" s="34" t="n">
        <v>13890000</v>
      </c>
      <c r="G15" s="4" t="n">
        <v>13690000</v>
      </c>
    </row>
    <row r="16">
      <c r="A16" t="inlineStr">
        <is>
          <t>iPad Gen 10th 64GB Wifi</t>
        </is>
      </c>
      <c r="B16" s="3" t="n">
        <v>9490000</v>
      </c>
      <c r="C16" s="3" t="n">
        <v>9490000</v>
      </c>
      <c r="D16" s="3" t="n">
        <v>9490000</v>
      </c>
      <c r="E16" s="38" t="n">
        <v>9690000</v>
      </c>
      <c r="F16" s="34" t="n">
        <v>9490000</v>
      </c>
      <c r="G16" s="3" t="n">
        <v>9190000</v>
      </c>
    </row>
    <row r="17">
      <c r="A17" t="inlineStr">
        <is>
          <t>iPad Gen 9th  64GB Wifi</t>
        </is>
      </c>
      <c r="B17" s="37" t="n">
        <v>6990000</v>
      </c>
      <c r="C17" s="37" t="n">
        <v>6990000</v>
      </c>
      <c r="D17" s="25" t="n">
        <v>7050000</v>
      </c>
      <c r="E17" s="40" t="n">
        <v>6990000</v>
      </c>
      <c r="F17" s="34" t="n">
        <v>6990000</v>
      </c>
      <c r="G17" s="3" t="n">
        <v>6890000</v>
      </c>
    </row>
    <row r="18">
      <c r="A18" t="inlineStr">
        <is>
          <t>iPad Air M2  11" 128 GB Wifi</t>
        </is>
      </c>
      <c r="B18" s="3" t="n">
        <v>16190000</v>
      </c>
      <c r="C18" s="3" t="n">
        <v>16190000</v>
      </c>
      <c r="D18" s="3" t="n">
        <v>16390000</v>
      </c>
      <c r="E18" s="38" t="n">
        <v>15790000</v>
      </c>
      <c r="F18" s="34" t="n">
        <v>16190000</v>
      </c>
      <c r="G18" s="3" t="n">
        <v>16090000</v>
      </c>
    </row>
    <row r="19">
      <c r="A19" t="inlineStr">
        <is>
          <t>iPad Air M2  13" 128 GB Wifi</t>
        </is>
      </c>
      <c r="B19" s="3" t="n">
        <v>21490000</v>
      </c>
      <c r="C19" s="3" t="n">
        <v>21490000</v>
      </c>
      <c r="D19" s="3" t="n">
        <v>21490000</v>
      </c>
      <c r="E19" s="38" t="n">
        <v>21490000</v>
      </c>
      <c r="F19" s="34" t="n">
        <v>21490000</v>
      </c>
      <c r="G19" s="3" t="n">
        <v>21090000</v>
      </c>
    </row>
    <row r="20">
      <c r="A20" t="inlineStr">
        <is>
          <t>iPad Pro  M4  11" 256 GB Wifi</t>
        </is>
      </c>
      <c r="B20" s="37" t="n">
        <v>27490000</v>
      </c>
      <c r="C20" s="37" t="n">
        <v>27490000</v>
      </c>
      <c r="D20" s="25" t="n">
        <v>27690000</v>
      </c>
      <c r="E20" s="38" t="n">
        <v>27190000</v>
      </c>
      <c r="F20" s="39" t="n">
        <v>27490000</v>
      </c>
      <c r="G20" s="4" t="n">
        <v>27090000</v>
      </c>
    </row>
    <row r="21">
      <c r="A21" t="inlineStr">
        <is>
          <t>iPad Pro  M4  13" 256 GB Wifi</t>
        </is>
      </c>
      <c r="B21" s="37" t="n">
        <v>36790000</v>
      </c>
      <c r="C21" s="37" t="n">
        <v>36790000</v>
      </c>
      <c r="D21" s="25" t="n">
        <v>36790000</v>
      </c>
      <c r="E21" s="40" t="n">
        <v>36490000</v>
      </c>
      <c r="F21" s="34" t="n">
        <v>36790000</v>
      </c>
      <c r="G21" s="4" t="n">
        <v>36490000</v>
      </c>
    </row>
    <row r="22">
      <c r="A22" t="inlineStr">
        <is>
          <t>AW SE 2 (40mm GPS)</t>
        </is>
      </c>
      <c r="B22" s="3" t="n">
        <v>5790000</v>
      </c>
      <c r="C22" s="3" t="n">
        <v>5790000</v>
      </c>
      <c r="D22" s="25" t="n">
        <v>5790000</v>
      </c>
      <c r="E22" s="40" t="n">
        <v>5790000</v>
      </c>
      <c r="F22" s="39" t="n">
        <v>5890000</v>
      </c>
      <c r="G22" s="4" t="n">
        <v>5790000</v>
      </c>
    </row>
    <row r="23">
      <c r="A23" t="inlineStr">
        <is>
          <t>AW SE 2 (40mm LTE)</t>
        </is>
      </c>
      <c r="B23" s="3" t="n">
        <v>7090000</v>
      </c>
      <c r="C23" s="3" t="n">
        <v>7090000</v>
      </c>
      <c r="D23" s="25" t="n">
        <v>7090000</v>
      </c>
      <c r="E23" s="40" t="n">
        <v>7290000</v>
      </c>
      <c r="F23" s="39" t="n">
        <v>7190000</v>
      </c>
      <c r="G23" s="3" t="n">
        <v>7190000</v>
      </c>
    </row>
    <row r="24">
      <c r="A24" t="inlineStr">
        <is>
          <t>AW SE 2 (44mm GPS)</t>
        </is>
      </c>
      <c r="B24" s="3" t="n">
        <v>6590000</v>
      </c>
      <c r="C24" s="3" t="n">
        <v>6590000</v>
      </c>
      <c r="D24" s="25" t="n">
        <v>6590000</v>
      </c>
      <c r="E24" s="40" t="n">
        <v>6590000</v>
      </c>
      <c r="F24" s="34" t="n">
        <v>6690000</v>
      </c>
      <c r="G24" s="4" t="n">
        <v>6590000</v>
      </c>
    </row>
    <row r="25">
      <c r="A25" t="inlineStr">
        <is>
          <t>AW SE 2 (44mm LTE)</t>
        </is>
      </c>
      <c r="B25" s="3" t="n">
        <v>7890000</v>
      </c>
      <c r="C25" s="3" t="n">
        <v>7890000</v>
      </c>
      <c r="D25" s="25" t="n">
        <v>7890000</v>
      </c>
      <c r="E25" s="40" t="n">
        <v>7990000</v>
      </c>
      <c r="F25" s="39" t="n">
        <v>8090000</v>
      </c>
      <c r="G25" s="4" t="inlineStr">
        <is>
          <t>7.890.000</t>
        </is>
      </c>
    </row>
    <row r="26">
      <c r="A26" t="inlineStr">
        <is>
          <t>AW S10 (42mm GPS)</t>
        </is>
      </c>
      <c r="B26" s="37" t="n">
        <v>10790000</v>
      </c>
      <c r="C26" s="37" t="n">
        <v>10790000</v>
      </c>
      <c r="D26" s="25" t="n">
        <v>10790000</v>
      </c>
      <c r="E26" s="38" t="n">
        <v>10390000</v>
      </c>
      <c r="F26" s="34" t="n">
        <v>10890000</v>
      </c>
      <c r="G26" s="4" t="n">
        <v>10990000</v>
      </c>
    </row>
    <row r="27">
      <c r="A27" t="inlineStr">
        <is>
          <t>AW S10 (42mm CEL)</t>
        </is>
      </c>
      <c r="B27" s="37" t="n">
        <v>13390000</v>
      </c>
      <c r="C27" s="25" t="n">
        <v>13390000</v>
      </c>
      <c r="D27" s="25" t="n">
        <v>13390000</v>
      </c>
      <c r="E27" s="40" t="n">
        <v>12990000</v>
      </c>
      <c r="F27" s="34" t="n">
        <v>13390000</v>
      </c>
      <c r="G27" s="4" t="n">
        <v>13590000</v>
      </c>
    </row>
    <row r="28">
      <c r="A28" t="inlineStr">
        <is>
          <t>AW S10 (46mm GPS)</t>
        </is>
      </c>
      <c r="B28" s="37" t="n">
        <v>11590000</v>
      </c>
      <c r="C28" s="37" t="n">
        <v>11590000</v>
      </c>
      <c r="D28" s="25" t="n">
        <v>11590000</v>
      </c>
      <c r="E28" s="40" t="n">
        <v>11290000</v>
      </c>
      <c r="F28" s="39" t="n">
        <v>11690000</v>
      </c>
      <c r="G28" s="4" t="inlineStr">
        <is>
          <t>11.790.000</t>
        </is>
      </c>
    </row>
    <row r="29">
      <c r="A29" t="inlineStr">
        <is>
          <t>AW S10 (46mm CEL)</t>
        </is>
      </c>
      <c r="B29" s="37" t="n">
        <v>14190000</v>
      </c>
      <c r="C29" s="37" t="n">
        <v>14190000</v>
      </c>
      <c r="D29" s="25" t="n">
        <v>14190000</v>
      </c>
      <c r="E29" s="40" t="n">
        <v>13890000</v>
      </c>
      <c r="F29" s="39" t="n">
        <v>14190000</v>
      </c>
      <c r="G29" s="4" t="n">
        <v>14390000</v>
      </c>
    </row>
    <row r="30">
      <c r="A30" t="inlineStr">
        <is>
          <t>AW Ultra 2 (49mm)</t>
        </is>
      </c>
      <c r="B30" s="37" t="n">
        <v>22490000</v>
      </c>
      <c r="C30" s="37" t="n">
        <v>22490000</v>
      </c>
      <c r="D30" s="25" t="n">
        <v>22990000</v>
      </c>
      <c r="E30" s="38" t="n">
        <v>21990000</v>
      </c>
      <c r="F30" s="40" t="n">
        <v>22490000</v>
      </c>
      <c r="G30" s="4" t="n">
        <v>22990000</v>
      </c>
    </row>
    <row r="31">
      <c r="A31" t="inlineStr">
        <is>
          <t>AirPods Pro 2 - 2023 (C-Type)</t>
        </is>
      </c>
      <c r="B31" s="37" t="n">
        <v>5590000</v>
      </c>
      <c r="C31" s="37" t="n">
        <v>5590000</v>
      </c>
      <c r="D31" s="34" t="n">
        <v>5790000</v>
      </c>
      <c r="E31" s="38" t="n">
        <v>5690000</v>
      </c>
      <c r="F31" s="38" t="n">
        <v>5790000</v>
      </c>
      <c r="G31" s="4" t="n">
        <v>5450000</v>
      </c>
    </row>
    <row r="32">
      <c r="A32" t="inlineStr">
        <is>
          <t>AirPods 4 ANC</t>
        </is>
      </c>
      <c r="B32" s="3" t="n">
        <v>4550000</v>
      </c>
      <c r="C32" s="3" t="n">
        <v>4550000</v>
      </c>
      <c r="D32" s="38" t="n">
        <v>4550000</v>
      </c>
      <c r="E32" s="40" t="n">
        <v>4590000</v>
      </c>
      <c r="F32" s="40" t="n">
        <v>4550000</v>
      </c>
      <c r="G32" s="4" t="n">
        <v>4590000</v>
      </c>
    </row>
    <row r="33">
      <c r="A33" t="inlineStr">
        <is>
          <t>AirPods 4 with charging case</t>
        </is>
      </c>
      <c r="B33" s="37" t="n">
        <v>3290000</v>
      </c>
      <c r="C33" s="37" t="n">
        <v>3290000</v>
      </c>
      <c r="D33" s="40" t="n">
        <v>3290000</v>
      </c>
      <c r="E33" s="40" t="n">
        <v>3290000</v>
      </c>
      <c r="F33" s="40" t="n">
        <v>3290000</v>
      </c>
      <c r="G33" s="4" t="n">
        <v>3360000</v>
      </c>
    </row>
    <row r="34">
      <c r="A34" t="inlineStr">
        <is>
          <t>AirPods 3 with charging case</t>
        </is>
      </c>
      <c r="B34" s="3" t="n">
        <v>3990000</v>
      </c>
      <c r="C34" s="3" t="n">
        <v>3990000</v>
      </c>
      <c r="D34" s="42" t="n">
        <v>3990000</v>
      </c>
      <c r="E34" s="38" t="n">
        <v>3990000</v>
      </c>
      <c r="F34" s="39" t="n">
        <v>3590000</v>
      </c>
      <c r="G34" s="4" t="inlineStr">
        <is>
          <t>OOS</t>
        </is>
      </c>
    </row>
    <row r="35">
      <c r="A35" t="inlineStr">
        <is>
          <t>MacBook Air 13" M1 8/256Gb</t>
        </is>
      </c>
      <c r="B35" s="37" t="n">
        <v>17990000</v>
      </c>
      <c r="C35" s="25" t="n">
        <v>17990000</v>
      </c>
      <c r="D35" s="34" t="n">
        <v>18190000</v>
      </c>
      <c r="E35" s="37" t="n"/>
      <c r="F35" s="34" t="n">
        <v>17990000</v>
      </c>
      <c r="G35" s="3" t="n">
        <v>17690000</v>
      </c>
    </row>
    <row r="36">
      <c r="A36" t="inlineStr">
        <is>
          <t>MacBook Air 13" M2 16/256GB</t>
        </is>
      </c>
      <c r="B36" s="37" t="n">
        <v>24290000</v>
      </c>
      <c r="C36" s="25" t="n">
        <v>24290000</v>
      </c>
      <c r="D36" s="3" t="n">
        <v>24390000</v>
      </c>
      <c r="E36" s="37" t="n"/>
      <c r="F36" s="39" t="n">
        <v>24290000</v>
      </c>
      <c r="G36" s="4" t="n">
        <v>23990000</v>
      </c>
    </row>
    <row r="37">
      <c r="A37" t="inlineStr">
        <is>
          <t>MacBook Air 13" M3 16/256GB</t>
        </is>
      </c>
      <c r="B37" s="37" t="n">
        <v>27490000</v>
      </c>
      <c r="C37" s="37" t="inlineStr">
        <is>
          <t>OOS</t>
        </is>
      </c>
      <c r="D37" s="34" t="n">
        <v>27490000</v>
      </c>
      <c r="E37" s="37" t="n"/>
      <c r="F37" s="34" t="n">
        <v>27690000</v>
      </c>
      <c r="G37" s="3" t="n">
        <v>26990000</v>
      </c>
    </row>
    <row r="38">
      <c r="A38" t="inlineStr">
        <is>
          <t>MacBook Air 15" M3 16/256GB</t>
        </is>
      </c>
      <c r="B38" s="37" t="n">
        <v>32490000</v>
      </c>
      <c r="C38" s="37" t="inlineStr">
        <is>
          <t>OOS</t>
        </is>
      </c>
      <c r="D38" s="25" t="n">
        <v>32490000</v>
      </c>
      <c r="E38" s="37" t="n"/>
      <c r="F38" s="34" t="n">
        <v>32690000</v>
      </c>
      <c r="G38" s="4" t="n">
        <v>30190000</v>
      </c>
    </row>
    <row r="39">
      <c r="A39" t="inlineStr">
        <is>
          <t>MacBook Pro 14" M4 16/512GB</t>
        </is>
      </c>
      <c r="B39" s="37" t="inlineStr">
        <is>
          <t>OOS</t>
        </is>
      </c>
      <c r="C39" s="37" t="inlineStr">
        <is>
          <t>OOS</t>
        </is>
      </c>
      <c r="D39" s="25" t="inlineStr">
        <is>
          <t>OOS</t>
        </is>
      </c>
      <c r="E39" s="37" t="n"/>
      <c r="F39" s="37" t="n">
        <v>38590000</v>
      </c>
      <c r="G39"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39.xml><?xml version="1.0" encoding="utf-8"?>
<worksheet xmlns="http://schemas.openxmlformats.org/spreadsheetml/2006/main">
  <sheetPr codeName="Sheet38">
    <outlinePr summaryBelow="1" summaryRight="1"/>
    <pageSetUpPr/>
  </sheetPr>
  <dimension ref="A1:K39"/>
  <sheetViews>
    <sheetView zoomScale="110" zoomScaleNormal="110"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3" t="n">
        <v>21340000</v>
      </c>
      <c r="C2" s="3" t="n">
        <v>21340000</v>
      </c>
      <c r="D2" s="42" t="n">
        <v>21190000</v>
      </c>
      <c r="E2" s="40" t="n">
        <v>20790000</v>
      </c>
      <c r="F2" s="38" t="n">
        <v>21190000</v>
      </c>
      <c r="G2" s="4" t="n">
        <v>20790000</v>
      </c>
    </row>
    <row r="3">
      <c r="A3" t="inlineStr">
        <is>
          <t>iPhone 16  Plus 128GB</t>
        </is>
      </c>
      <c r="B3" s="3" t="n">
        <v>24640000</v>
      </c>
      <c r="C3" s="3" t="n">
        <v>24640000</v>
      </c>
      <c r="D3" s="42" t="n">
        <v>24690000</v>
      </c>
      <c r="E3" s="40" t="n">
        <v>24790000</v>
      </c>
      <c r="F3" s="38" t="n">
        <v>24690000</v>
      </c>
      <c r="G3" s="3" t="n">
        <v>24590000</v>
      </c>
    </row>
    <row r="4">
      <c r="A4" t="inlineStr">
        <is>
          <t>iPhone 16 Pro  128GB</t>
        </is>
      </c>
      <c r="B4" s="3" t="n">
        <v>27340000</v>
      </c>
      <c r="C4" s="3" t="n">
        <v>27340000</v>
      </c>
      <c r="D4" s="42" t="n">
        <v>27390000</v>
      </c>
      <c r="E4" s="40" t="n">
        <v>26990000</v>
      </c>
      <c r="F4" s="38" t="n">
        <v>27390000</v>
      </c>
      <c r="G4" s="4" t="n">
        <v>26990000</v>
      </c>
    </row>
    <row r="5">
      <c r="A5" t="inlineStr">
        <is>
          <t>iPhone 16 Pro Max 256GB</t>
        </is>
      </c>
      <c r="B5" s="3" t="n">
        <v>32840000</v>
      </c>
      <c r="C5" s="3" t="n">
        <v>32840000</v>
      </c>
      <c r="D5" s="42" t="n">
        <v>32790000</v>
      </c>
      <c r="E5" s="40" t="n">
        <v>32790000</v>
      </c>
      <c r="F5" s="38" t="n">
        <v>32790000</v>
      </c>
      <c r="G5" s="3" t="n">
        <v>32690000</v>
      </c>
    </row>
    <row r="6">
      <c r="A6" t="inlineStr">
        <is>
          <t>iPhone 15  128GB</t>
        </is>
      </c>
      <c r="B6" s="3" t="n">
        <v>18840000</v>
      </c>
      <c r="C6" s="3" t="n">
        <v>18840000</v>
      </c>
      <c r="D6" s="43" t="n">
        <v>18990000</v>
      </c>
      <c r="E6" s="40" t="n">
        <v>18990000</v>
      </c>
      <c r="F6" s="38" t="n">
        <v>18890000</v>
      </c>
      <c r="G6" s="3" t="n">
        <v>18590000</v>
      </c>
    </row>
    <row r="7">
      <c r="A7" t="inlineStr">
        <is>
          <t>iPhone 15  Plus 128GB</t>
        </is>
      </c>
      <c r="B7" s="3" t="n">
        <v>22440000</v>
      </c>
      <c r="C7" s="3" t="n">
        <v>22440000</v>
      </c>
      <c r="D7" s="43" t="n">
        <v>22590000</v>
      </c>
      <c r="E7" s="40" t="n">
        <v>22290000</v>
      </c>
      <c r="F7" s="38" t="n">
        <v>22590000</v>
      </c>
      <c r="G7" s="3" t="n">
        <v>21790000</v>
      </c>
      <c r="I7" t="inlineStr">
        <is>
          <t xml:space="preserve">MW </t>
        </is>
      </c>
      <c r="J7" t="inlineStr">
        <is>
          <t>Duy</t>
        </is>
      </c>
      <c r="K7" t="b">
        <v>1</v>
      </c>
    </row>
    <row r="8">
      <c r="A8" t="inlineStr">
        <is>
          <t>iPhone 15 Pro  128GB</t>
        </is>
      </c>
      <c r="B8" s="37"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 t="n">
        <v>29140000</v>
      </c>
      <c r="C9" s="3" t="n">
        <v>29140000</v>
      </c>
      <c r="D9" s="25" t="n">
        <v>29290000</v>
      </c>
      <c r="E9" s="40" t="inlineStr">
        <is>
          <t>OOS</t>
        </is>
      </c>
      <c r="F9" s="38" t="n">
        <v>29290000</v>
      </c>
      <c r="G9" s="4" t="n">
        <v>28490000</v>
      </c>
      <c r="H9" t="inlineStr">
        <is>
          <t>x</t>
        </is>
      </c>
      <c r="I9" t="inlineStr">
        <is>
          <t>FPT</t>
        </is>
      </c>
      <c r="J9" t="inlineStr">
        <is>
          <t>Việt</t>
        </is>
      </c>
      <c r="K9" t="b">
        <v>1</v>
      </c>
    </row>
    <row r="10">
      <c r="A10" t="inlineStr">
        <is>
          <t>iPhone 14 Plus 128GB</t>
        </is>
      </c>
      <c r="B10" s="3" t="n">
        <v>18440000</v>
      </c>
      <c r="C10" s="3" t="n">
        <v>18440000</v>
      </c>
      <c r="D10" s="25" t="n">
        <v>19690000</v>
      </c>
      <c r="E10" s="40" t="inlineStr">
        <is>
          <t>OOS</t>
        </is>
      </c>
      <c r="F10" s="39" t="n">
        <v>19690000</v>
      </c>
      <c r="G10" s="4" t="n">
        <v>19590000</v>
      </c>
      <c r="I10" t="inlineStr">
        <is>
          <t>Viettel</t>
        </is>
      </c>
      <c r="J10" t="inlineStr">
        <is>
          <t>Sơn</t>
        </is>
      </c>
      <c r="K10" t="b">
        <v>1</v>
      </c>
    </row>
    <row r="11">
      <c r="A11" t="inlineStr">
        <is>
          <t>iPhone 14 128GB</t>
        </is>
      </c>
      <c r="B11" s="3" t="n">
        <v>15790000</v>
      </c>
      <c r="C11" s="3" t="n">
        <v>15790000</v>
      </c>
      <c r="D11" s="40" t="n">
        <v>15990000</v>
      </c>
      <c r="E11" s="37" t="inlineStr">
        <is>
          <t>OOS</t>
        </is>
      </c>
      <c r="F11" s="34" t="n">
        <v>16590000</v>
      </c>
      <c r="G11" s="4" t="n">
        <v>16390000</v>
      </c>
      <c r="I11" t="inlineStr">
        <is>
          <t>CPS</t>
        </is>
      </c>
      <c r="J11" t="inlineStr">
        <is>
          <t>Trang</t>
        </is>
      </c>
      <c r="K11" t="b">
        <v>1</v>
      </c>
    </row>
    <row r="12">
      <c r="A12" t="inlineStr">
        <is>
          <t>iPhone 13  128GB</t>
        </is>
      </c>
      <c r="B12" s="3" t="n">
        <v>13190000</v>
      </c>
      <c r="C12" s="3" t="n">
        <v>13190000</v>
      </c>
      <c r="D12" s="34" t="n">
        <v>12890000</v>
      </c>
      <c r="E12" s="40" t="n">
        <v>12590000</v>
      </c>
      <c r="F12" s="34" t="n">
        <v>12890000</v>
      </c>
      <c r="G12" s="4" t="inlineStr">
        <is>
          <t>12.790.000</t>
        </is>
      </c>
      <c r="I12" t="inlineStr">
        <is>
          <t>ShopDunk</t>
        </is>
      </c>
      <c r="J12" t="inlineStr">
        <is>
          <t>Đạt</t>
        </is>
      </c>
      <c r="K12" t="b">
        <v>1</v>
      </c>
    </row>
    <row r="13">
      <c r="A13" t="inlineStr">
        <is>
          <t>iPhone 12 64GB</t>
        </is>
      </c>
      <c r="B13" s="3" t="n">
        <v>11490000</v>
      </c>
      <c r="C13" s="37" t="inlineStr">
        <is>
          <t>OOS</t>
        </is>
      </c>
      <c r="D13" s="25" t="inlineStr">
        <is>
          <t>OOS</t>
        </is>
      </c>
      <c r="E13" s="40" t="n">
        <v>17990000</v>
      </c>
      <c r="F13" s="34" t="n">
        <v>10490000</v>
      </c>
      <c r="G13" s="4" t="n">
        <v>12290000</v>
      </c>
    </row>
    <row r="14">
      <c r="A14" t="inlineStr">
        <is>
          <t>iPhone 11 64GB</t>
        </is>
      </c>
      <c r="B14" s="3" t="n">
        <v>8940000</v>
      </c>
      <c r="C14" s="3" t="n">
        <v>8940000</v>
      </c>
      <c r="D14" s="25" t="n">
        <v>8990000</v>
      </c>
      <c r="E14" s="40" t="n">
        <v>8490000</v>
      </c>
      <c r="F14" s="39" t="n">
        <v>8990000</v>
      </c>
      <c r="G14" s="4" t="inlineStr">
        <is>
          <t>OOS</t>
        </is>
      </c>
    </row>
    <row r="15">
      <c r="A15" t="inlineStr">
        <is>
          <t>iPad Mini 7 128GB Wifi</t>
        </is>
      </c>
      <c r="B15" s="3" t="n">
        <v>13890000</v>
      </c>
      <c r="C15" s="3" t="n">
        <v>13890000</v>
      </c>
      <c r="D15" s="25" t="n">
        <v>13990000</v>
      </c>
      <c r="E15" s="39" t="n">
        <v>13790000</v>
      </c>
      <c r="F15" s="39" t="n">
        <v>13990000</v>
      </c>
      <c r="G15" s="4" t="n">
        <v>13690000</v>
      </c>
    </row>
    <row r="16">
      <c r="A16" t="inlineStr">
        <is>
          <t>iPad Gen 10th 64GB Wifi</t>
        </is>
      </c>
      <c r="B16" s="3" t="n">
        <v>8540000</v>
      </c>
      <c r="C16" s="3" t="n">
        <v>8540000</v>
      </c>
      <c r="D16" s="3" t="n">
        <v>8890000</v>
      </c>
      <c r="E16" s="38" t="n">
        <v>8490000</v>
      </c>
      <c r="F16" s="34" t="n">
        <v>8490000</v>
      </c>
      <c r="G16" s="3" t="n">
        <v>8390000</v>
      </c>
    </row>
    <row r="17">
      <c r="A17" t="inlineStr">
        <is>
          <t>iPad Gen 9th  64GB Wifi</t>
        </is>
      </c>
      <c r="B17" s="3" t="n">
        <v>7040000</v>
      </c>
      <c r="C17" s="3" t="n">
        <v>7040000</v>
      </c>
      <c r="D17" s="25" t="n">
        <v>7050000</v>
      </c>
      <c r="E17" s="40" t="n">
        <v>6990000</v>
      </c>
      <c r="F17" s="34" t="n">
        <v>7090000</v>
      </c>
      <c r="G17" s="4" t="n">
        <v>6890000</v>
      </c>
    </row>
    <row r="18">
      <c r="A18" t="inlineStr">
        <is>
          <t>iPad Air M2  11" 128 GB Wifi</t>
        </is>
      </c>
      <c r="B18" s="3" t="n">
        <v>14390000</v>
      </c>
      <c r="C18" s="3" t="n">
        <v>14390000</v>
      </c>
      <c r="D18" s="3" t="n">
        <v>14790000</v>
      </c>
      <c r="E18" s="38" t="n">
        <v>14490000</v>
      </c>
      <c r="F18" s="34" t="n">
        <v>14490000</v>
      </c>
      <c r="G18" s="3" t="n">
        <v>14790000</v>
      </c>
    </row>
    <row r="19">
      <c r="A19" t="inlineStr">
        <is>
          <t>iPad Air M2  13" 128 GB Wifi</t>
        </is>
      </c>
      <c r="B19" s="3" t="n">
        <v>20440000</v>
      </c>
      <c r="C19" s="3" t="n">
        <v>20440000</v>
      </c>
      <c r="D19" s="3" t="n">
        <v>20490000</v>
      </c>
      <c r="E19" s="38" t="n">
        <v>19990000</v>
      </c>
      <c r="F19" s="34" t="n">
        <v>20390000</v>
      </c>
      <c r="G19" s="3" t="n">
        <v>20190000</v>
      </c>
    </row>
    <row r="20">
      <c r="A20" t="inlineStr">
        <is>
          <t>iPad Pro  M4  11" 256 GB Wifi</t>
        </is>
      </c>
      <c r="B20" s="3" t="n">
        <v>27340000</v>
      </c>
      <c r="C20" s="3" t="n">
        <v>27340000</v>
      </c>
      <c r="D20" s="25" t="n">
        <v>27690000</v>
      </c>
      <c r="E20" s="40" t="n">
        <v>27190000</v>
      </c>
      <c r="F20" s="39" t="n">
        <v>27490000</v>
      </c>
      <c r="G20" s="4" t="n">
        <v>27090000</v>
      </c>
    </row>
    <row r="21">
      <c r="A21" t="inlineStr">
        <is>
          <t>iPad Pro  M4  13" 256 GB Wifi</t>
        </is>
      </c>
      <c r="B21" s="3" t="n">
        <v>36640000</v>
      </c>
      <c r="C21" s="3" t="n">
        <v>36640000</v>
      </c>
      <c r="D21" s="25" t="n">
        <v>36790000</v>
      </c>
      <c r="E21" s="40" t="n">
        <v>36490000</v>
      </c>
      <c r="F21" s="34" t="n">
        <v>36590000</v>
      </c>
      <c r="G21" s="4" t="n">
        <v>36490000</v>
      </c>
    </row>
    <row r="22">
      <c r="A22" t="inlineStr">
        <is>
          <t>AW SE 2 (40mm GPS)</t>
        </is>
      </c>
      <c r="B22" s="3" t="n">
        <v>5750000</v>
      </c>
      <c r="C22" s="3" t="n">
        <v>5750000</v>
      </c>
      <c r="D22" s="25" t="n">
        <v>5790000</v>
      </c>
      <c r="E22" s="40" t="n">
        <v>5790000</v>
      </c>
      <c r="F22" s="39" t="n">
        <v>5790000</v>
      </c>
      <c r="G22" s="4" t="n">
        <v>5790000</v>
      </c>
    </row>
    <row r="23">
      <c r="A23" t="inlineStr">
        <is>
          <t>AW SE 2 (40mm LTE)</t>
        </is>
      </c>
      <c r="B23" s="3" t="n">
        <v>7050000</v>
      </c>
      <c r="C23" s="3" t="n">
        <v>7050000</v>
      </c>
      <c r="D23" s="25" t="n">
        <v>7090000</v>
      </c>
      <c r="E23" s="40" t="n">
        <v>7290000</v>
      </c>
      <c r="F23" s="39" t="n">
        <v>7190000</v>
      </c>
      <c r="G23" s="4" t="n">
        <v>7190000</v>
      </c>
    </row>
    <row r="24">
      <c r="A24" t="inlineStr">
        <is>
          <t>AW SE 2 (44mm GPS)</t>
        </is>
      </c>
      <c r="B24" s="3" t="n">
        <v>6550000</v>
      </c>
      <c r="C24" s="3" t="n">
        <v>6550000</v>
      </c>
      <c r="D24" s="25" t="n">
        <v>6590000</v>
      </c>
      <c r="E24" s="40" t="n">
        <v>6590000</v>
      </c>
      <c r="F24" s="34" t="n">
        <v>6690000</v>
      </c>
      <c r="G24" s="4" t="n">
        <v>6590000</v>
      </c>
    </row>
    <row r="25">
      <c r="A25" t="inlineStr">
        <is>
          <t>AW SE 2 (44mm LTE)</t>
        </is>
      </c>
      <c r="B25" s="3" t="n">
        <v>7850000</v>
      </c>
      <c r="C25" s="3" t="n">
        <v>7850000</v>
      </c>
      <c r="D25" s="25" t="n">
        <v>7890000</v>
      </c>
      <c r="E25" s="40" t="n">
        <v>7990000</v>
      </c>
      <c r="F25" s="39" t="n">
        <v>8090000</v>
      </c>
      <c r="G25" s="4" t="inlineStr">
        <is>
          <t>7.890.000</t>
        </is>
      </c>
    </row>
    <row r="26">
      <c r="A26" t="inlineStr">
        <is>
          <t>AW S10 (42mm GPS)</t>
        </is>
      </c>
      <c r="B26" s="3" t="n">
        <v>10690000</v>
      </c>
      <c r="C26" s="3" t="n">
        <v>10690000</v>
      </c>
      <c r="D26" s="25" t="n">
        <v>10790000</v>
      </c>
      <c r="E26" s="40" t="n">
        <v>10390000</v>
      </c>
      <c r="F26" s="34" t="n">
        <v>10590000</v>
      </c>
      <c r="G26" s="4" t="n">
        <v>10990000</v>
      </c>
    </row>
    <row r="27">
      <c r="A27" t="inlineStr">
        <is>
          <t>AW S10 (42mm CEL)</t>
        </is>
      </c>
      <c r="B27" s="3" t="n">
        <v>13290000</v>
      </c>
      <c r="C27" s="3" t="n">
        <v>13290000</v>
      </c>
      <c r="D27" s="25" t="n">
        <v>13390000</v>
      </c>
      <c r="E27" s="40" t="n">
        <v>12990000</v>
      </c>
      <c r="F27" s="39" t="n">
        <v>13390000</v>
      </c>
      <c r="G27" s="3" t="n">
        <v>13290000</v>
      </c>
    </row>
    <row r="28">
      <c r="A28" t="inlineStr">
        <is>
          <t>AW S10 (46mm GPS)</t>
        </is>
      </c>
      <c r="B28" s="3" t="n">
        <v>11490000</v>
      </c>
      <c r="C28" s="3" t="n">
        <v>11490000</v>
      </c>
      <c r="D28" s="25" t="n">
        <v>11590000</v>
      </c>
      <c r="E28" s="40" t="n">
        <v>11290000</v>
      </c>
      <c r="F28" s="39" t="n">
        <v>11490000</v>
      </c>
      <c r="G28" s="3" t="inlineStr">
        <is>
          <t>11.690.000</t>
        </is>
      </c>
    </row>
    <row r="29">
      <c r="A29" t="inlineStr">
        <is>
          <t>AW S10 (46mm CEL)</t>
        </is>
      </c>
      <c r="B29" s="3" t="n">
        <v>14090000</v>
      </c>
      <c r="C29" s="3" t="n">
        <v>14090000</v>
      </c>
      <c r="D29" s="25" t="n">
        <v>14190000</v>
      </c>
      <c r="E29" s="40" t="n">
        <v>13890000</v>
      </c>
      <c r="F29" s="39" t="n">
        <v>14090000</v>
      </c>
      <c r="G29" s="4" t="n">
        <v>13990000</v>
      </c>
    </row>
    <row r="30">
      <c r="A30" t="inlineStr">
        <is>
          <t>AW Ultra 2 (49mm)</t>
        </is>
      </c>
      <c r="B30" s="3" t="n">
        <v>22340000</v>
      </c>
      <c r="C30" s="3" t="n">
        <v>22340000</v>
      </c>
      <c r="D30" s="25" t="n">
        <v>22990000</v>
      </c>
      <c r="E30" s="40" t="n">
        <v>21990000</v>
      </c>
      <c r="F30" s="40" t="n">
        <v>22490000</v>
      </c>
      <c r="G30" s="4" t="n">
        <v>22990000</v>
      </c>
    </row>
    <row r="31">
      <c r="A31" t="inlineStr">
        <is>
          <t>AirPods Pro 2 - 2023 (C-Type)</t>
        </is>
      </c>
      <c r="B31" s="3" t="n">
        <v>5550000</v>
      </c>
      <c r="C31" s="3" t="n">
        <v>5550000</v>
      </c>
      <c r="D31" s="34" t="n">
        <v>5590000</v>
      </c>
      <c r="E31" s="40" t="n">
        <v>5690000</v>
      </c>
      <c r="F31" s="38" t="n">
        <v>5590000</v>
      </c>
      <c r="G31" s="4" t="n">
        <v>5450000</v>
      </c>
    </row>
    <row r="32">
      <c r="A32" t="inlineStr">
        <is>
          <t>AirPods 4 ANC</t>
        </is>
      </c>
      <c r="B32" s="3" t="n">
        <v>4490000</v>
      </c>
      <c r="C32" s="3" t="n">
        <v>4490000</v>
      </c>
      <c r="D32" s="38" t="n">
        <v>4490000</v>
      </c>
      <c r="E32" s="38" t="n">
        <v>4490000</v>
      </c>
      <c r="F32" s="40" t="n">
        <v>4490000</v>
      </c>
      <c r="G32" s="4" t="n">
        <v>4590000</v>
      </c>
    </row>
    <row r="33">
      <c r="A33" t="inlineStr">
        <is>
          <t>AirPods 4 with charging case</t>
        </is>
      </c>
      <c r="B33" s="3" t="n">
        <v>3190000</v>
      </c>
      <c r="C33" s="3" t="n">
        <v>3190000</v>
      </c>
      <c r="D33" s="38" t="n">
        <v>3190000</v>
      </c>
      <c r="E33" s="40" t="n">
        <v>3290000</v>
      </c>
      <c r="F33" s="40" t="n">
        <v>3190000</v>
      </c>
      <c r="G33" s="4" t="n">
        <v>3360000</v>
      </c>
    </row>
    <row r="34">
      <c r="A34" t="inlineStr">
        <is>
          <t>AirPods 3 with charging case</t>
        </is>
      </c>
      <c r="B34" s="3" t="n">
        <v>3990000</v>
      </c>
      <c r="C34" s="25" t="n">
        <v>3990000</v>
      </c>
      <c r="D34" s="43" t="n">
        <v>3990000</v>
      </c>
      <c r="E34" s="38" t="n">
        <v>3490000</v>
      </c>
      <c r="F34" s="39" t="n">
        <v>3590000</v>
      </c>
      <c r="G34" s="4" t="inlineStr">
        <is>
          <t>OOS</t>
        </is>
      </c>
    </row>
    <row r="35">
      <c r="A35" t="inlineStr">
        <is>
          <t>MacBook Air 13" M1 8/256Gb</t>
        </is>
      </c>
      <c r="B35" s="3" t="n">
        <v>18090000</v>
      </c>
      <c r="C35" s="3" t="n">
        <v>18090000</v>
      </c>
      <c r="D35" s="39" t="n">
        <v>18190000</v>
      </c>
      <c r="E35" s="37" t="n"/>
      <c r="F35" s="34" t="n">
        <v>17990000</v>
      </c>
      <c r="G35" s="4" t="n">
        <v>17690000</v>
      </c>
    </row>
    <row r="36">
      <c r="A36" t="inlineStr">
        <is>
          <t>MacBook Air 13" M2 16/256GB</t>
        </is>
      </c>
      <c r="B36" s="3" t="n">
        <v>22740000</v>
      </c>
      <c r="C36" s="3" t="n">
        <v>22740000</v>
      </c>
      <c r="D36" s="3" t="n">
        <v>23690000</v>
      </c>
      <c r="E36" s="37" t="n"/>
      <c r="F36" s="34" t="inlineStr">
        <is>
          <t>23.190.00</t>
        </is>
      </c>
      <c r="G36" s="4" t="n">
        <v>23990000</v>
      </c>
    </row>
    <row r="37">
      <c r="A37" t="inlineStr">
        <is>
          <t>MacBook Air 13" M3 16/256GB</t>
        </is>
      </c>
      <c r="B37" s="3" t="n">
        <v>26140000</v>
      </c>
      <c r="C37" s="37" t="inlineStr">
        <is>
          <t>OOS</t>
        </is>
      </c>
      <c r="D37" s="34" t="n">
        <v>26690000</v>
      </c>
      <c r="E37" s="37" t="n"/>
      <c r="F37" s="25" t="inlineStr">
        <is>
          <t>OOS</t>
        </is>
      </c>
      <c r="G37" s="3" t="n">
        <v>26790000</v>
      </c>
    </row>
    <row r="38">
      <c r="A38" t="inlineStr">
        <is>
          <t>MacBook Air 15" M3 16/256GB</t>
        </is>
      </c>
      <c r="B38" s="3" t="n">
        <v>32140000</v>
      </c>
      <c r="C38" s="37" t="inlineStr">
        <is>
          <t>OOS</t>
        </is>
      </c>
      <c r="D38" s="25" t="n">
        <v>32490000</v>
      </c>
      <c r="E38" s="37" t="n"/>
      <c r="F38" s="34" t="n">
        <v>32690000</v>
      </c>
      <c r="G38" s="4" t="n">
        <v>30190000</v>
      </c>
    </row>
    <row r="39">
      <c r="A39" t="inlineStr">
        <is>
          <t>MacBook Pro 14" M4 16/512GB</t>
        </is>
      </c>
      <c r="B39" s="3" t="n">
        <v>39840000</v>
      </c>
      <c r="C39" s="37" t="inlineStr">
        <is>
          <t>OOS</t>
        </is>
      </c>
      <c r="D39" s="25" t="inlineStr">
        <is>
          <t>OOS</t>
        </is>
      </c>
      <c r="E39" s="37" t="n"/>
      <c r="F39" s="37" t="n">
        <v>39990000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0.xml><?xml version="1.0" encoding="utf-8"?>
<worksheet xmlns="http://schemas.openxmlformats.org/spreadsheetml/2006/main">
  <sheetPr codeName="Sheet39">
    <outlinePr summaryBelow="1" summaryRight="1"/>
    <pageSetUpPr/>
  </sheetPr>
  <dimension ref="A1:K39"/>
  <sheetViews>
    <sheetView zoomScale="130" zoomScaleNormal="130" workbookViewId="0">
      <pane xSplit="1" ySplit="1" topLeftCell="B11"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25" t="n">
        <v>21340000</v>
      </c>
      <c r="C2" s="3" t="n">
        <v>21490000</v>
      </c>
      <c r="D2" s="43" t="n">
        <v>21190000</v>
      </c>
      <c r="E2" s="40" t="n">
        <v>20790000</v>
      </c>
      <c r="F2" s="38" t="n">
        <v>20990000</v>
      </c>
      <c r="G2" s="3" t="n">
        <v>20890000</v>
      </c>
    </row>
    <row r="3">
      <c r="A3" t="inlineStr">
        <is>
          <t>iPhone 16  Plus 128GB</t>
        </is>
      </c>
      <c r="B3" s="3" t="n">
        <v>24540000</v>
      </c>
      <c r="C3" s="3" t="n">
        <v>24790000</v>
      </c>
      <c r="D3" s="43" t="n">
        <v>24690000</v>
      </c>
      <c r="E3" s="40" t="n">
        <v>24790000</v>
      </c>
      <c r="F3" s="40" t="n">
        <v>24690000</v>
      </c>
      <c r="G3" s="4" t="n">
        <v>24590000</v>
      </c>
    </row>
    <row r="4">
      <c r="A4" t="inlineStr">
        <is>
          <t>iPhone 16 Pro  128GB</t>
        </is>
      </c>
      <c r="B4" s="25" t="n">
        <v>27340000</v>
      </c>
      <c r="C4" s="3" t="n">
        <v>27490000</v>
      </c>
      <c r="D4" s="43" t="n">
        <v>27390000</v>
      </c>
      <c r="E4" s="40" t="n">
        <v>26990000</v>
      </c>
      <c r="F4" s="40" t="n">
        <v>27290000</v>
      </c>
      <c r="G4" s="4" t="n">
        <v>26990000</v>
      </c>
    </row>
    <row r="5">
      <c r="A5" t="inlineStr">
        <is>
          <t>iPhone 16 Pro Max 256GB</t>
        </is>
      </c>
      <c r="B5" s="3" t="n">
        <v>32640000</v>
      </c>
      <c r="C5" s="3" t="n">
        <v>32890000</v>
      </c>
      <c r="D5" s="43" t="n">
        <v>32790000</v>
      </c>
      <c r="E5" s="40" t="n">
        <v>32790000</v>
      </c>
      <c r="F5" s="38" t="n">
        <v>32690000</v>
      </c>
      <c r="G5" s="3" t="n">
        <v>32390000</v>
      </c>
    </row>
    <row r="6">
      <c r="A6" t="inlineStr">
        <is>
          <t>iPhone 15  128GB</t>
        </is>
      </c>
      <c r="B6" s="25" t="n">
        <v>18740000</v>
      </c>
      <c r="C6" s="3" t="n">
        <v>18990000</v>
      </c>
      <c r="D6" s="43" t="n">
        <v>18990000</v>
      </c>
      <c r="E6" s="40" t="n">
        <v>18990000</v>
      </c>
      <c r="F6" s="38" t="n">
        <v>18690000</v>
      </c>
      <c r="G6" s="4" t="n">
        <v>18590000</v>
      </c>
    </row>
    <row r="7">
      <c r="A7" t="inlineStr">
        <is>
          <t>iPhone 15  Plus 128GB</t>
        </is>
      </c>
      <c r="B7" s="25" t="n">
        <v>22440000</v>
      </c>
      <c r="C7" s="3" t="n">
        <v>22690000</v>
      </c>
      <c r="D7" s="43" t="n">
        <v>22590000</v>
      </c>
      <c r="E7" s="40" t="n">
        <v>22290000</v>
      </c>
      <c r="F7" s="38" t="n">
        <v>22390000</v>
      </c>
      <c r="G7" s="3" t="n">
        <v>22090000</v>
      </c>
      <c r="I7" t="inlineStr">
        <is>
          <t xml:space="preserve">MW </t>
        </is>
      </c>
      <c r="J7" t="inlineStr">
        <is>
          <t>Duy</t>
        </is>
      </c>
      <c r="K7" t="b">
        <v>1</v>
      </c>
    </row>
    <row r="8">
      <c r="A8" t="inlineStr">
        <is>
          <t>iPhone 15 Pro  128GB</t>
        </is>
      </c>
      <c r="B8" s="25"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25" t="n">
        <v>29140000</v>
      </c>
      <c r="C9" s="3" t="n">
        <v>29490000</v>
      </c>
      <c r="D9" s="25" t="n">
        <v>29290000</v>
      </c>
      <c r="E9" s="40" t="inlineStr">
        <is>
          <t>OOS</t>
        </is>
      </c>
      <c r="F9" s="38" t="n">
        <v>28990000</v>
      </c>
      <c r="G9" s="4" t="n">
        <v>28490000</v>
      </c>
      <c r="I9" t="inlineStr">
        <is>
          <t>FPT</t>
        </is>
      </c>
      <c r="J9" t="inlineStr">
        <is>
          <t>Việt</t>
        </is>
      </c>
      <c r="K9" t="b">
        <v>1</v>
      </c>
    </row>
    <row r="10">
      <c r="A10" t="inlineStr">
        <is>
          <t>iPhone 14 Plus 128GB</t>
        </is>
      </c>
      <c r="B10" s="25" t="n">
        <v>18440000</v>
      </c>
      <c r="C10" s="3" t="n">
        <v>18590000</v>
      </c>
      <c r="D10" s="25" t="n">
        <v>19690000</v>
      </c>
      <c r="E10" s="40" t="inlineStr">
        <is>
          <t>OOS</t>
        </is>
      </c>
      <c r="F10" s="39" t="n">
        <v>19690000</v>
      </c>
      <c r="G10" s="4" t="n">
        <v>19590000</v>
      </c>
      <c r="I10" t="inlineStr">
        <is>
          <t>Viettel</t>
        </is>
      </c>
      <c r="J10" t="inlineStr">
        <is>
          <t>Sơn</t>
        </is>
      </c>
      <c r="K10" t="b">
        <v>1</v>
      </c>
    </row>
    <row r="11">
      <c r="A11" t="inlineStr">
        <is>
          <t>iPhone 14 128GB</t>
        </is>
      </c>
      <c r="B11" s="25" t="n">
        <v>15790000</v>
      </c>
      <c r="C11" s="3" t="n">
        <v>15890000</v>
      </c>
      <c r="D11" s="40" t="n">
        <v>15990000</v>
      </c>
      <c r="E11" s="37" t="inlineStr">
        <is>
          <t>OOS</t>
        </is>
      </c>
      <c r="F11" s="34" t="n">
        <v>15890000</v>
      </c>
      <c r="G11" s="4" t="n">
        <v>16390000</v>
      </c>
      <c r="I11" t="inlineStr">
        <is>
          <t>CPS</t>
        </is>
      </c>
      <c r="J11" t="inlineStr">
        <is>
          <t>Trang</t>
        </is>
      </c>
      <c r="K11" t="b">
        <v>1</v>
      </c>
    </row>
    <row r="12">
      <c r="A12" t="inlineStr">
        <is>
          <t>iPhone 13  128GB</t>
        </is>
      </c>
      <c r="B12" s="25" t="n">
        <v>13190000</v>
      </c>
      <c r="C12" s="3" t="n">
        <v>13290000</v>
      </c>
      <c r="D12" s="39" t="n">
        <v>12890000</v>
      </c>
      <c r="E12" s="40" t="n">
        <v>12590000</v>
      </c>
      <c r="F12" s="34" t="n">
        <v>12690000</v>
      </c>
      <c r="G12" s="3" t="inlineStr">
        <is>
          <t>12.590.000</t>
        </is>
      </c>
      <c r="I12" t="inlineStr">
        <is>
          <t>ShopDunk</t>
        </is>
      </c>
      <c r="J12" t="inlineStr">
        <is>
          <t>Đạt</t>
        </is>
      </c>
      <c r="K12" t="b">
        <v>1</v>
      </c>
    </row>
    <row r="13">
      <c r="A13" t="inlineStr">
        <is>
          <t>iPhone 12 64GB</t>
        </is>
      </c>
      <c r="B13" s="25" t="n">
        <v>11490000</v>
      </c>
      <c r="C13" s="42" t="n">
        <v>11590000</v>
      </c>
      <c r="D13" s="25" t="inlineStr">
        <is>
          <t>OOS</t>
        </is>
      </c>
      <c r="E13" s="40" t="n">
        <v>10490000</v>
      </c>
      <c r="F13" s="34" t="n">
        <v>10990000</v>
      </c>
      <c r="G13" s="4" t="inlineStr">
        <is>
          <t>OOS</t>
        </is>
      </c>
    </row>
    <row r="14">
      <c r="A14" t="inlineStr">
        <is>
          <t>iPhone 11 64GB</t>
        </is>
      </c>
      <c r="B14" s="25" t="n">
        <v>8940000</v>
      </c>
      <c r="C14" s="43" t="inlineStr">
        <is>
          <t>OOS</t>
        </is>
      </c>
      <c r="D14" s="25" t="n">
        <v>8990000</v>
      </c>
      <c r="E14" s="40" t="inlineStr">
        <is>
          <t>OOS</t>
        </is>
      </c>
      <c r="F14" s="39" t="n">
        <v>8890000</v>
      </c>
      <c r="G14" s="4" t="inlineStr">
        <is>
          <t>OOS</t>
        </is>
      </c>
    </row>
    <row r="15">
      <c r="A15" t="inlineStr">
        <is>
          <t>iPad Mini 7 128GB Wifi</t>
        </is>
      </c>
      <c r="B15" s="25" t="n">
        <v>13890000</v>
      </c>
      <c r="C15" s="25" t="n">
        <v>13890000</v>
      </c>
      <c r="D15" s="25" t="n">
        <v>13990000</v>
      </c>
      <c r="E15" s="39" t="n">
        <v>13790000</v>
      </c>
      <c r="F15" s="39" t="n">
        <v>13890000</v>
      </c>
      <c r="G15" s="4" t="n">
        <v>13690000</v>
      </c>
    </row>
    <row r="16">
      <c r="A16" t="inlineStr">
        <is>
          <t>iPad Gen 10th 64GB Wifi</t>
        </is>
      </c>
      <c r="B16" s="25" t="n">
        <v>8540000</v>
      </c>
      <c r="C16" s="25" t="n">
        <v>8540000</v>
      </c>
      <c r="D16" s="3" t="n">
        <v>8490000</v>
      </c>
      <c r="E16" s="38" t="n">
        <v>8290000</v>
      </c>
      <c r="F16" s="39" t="n">
        <v>8490000</v>
      </c>
      <c r="G16" s="4" t="n">
        <v>8390000</v>
      </c>
    </row>
    <row r="17">
      <c r="A17" t="inlineStr">
        <is>
          <t>iPad Gen 9th  64GB Wifi</t>
        </is>
      </c>
      <c r="B17" s="3" t="n">
        <v>6950000</v>
      </c>
      <c r="C17" s="3" t="n">
        <v>6950000</v>
      </c>
      <c r="D17" s="3" t="n">
        <v>6990000</v>
      </c>
      <c r="E17" s="38" t="n">
        <v>6990000</v>
      </c>
      <c r="F17" s="34" t="n">
        <v>6890000</v>
      </c>
      <c r="G17" s="4" t="n">
        <v>6890000</v>
      </c>
    </row>
    <row r="18">
      <c r="A18" t="inlineStr">
        <is>
          <t>iPad Air M2  11" 128 GB Wifi</t>
        </is>
      </c>
      <c r="B18" s="25" t="n">
        <v>14390000</v>
      </c>
      <c r="C18" s="25" t="n">
        <v>14390000</v>
      </c>
      <c r="D18" s="3" t="n">
        <v>14590000</v>
      </c>
      <c r="E18" s="40" t="n">
        <v>14490000</v>
      </c>
      <c r="F18" s="39" t="n">
        <v>14490000</v>
      </c>
      <c r="G18" s="3" t="n">
        <v>14190000</v>
      </c>
    </row>
    <row r="19">
      <c r="A19" t="inlineStr">
        <is>
          <t>iPad Air M2  13" 128 GB Wifi</t>
        </is>
      </c>
      <c r="B19" s="25" t="n">
        <v>20440000</v>
      </c>
      <c r="C19" s="25" t="n">
        <v>20440000</v>
      </c>
      <c r="D19" s="25" t="n">
        <v>20490000</v>
      </c>
      <c r="E19" s="40" t="n">
        <v>19990000</v>
      </c>
      <c r="F19" s="34" t="n">
        <v>20090000</v>
      </c>
      <c r="G19" s="3" t="n">
        <v>20290000</v>
      </c>
    </row>
    <row r="20">
      <c r="A20" t="inlineStr">
        <is>
          <t>iPad Pro  M4  11" 256 GB Wifi</t>
        </is>
      </c>
      <c r="B20" s="25" t="n">
        <v>27340000</v>
      </c>
      <c r="C20" s="25" t="n">
        <v>27340000</v>
      </c>
      <c r="D20" s="25" t="n">
        <v>27690000</v>
      </c>
      <c r="E20" s="40" t="n">
        <v>27190000</v>
      </c>
      <c r="F20" s="39" t="n">
        <v>27490000</v>
      </c>
      <c r="G20" s="4" t="n">
        <v>27090000</v>
      </c>
    </row>
    <row r="21">
      <c r="A21" t="inlineStr">
        <is>
          <t>iPad Pro  M4  13" 256 GB Wifi</t>
        </is>
      </c>
      <c r="B21" s="25" t="n">
        <v>36640000</v>
      </c>
      <c r="C21" s="25" t="n">
        <v>36640000</v>
      </c>
      <c r="D21" s="25" t="n">
        <v>36790000</v>
      </c>
      <c r="E21" s="40" t="n">
        <v>36490000</v>
      </c>
      <c r="F21" s="34" t="n">
        <v>36990000</v>
      </c>
      <c r="G21" s="4" t="n">
        <v>36490000</v>
      </c>
    </row>
    <row r="22">
      <c r="A22" t="inlineStr">
        <is>
          <t>AW SE 2 (40mm GPS)</t>
        </is>
      </c>
      <c r="B22" s="3" t="n">
        <v>5530000</v>
      </c>
      <c r="C22" s="3" t="n">
        <v>5530000</v>
      </c>
      <c r="D22" s="3" t="n">
        <v>5690000</v>
      </c>
      <c r="E22" s="38" t="n">
        <v>5590000</v>
      </c>
      <c r="F22" s="39" t="n">
        <v>5690000</v>
      </c>
      <c r="G22" s="4" t="n">
        <v>5790000</v>
      </c>
    </row>
    <row r="23">
      <c r="A23" t="inlineStr">
        <is>
          <t>AW SE 2 (40mm LTE)</t>
        </is>
      </c>
      <c r="B23" s="3" t="n">
        <v>6830000</v>
      </c>
      <c r="C23" s="3" t="n">
        <v>6830000</v>
      </c>
      <c r="D23" s="3" t="n">
        <v>6890000</v>
      </c>
      <c r="E23" s="38" t="n">
        <v>6990000</v>
      </c>
      <c r="F23" s="34" t="n">
        <v>6990000</v>
      </c>
      <c r="G23" s="4" t="n">
        <v>7190000</v>
      </c>
    </row>
    <row r="24">
      <c r="A24" t="inlineStr">
        <is>
          <t>AW SE 2 (44mm GPS)</t>
        </is>
      </c>
      <c r="B24" s="3" t="n">
        <v>6330000</v>
      </c>
      <c r="C24" s="3" t="n">
        <v>6330000</v>
      </c>
      <c r="D24" s="3" t="n">
        <v>6490000</v>
      </c>
      <c r="E24" s="38" t="n">
        <v>6390000</v>
      </c>
      <c r="F24" s="34" t="n">
        <v>6490000</v>
      </c>
      <c r="G24" s="4" t="n">
        <v>6590000</v>
      </c>
    </row>
    <row r="25">
      <c r="A25" t="inlineStr">
        <is>
          <t>AW SE 2 (44mm LTE)</t>
        </is>
      </c>
      <c r="B25" s="3" t="n">
        <v>7630000</v>
      </c>
      <c r="C25" s="3" t="n">
        <v>7630000</v>
      </c>
      <c r="D25" s="3" t="n">
        <v>7690000</v>
      </c>
      <c r="E25" s="38" t="n">
        <v>7790000</v>
      </c>
      <c r="F25" s="39" t="n">
        <v>8090000</v>
      </c>
      <c r="G25" s="4" t="inlineStr">
        <is>
          <t>7.890.000</t>
        </is>
      </c>
    </row>
    <row r="26">
      <c r="A26" t="inlineStr">
        <is>
          <t>AW S10 (42mm GPS)</t>
        </is>
      </c>
      <c r="B26" s="3" t="n">
        <v>9920000</v>
      </c>
      <c r="C26" s="3" t="n">
        <v>9920000</v>
      </c>
      <c r="D26" s="3" t="n">
        <v>10090000</v>
      </c>
      <c r="E26" s="38" t="n">
        <v>9990000</v>
      </c>
      <c r="F26" s="34" t="n">
        <v>9790000</v>
      </c>
      <c r="G26" s="4" t="n">
        <v>10990000</v>
      </c>
    </row>
    <row r="27">
      <c r="A27" t="inlineStr">
        <is>
          <t>AW S10 (42mm CEL)</t>
        </is>
      </c>
      <c r="B27" s="3" t="n">
        <v>12520000</v>
      </c>
      <c r="C27" s="3" t="n">
        <v>12520000</v>
      </c>
      <c r="D27" s="3" t="n">
        <v>12690000</v>
      </c>
      <c r="E27" s="38" t="n">
        <v>12990000</v>
      </c>
      <c r="F27" s="34" t="n">
        <v>12590000</v>
      </c>
      <c r="G27" s="4" t="n">
        <v>13290000</v>
      </c>
    </row>
    <row r="28">
      <c r="A28" t="inlineStr">
        <is>
          <t>AW S10 (46mm GPS)</t>
        </is>
      </c>
      <c r="B28" s="3" t="n">
        <v>10720000</v>
      </c>
      <c r="C28" s="3" t="n">
        <v>10720000</v>
      </c>
      <c r="D28" s="3" t="n">
        <v>10790000</v>
      </c>
      <c r="E28" s="38" t="n">
        <v>10690000</v>
      </c>
      <c r="F28" s="34" t="n">
        <v>10690000</v>
      </c>
      <c r="G28" s="4" t="inlineStr">
        <is>
          <t>11.690.000</t>
        </is>
      </c>
    </row>
    <row r="29">
      <c r="A29" t="inlineStr">
        <is>
          <t>AW S10 (46mm CEL)</t>
        </is>
      </c>
      <c r="B29" s="3" t="n">
        <v>13320000</v>
      </c>
      <c r="C29" s="3" t="n">
        <v>13320000</v>
      </c>
      <c r="D29" s="3" t="n">
        <v>13390000</v>
      </c>
      <c r="E29" s="38" t="n">
        <v>13390000</v>
      </c>
      <c r="F29" s="39" t="n">
        <v>14090000</v>
      </c>
      <c r="G29" s="4" t="n">
        <v>13990000</v>
      </c>
    </row>
    <row r="30">
      <c r="A30" t="inlineStr">
        <is>
          <t>AW Ultra 2 (49mm)</t>
        </is>
      </c>
      <c r="B30" s="25" t="n">
        <v>22340000</v>
      </c>
      <c r="C30" s="25" t="n">
        <v>22340000</v>
      </c>
      <c r="D30" s="25" t="n">
        <v>22990000</v>
      </c>
      <c r="E30" s="40" t="n">
        <v>21990000</v>
      </c>
      <c r="F30" s="40" t="n">
        <v>22490000</v>
      </c>
      <c r="G30" s="4" t="n">
        <v>22990000</v>
      </c>
    </row>
    <row r="31">
      <c r="A31" t="inlineStr">
        <is>
          <t>AirPods Pro 2 - 2023 (C-Type)</t>
        </is>
      </c>
      <c r="B31" s="25" t="n">
        <v>5550000</v>
      </c>
      <c r="C31" s="25" t="n">
        <v>5550000</v>
      </c>
      <c r="D31" s="39" t="n">
        <v>5590000</v>
      </c>
      <c r="E31" s="38" t="n">
        <v>5390000</v>
      </c>
      <c r="F31" s="38" t="n">
        <v>5290000</v>
      </c>
      <c r="G31" s="4" t="n">
        <v>5450000</v>
      </c>
    </row>
    <row r="32">
      <c r="A32" t="inlineStr">
        <is>
          <t>AirPods 4 ANC</t>
        </is>
      </c>
      <c r="B32" s="25" t="n">
        <v>4490000</v>
      </c>
      <c r="C32" s="25" t="n">
        <v>4490000</v>
      </c>
      <c r="D32" s="40" t="n">
        <v>4490000</v>
      </c>
      <c r="E32" s="38" t="n">
        <v>4290000</v>
      </c>
      <c r="F32" s="40" t="n">
        <v>4290000</v>
      </c>
      <c r="G32" s="3" t="n">
        <v>4490000</v>
      </c>
    </row>
    <row r="33">
      <c r="A33" t="inlineStr">
        <is>
          <t>AirPods 4 with charging case</t>
        </is>
      </c>
      <c r="B33" s="25" t="n">
        <v>3190000</v>
      </c>
      <c r="C33" s="25" t="n">
        <v>3190000</v>
      </c>
      <c r="D33" s="40" t="n">
        <v>3190000</v>
      </c>
      <c r="E33" s="38" t="n">
        <v>2990000</v>
      </c>
      <c r="F33" s="40" t="n">
        <v>3090000</v>
      </c>
      <c r="G33" s="3" t="n">
        <v>3250000</v>
      </c>
    </row>
    <row r="34">
      <c r="A34" t="inlineStr">
        <is>
          <t>AirPods 3 with charging case</t>
        </is>
      </c>
      <c r="B34" s="25" t="inlineStr">
        <is>
          <t>OOS</t>
        </is>
      </c>
      <c r="C34" s="25" t="inlineStr">
        <is>
          <t>OOS</t>
        </is>
      </c>
      <c r="D34" s="43" t="n">
        <v>3990000</v>
      </c>
      <c r="E34" s="40" t="n">
        <v>3990000</v>
      </c>
      <c r="F34" s="39" t="n">
        <v>3790000</v>
      </c>
      <c r="G34" s="4" t="inlineStr">
        <is>
          <t>OOS</t>
        </is>
      </c>
    </row>
    <row r="35">
      <c r="A35" t="inlineStr">
        <is>
          <t>MacBook Air 13" M1 8/256Gb</t>
        </is>
      </c>
      <c r="B35" s="25" t="n">
        <v>18090000</v>
      </c>
      <c r="C35" s="25" t="n">
        <v>18090000</v>
      </c>
      <c r="D35" s="34" t="n">
        <v>17690000</v>
      </c>
      <c r="E35" s="37" t="n"/>
      <c r="F35" s="34" t="n">
        <v>17590000</v>
      </c>
      <c r="G35" s="3" t="n">
        <v>17290000</v>
      </c>
    </row>
    <row r="36">
      <c r="A36" t="inlineStr">
        <is>
          <t>MacBook Air 13" M2 16/256GB</t>
        </is>
      </c>
      <c r="B36" s="25" t="n">
        <v>22740000</v>
      </c>
      <c r="C36" s="25" t="n">
        <v>22740000</v>
      </c>
      <c r="D36" s="3" t="n">
        <v>22990000</v>
      </c>
      <c r="E36" s="37" t="n"/>
      <c r="F36" s="34" t="inlineStr">
        <is>
          <t>22.990.00</t>
        </is>
      </c>
      <c r="G36" s="3" t="n">
        <v>22690000</v>
      </c>
    </row>
    <row r="37">
      <c r="A37" t="inlineStr">
        <is>
          <t>MacBook Air 13" M3 16/256GB</t>
        </is>
      </c>
      <c r="B37" s="25" t="n">
        <v>26140000</v>
      </c>
      <c r="C37" s="37" t="inlineStr">
        <is>
          <t>OOS</t>
        </is>
      </c>
      <c r="D37" s="34" t="n">
        <v>25990000</v>
      </c>
      <c r="E37" s="37" t="n"/>
      <c r="F37" s="39" t="n">
        <v>26290000</v>
      </c>
      <c r="G37" s="3" t="n">
        <v>25890000</v>
      </c>
    </row>
    <row r="38">
      <c r="A38" t="inlineStr">
        <is>
          <t>MacBook Air 15" M3 16/256GB</t>
        </is>
      </c>
      <c r="B38" s="25" t="n">
        <v>32140000</v>
      </c>
      <c r="C38" s="37" t="inlineStr">
        <is>
          <t>OOS</t>
        </is>
      </c>
      <c r="D38" s="3" t="n">
        <v>32390000</v>
      </c>
      <c r="E38" s="37" t="n"/>
      <c r="F38" s="34" t="n">
        <v>32290000</v>
      </c>
      <c r="G38" s="4" t="n">
        <v>32490000</v>
      </c>
    </row>
    <row r="39">
      <c r="A39" t="inlineStr">
        <is>
          <t>MacBook Pro 14" M4 16/512GB</t>
        </is>
      </c>
      <c r="B39" s="3" t="inlineStr">
        <is>
          <t>OOS</t>
        </is>
      </c>
      <c r="C39" s="37" t="inlineStr">
        <is>
          <t>OOS</t>
        </is>
      </c>
      <c r="D39" s="25" t="inlineStr">
        <is>
          <t>OOS</t>
        </is>
      </c>
      <c r="E39" s="37" t="n"/>
      <c r="F39" s="37" t="n">
        <v>39990000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1.xml><?xml version="1.0" encoding="utf-8"?>
<worksheet xmlns="http://schemas.openxmlformats.org/spreadsheetml/2006/main">
  <sheetPr codeName="Sheet40">
    <outlinePr summaryBelow="1" summaryRight="1"/>
    <pageSetUpPr/>
  </sheetPr>
  <dimension ref="A1:K39"/>
  <sheetViews>
    <sheetView zoomScale="110" zoomScaleNormal="110" workbookViewId="0">
      <pane xSplit="1" ySplit="1" topLeftCell="B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25" t="n">
        <v>21340000</v>
      </c>
      <c r="C2" s="3" t="n">
        <v>21490000</v>
      </c>
      <c r="D2" s="42" t="n">
        <v>20990000</v>
      </c>
      <c r="E2" s="40" t="n">
        <v>20790000</v>
      </c>
      <c r="F2" s="40" t="n">
        <v>20990000</v>
      </c>
      <c r="G2" s="3" t="n">
        <v>20590000</v>
      </c>
    </row>
    <row r="3">
      <c r="A3" t="inlineStr">
        <is>
          <t>iPhone 16  Plus 128GB</t>
        </is>
      </c>
      <c r="B3" s="3" t="n">
        <v>24540000</v>
      </c>
      <c r="C3" s="3" t="n">
        <v>24790000</v>
      </c>
      <c r="D3" s="43" t="n">
        <v>24690000</v>
      </c>
      <c r="E3" s="40" t="n">
        <v>24790000</v>
      </c>
      <c r="F3" s="40" t="n">
        <v>24690000</v>
      </c>
      <c r="G3" s="3" t="n">
        <v>24190000</v>
      </c>
    </row>
    <row r="4">
      <c r="A4" t="inlineStr">
        <is>
          <t>iPhone 16 Pro  128GB</t>
        </is>
      </c>
      <c r="B4" s="25" t="n">
        <v>27340000</v>
      </c>
      <c r="C4" s="3" t="n">
        <v>27590000</v>
      </c>
      <c r="D4" s="43" t="n">
        <v>27390000</v>
      </c>
      <c r="E4" s="40" t="n">
        <v>26990000</v>
      </c>
      <c r="F4" s="40" t="n">
        <v>27290000</v>
      </c>
      <c r="G4" s="4" t="n">
        <v>26990000</v>
      </c>
    </row>
    <row r="5">
      <c r="A5" t="inlineStr">
        <is>
          <t>iPhone 16 Pro Max 256GB</t>
        </is>
      </c>
      <c r="B5" s="3" t="n">
        <v>32640000</v>
      </c>
      <c r="C5" s="3" t="n">
        <v>32890000</v>
      </c>
      <c r="D5" s="43" t="n">
        <v>32790000</v>
      </c>
      <c r="E5" s="38" t="n">
        <v>31990000</v>
      </c>
      <c r="F5" s="38" t="n">
        <v>32890000</v>
      </c>
      <c r="G5" s="3" t="n">
        <v>32590000</v>
      </c>
    </row>
    <row r="6">
      <c r="A6" t="inlineStr">
        <is>
          <t>iPhone 15  128GB</t>
        </is>
      </c>
      <c r="B6" s="25" t="n">
        <v>18740000</v>
      </c>
      <c r="C6" s="3" t="n">
        <v>18990000</v>
      </c>
      <c r="D6" s="42" t="n">
        <v>18690000</v>
      </c>
      <c r="E6" s="40" t="n">
        <v>18990000</v>
      </c>
      <c r="F6" s="40" t="n">
        <v>18690000</v>
      </c>
      <c r="G6" s="4" t="n">
        <v>18590000</v>
      </c>
    </row>
    <row r="7">
      <c r="A7" t="inlineStr">
        <is>
          <t>iPhone 15  Plus 128GB</t>
        </is>
      </c>
      <c r="B7" s="25" t="n">
        <v>22440000</v>
      </c>
      <c r="C7" s="3" t="n">
        <v>22690000</v>
      </c>
      <c r="D7" s="43" t="n">
        <v>22590000</v>
      </c>
      <c r="E7" s="40" t="n">
        <v>22290000</v>
      </c>
      <c r="F7" s="40" t="n">
        <v>22390000</v>
      </c>
      <c r="G7" s="4" t="n">
        <v>22090000</v>
      </c>
      <c r="I7" t="inlineStr">
        <is>
          <t xml:space="preserve">MW </t>
        </is>
      </c>
      <c r="J7" t="inlineStr">
        <is>
          <t>Duy</t>
        </is>
      </c>
      <c r="K7" t="b">
        <v>1</v>
      </c>
    </row>
    <row r="8">
      <c r="A8" t="inlineStr">
        <is>
          <t>iPhone 15 Pro  128GB</t>
        </is>
      </c>
      <c r="B8" s="25" t="inlineStr">
        <is>
          <t>OOS</t>
        </is>
      </c>
      <c r="C8" s="43" t="inlineStr">
        <is>
          <t>OOS</t>
        </is>
      </c>
      <c r="D8" s="43" t="inlineStr">
        <is>
          <t>OOS</t>
        </is>
      </c>
      <c r="E8" s="37" t="inlineStr">
        <is>
          <t>OOS</t>
        </is>
      </c>
      <c r="F8" s="37" t="inlineStr">
        <is>
          <t>OOS</t>
        </is>
      </c>
      <c r="G8" s="4" t="inlineStr">
        <is>
          <t>OOS</t>
        </is>
      </c>
      <c r="I8" t="inlineStr">
        <is>
          <t>TZ</t>
        </is>
      </c>
      <c r="J8" t="inlineStr">
        <is>
          <t>Nghĩa</t>
        </is>
      </c>
      <c r="K8" t="b">
        <v>1</v>
      </c>
    </row>
    <row r="9">
      <c r="A9" t="inlineStr">
        <is>
          <t>iPhone 15 Pro Max 256GB</t>
        </is>
      </c>
      <c r="B9" s="3">
        <f>29140000-150000</f>
        <v/>
      </c>
      <c r="C9" s="3">
        <f>29140000-150000</f>
        <v/>
      </c>
      <c r="D9" s="25" t="n">
        <v>29290000</v>
      </c>
      <c r="E9" s="40" t="inlineStr">
        <is>
          <t>OOS</t>
        </is>
      </c>
      <c r="F9" s="40" t="n">
        <v>28990000</v>
      </c>
      <c r="G9" s="4" t="n">
        <v>28590000</v>
      </c>
      <c r="I9" t="inlineStr">
        <is>
          <t>FPT</t>
        </is>
      </c>
      <c r="J9" t="inlineStr">
        <is>
          <t>Việt</t>
        </is>
      </c>
      <c r="K9" t="b">
        <v>1</v>
      </c>
    </row>
    <row r="10">
      <c r="A10" t="inlineStr">
        <is>
          <t>iPhone 14 Plus 128GB</t>
        </is>
      </c>
      <c r="B10" s="3" t="n">
        <v>18840000</v>
      </c>
      <c r="C10" s="3" t="n">
        <v>18840000</v>
      </c>
      <c r="D10" s="25" t="n">
        <v>19690000</v>
      </c>
      <c r="E10" s="40" t="inlineStr">
        <is>
          <t>OOS</t>
        </is>
      </c>
      <c r="F10" s="39" t="n">
        <v>19690000</v>
      </c>
      <c r="G10" s="4" t="n">
        <v>19590000</v>
      </c>
      <c r="I10" t="inlineStr">
        <is>
          <t>Viettel</t>
        </is>
      </c>
      <c r="J10" t="inlineStr">
        <is>
          <t>Sơn</t>
        </is>
      </c>
      <c r="K10" t="b">
        <v>1</v>
      </c>
    </row>
    <row r="11">
      <c r="A11" t="inlineStr">
        <is>
          <t>iPhone 14 128GB</t>
        </is>
      </c>
      <c r="B11" s="25" t="n">
        <v>15790000</v>
      </c>
      <c r="C11" s="25" t="n">
        <v>15790000</v>
      </c>
      <c r="D11" s="40" t="n">
        <v>15990000</v>
      </c>
      <c r="E11" s="37" t="inlineStr">
        <is>
          <t>OOS</t>
        </is>
      </c>
      <c r="F11" s="39" t="n">
        <v>15890000</v>
      </c>
      <c r="G11" s="4" t="n">
        <v>16390000</v>
      </c>
      <c r="I11" t="inlineStr">
        <is>
          <t>CPS</t>
        </is>
      </c>
      <c r="J11" t="inlineStr">
        <is>
          <t>Trang</t>
        </is>
      </c>
      <c r="K11" t="b">
        <v>1</v>
      </c>
    </row>
    <row r="12">
      <c r="A12" t="inlineStr">
        <is>
          <t>iPhone 13  128GB</t>
        </is>
      </c>
      <c r="B12" s="3" t="n">
        <v>12790000</v>
      </c>
      <c r="C12" s="3" t="n">
        <v>12790000</v>
      </c>
      <c r="D12" s="39" t="n">
        <v>12890000</v>
      </c>
      <c r="E12" s="40" t="n">
        <v>12590000</v>
      </c>
      <c r="F12" s="39" t="n">
        <v>12690000</v>
      </c>
      <c r="G12" s="3" t="inlineStr">
        <is>
          <t>12.590.000</t>
        </is>
      </c>
      <c r="I12" t="inlineStr">
        <is>
          <t>ShopDunk</t>
        </is>
      </c>
      <c r="J12" t="inlineStr">
        <is>
          <t>Đạt</t>
        </is>
      </c>
      <c r="K12" t="b">
        <v>1</v>
      </c>
    </row>
    <row r="13">
      <c r="A13" t="inlineStr">
        <is>
          <t>iPhone 12 64GB</t>
        </is>
      </c>
      <c r="B13" s="25" t="n">
        <v>11490000</v>
      </c>
      <c r="C13" s="25" t="n">
        <v>11490000</v>
      </c>
      <c r="D13" s="25" t="inlineStr">
        <is>
          <t>OOS</t>
        </is>
      </c>
      <c r="E13" s="40" t="n">
        <v>10490000</v>
      </c>
      <c r="F13" s="39" t="n">
        <v>10990000</v>
      </c>
      <c r="G13" s="4" t="inlineStr">
        <is>
          <t>OOS</t>
        </is>
      </c>
    </row>
    <row r="14">
      <c r="A14" t="inlineStr">
        <is>
          <t>iPhone 11 64GB</t>
        </is>
      </c>
      <c r="B14" s="25" t="n">
        <v>8940000</v>
      </c>
      <c r="C14" s="43" t="inlineStr">
        <is>
          <t>OOS</t>
        </is>
      </c>
      <c r="D14" s="25" t="n">
        <v>8990000</v>
      </c>
      <c r="E14" s="40" t="inlineStr">
        <is>
          <t>OOS</t>
        </is>
      </c>
      <c r="F14" s="39" t="n">
        <v>8890000</v>
      </c>
      <c r="G14" s="4" t="inlineStr">
        <is>
          <t>OOS</t>
        </is>
      </c>
    </row>
    <row r="15">
      <c r="A15" t="inlineStr">
        <is>
          <t>iPad Mini 7 128GB Wifi</t>
        </is>
      </c>
      <c r="B15" s="25" t="n">
        <v>13890000</v>
      </c>
      <c r="C15" s="25" t="n">
        <v>13890000</v>
      </c>
      <c r="D15" s="25" t="n">
        <v>13990000</v>
      </c>
      <c r="E15" s="34" t="n">
        <v>13790000</v>
      </c>
      <c r="F15" s="39" t="n">
        <v>13890000</v>
      </c>
      <c r="G15" s="4" t="n">
        <v>13690000</v>
      </c>
    </row>
    <row r="16">
      <c r="A16" t="inlineStr">
        <is>
          <t>iPad Gen 10th 64GB Wifi</t>
        </is>
      </c>
      <c r="B16" s="25" t="n">
        <v>8540000</v>
      </c>
      <c r="C16" s="25" t="n">
        <v>8540000</v>
      </c>
      <c r="D16" s="25" t="n">
        <v>8490000</v>
      </c>
      <c r="E16" s="40" t="n">
        <v>8290000</v>
      </c>
      <c r="F16" s="39" t="n">
        <v>8490000</v>
      </c>
      <c r="G16" s="4" t="n">
        <v>8390000</v>
      </c>
    </row>
    <row r="17">
      <c r="A17" t="inlineStr">
        <is>
          <t>iPad Gen 9th  64GB Wifi</t>
        </is>
      </c>
      <c r="B17" s="3" t="n">
        <v>6950000</v>
      </c>
      <c r="C17" s="3" t="n">
        <v>6950000</v>
      </c>
      <c r="D17" s="25" t="n">
        <v>6990000</v>
      </c>
      <c r="E17" s="39" t="n">
        <v>6990000</v>
      </c>
      <c r="F17" s="39" t="n">
        <v>6890000</v>
      </c>
      <c r="G17" s="4" t="n">
        <v>6890000</v>
      </c>
    </row>
    <row r="18">
      <c r="A18" t="inlineStr">
        <is>
          <t>iPad Air M2  11" 128 GB Wifi</t>
        </is>
      </c>
      <c r="B18" s="3" t="n">
        <v>14490000</v>
      </c>
      <c r="C18" s="3" t="n">
        <v>14490000</v>
      </c>
      <c r="D18" s="25" t="n">
        <v>14590000</v>
      </c>
      <c r="E18" s="38" t="n">
        <v>13990000</v>
      </c>
      <c r="F18" s="39" t="n">
        <v>14490000</v>
      </c>
      <c r="G18" s="4" t="n">
        <v>14190000</v>
      </c>
    </row>
    <row r="19">
      <c r="A19" t="inlineStr">
        <is>
          <t>iPad Air M2  13" 128 GB Wifi</t>
        </is>
      </c>
      <c r="B19" s="25" t="n">
        <v>20440000</v>
      </c>
      <c r="C19" s="25" t="n">
        <v>20440000</v>
      </c>
      <c r="D19" s="25" t="n">
        <v>20490000</v>
      </c>
      <c r="E19" s="40" t="n">
        <v>19990000</v>
      </c>
      <c r="F19" s="39" t="n">
        <v>20090000</v>
      </c>
      <c r="G19" s="4" t="n">
        <v>20290000</v>
      </c>
    </row>
    <row r="20">
      <c r="A20" t="inlineStr">
        <is>
          <t>iPad Pro  M4  11" 256 GB Wifi</t>
        </is>
      </c>
      <c r="B20" s="25" t="n">
        <v>27340000</v>
      </c>
      <c r="C20" s="25" t="n">
        <v>27340000</v>
      </c>
      <c r="D20" s="25" t="n">
        <v>27690000</v>
      </c>
      <c r="E20" s="40" t="n">
        <v>27190000</v>
      </c>
      <c r="F20" s="39" t="n">
        <v>27490000</v>
      </c>
      <c r="G20" s="4" t="n">
        <v>27090000</v>
      </c>
    </row>
    <row r="21">
      <c r="A21" t="inlineStr">
        <is>
          <t>iPad Pro  M4  13" 256 GB Wifi</t>
        </is>
      </c>
      <c r="B21" s="3" t="n">
        <v>36740000</v>
      </c>
      <c r="C21" s="3" t="n">
        <v>36740000</v>
      </c>
      <c r="D21" s="25" t="n">
        <v>36790000</v>
      </c>
      <c r="E21" s="40" t="n">
        <v>36490000</v>
      </c>
      <c r="F21" s="39" t="n">
        <v>36990000</v>
      </c>
      <c r="G21" s="4" t="n">
        <v>36490000</v>
      </c>
    </row>
    <row r="22">
      <c r="A22" t="inlineStr">
        <is>
          <t>AW SE 2 (40mm GPS)</t>
        </is>
      </c>
      <c r="B22" s="25" t="n">
        <v>5530000</v>
      </c>
      <c r="C22" s="25" t="n">
        <v>5530000</v>
      </c>
      <c r="D22" s="25" t="n">
        <v>5690000</v>
      </c>
      <c r="E22" s="40" t="n">
        <v>5590000</v>
      </c>
      <c r="F22" s="39" t="n">
        <v>5650000</v>
      </c>
      <c r="G22" s="3" t="n">
        <v>5650000</v>
      </c>
    </row>
    <row r="23">
      <c r="A23" t="inlineStr">
        <is>
          <t>AW SE 2 (40mm LTE)</t>
        </is>
      </c>
      <c r="B23" s="25" t="n">
        <v>6830000</v>
      </c>
      <c r="C23" s="25" t="n">
        <v>6830000</v>
      </c>
      <c r="D23" s="25" t="n">
        <v>6890000</v>
      </c>
      <c r="E23" s="40" t="n">
        <v>6990000</v>
      </c>
      <c r="F23" s="34" t="n">
        <v>6990000</v>
      </c>
      <c r="G23" s="4" t="n">
        <v>7190000</v>
      </c>
    </row>
    <row r="24">
      <c r="A24" t="inlineStr">
        <is>
          <t>AW SE 2 (44mm GPS)</t>
        </is>
      </c>
      <c r="B24" s="25" t="n">
        <v>6330000</v>
      </c>
      <c r="C24" s="25" t="n">
        <v>6330000</v>
      </c>
      <c r="D24" s="25" t="n">
        <v>6490000</v>
      </c>
      <c r="E24" s="40" t="n">
        <v>6390000</v>
      </c>
      <c r="F24" s="39" t="n">
        <v>6450000</v>
      </c>
      <c r="G24" s="3" t="n">
        <v>6450000</v>
      </c>
    </row>
    <row r="25">
      <c r="A25" t="inlineStr">
        <is>
          <t>AW SE 2 (44mm LTE)</t>
        </is>
      </c>
      <c r="B25" s="25" t="n">
        <v>7630000</v>
      </c>
      <c r="C25" s="25" t="n">
        <v>7630000</v>
      </c>
      <c r="D25" s="25" t="n">
        <v>7690000</v>
      </c>
      <c r="E25" s="40" t="n">
        <v>7790000</v>
      </c>
      <c r="F25" s="39" t="n">
        <v>8090000</v>
      </c>
      <c r="G25" s="4" t="inlineStr">
        <is>
          <t>7.890.000</t>
        </is>
      </c>
    </row>
    <row r="26">
      <c r="A26" t="inlineStr">
        <is>
          <t>AW S10 (42mm GPS)</t>
        </is>
      </c>
      <c r="B26" s="25" t="n">
        <v>9920000</v>
      </c>
      <c r="C26" s="25" t="n">
        <v>9920000</v>
      </c>
      <c r="D26" s="25" t="n">
        <v>10090000</v>
      </c>
      <c r="E26" s="40" t="n">
        <v>9990000</v>
      </c>
      <c r="F26" s="34" t="n">
        <v>9990000</v>
      </c>
      <c r="G26" s="3" t="n">
        <v>9890000</v>
      </c>
    </row>
    <row r="27">
      <c r="A27" t="inlineStr">
        <is>
          <t>AW S10 (42mm CEL)</t>
        </is>
      </c>
      <c r="B27" s="25" t="n">
        <v>12520000</v>
      </c>
      <c r="C27" s="25" t="n">
        <v>12520000</v>
      </c>
      <c r="D27" s="25" t="n">
        <v>12690000</v>
      </c>
      <c r="E27" s="38" t="n">
        <v>12490000</v>
      </c>
      <c r="F27" s="34" t="n">
        <v>12590000</v>
      </c>
      <c r="G27" s="4" t="n">
        <v>13290000</v>
      </c>
    </row>
    <row r="28">
      <c r="A28" t="inlineStr">
        <is>
          <t>AW S10 (46mm GPS)</t>
        </is>
      </c>
      <c r="B28" s="25" t="n">
        <v>10720000</v>
      </c>
      <c r="C28" s="25" t="n">
        <v>10720000</v>
      </c>
      <c r="D28" s="25" t="n">
        <v>10790000</v>
      </c>
      <c r="E28" s="40" t="n">
        <v>10690000</v>
      </c>
      <c r="F28" s="34" t="n">
        <v>10590000</v>
      </c>
      <c r="G28" s="3" t="inlineStr">
        <is>
          <t>10.690.000</t>
        </is>
      </c>
    </row>
    <row r="29">
      <c r="A29" t="inlineStr">
        <is>
          <t>AW S10 (46mm CEL)</t>
        </is>
      </c>
      <c r="B29" s="3" t="n">
        <v>13220000</v>
      </c>
      <c r="C29" s="3" t="n">
        <v>13220000</v>
      </c>
      <c r="D29" s="25" t="n">
        <v>13390000</v>
      </c>
      <c r="E29" s="40" t="n">
        <v>13390000</v>
      </c>
      <c r="F29" s="34" t="n">
        <v>13290000</v>
      </c>
      <c r="G29" s="3" t="n">
        <v>13990000</v>
      </c>
    </row>
    <row r="30">
      <c r="A30" t="inlineStr">
        <is>
          <t>AW Ultra 2 (49mm)</t>
        </is>
      </c>
      <c r="B30" s="25" t="n">
        <v>22340000</v>
      </c>
      <c r="C30" s="25" t="n">
        <v>22340000</v>
      </c>
      <c r="D30" s="25" t="n">
        <v>22990000</v>
      </c>
      <c r="E30" s="40" t="n">
        <v>21990000</v>
      </c>
      <c r="F30" s="40" t="n">
        <v>22490000</v>
      </c>
      <c r="G30" s="3" t="n">
        <v>22590000</v>
      </c>
    </row>
    <row r="31">
      <c r="A31" t="inlineStr">
        <is>
          <t>AirPods Pro 2 - 2023 (C-Type)</t>
        </is>
      </c>
      <c r="B31" s="3" t="n">
        <v>5350000</v>
      </c>
      <c r="C31" s="3" t="n">
        <v>5350000</v>
      </c>
      <c r="D31" s="34" t="n">
        <v>5390000</v>
      </c>
      <c r="E31" s="40" t="n">
        <v>5390000</v>
      </c>
      <c r="F31" s="40" t="n">
        <v>5290000</v>
      </c>
      <c r="G31" s="3" t="n">
        <v>5290000</v>
      </c>
    </row>
    <row r="32">
      <c r="A32" t="inlineStr">
        <is>
          <t>AirPods 4 ANC</t>
        </is>
      </c>
      <c r="B32" s="3" t="n">
        <v>4290000</v>
      </c>
      <c r="C32" s="3" t="n">
        <v>4290000</v>
      </c>
      <c r="D32" s="38" t="n">
        <v>4290000</v>
      </c>
      <c r="E32" s="40" t="n">
        <v>4290000</v>
      </c>
      <c r="F32" s="40" t="n">
        <v>4290000</v>
      </c>
      <c r="G32" s="4" t="n">
        <v>4490000</v>
      </c>
    </row>
    <row r="33">
      <c r="A33" t="inlineStr">
        <is>
          <t>AirPods 4 with charging case</t>
        </is>
      </c>
      <c r="B33" s="3" t="n">
        <v>3090000</v>
      </c>
      <c r="C33" s="3" t="n">
        <v>3090000</v>
      </c>
      <c r="D33" s="38" t="n">
        <v>3090000</v>
      </c>
      <c r="E33" s="40" t="n">
        <v>2990000</v>
      </c>
      <c r="F33" s="40" t="n">
        <v>3090000</v>
      </c>
      <c r="G33" s="4" t="n">
        <v>3250000</v>
      </c>
    </row>
    <row r="34">
      <c r="A34" t="inlineStr">
        <is>
          <t>AirPods 3 with charging case</t>
        </is>
      </c>
      <c r="B34" s="25" t="inlineStr">
        <is>
          <t>OOS</t>
        </is>
      </c>
      <c r="C34" s="25" t="inlineStr">
        <is>
          <t>OOS</t>
        </is>
      </c>
      <c r="D34" s="43" t="n">
        <v>3990000</v>
      </c>
      <c r="E34" s="40" t="n">
        <v>3990000</v>
      </c>
      <c r="F34" s="39" t="n">
        <v>3790000</v>
      </c>
      <c r="G34" s="4" t="inlineStr">
        <is>
          <t>OOS</t>
        </is>
      </c>
    </row>
    <row r="35">
      <c r="A35" t="inlineStr">
        <is>
          <t>MacBook Air 13" M1 8/256Gb</t>
        </is>
      </c>
      <c r="B35" s="3" t="n">
        <v>17590000</v>
      </c>
      <c r="C35" s="3" t="n">
        <v>17590000</v>
      </c>
      <c r="D35" s="39" t="n">
        <v>17690000</v>
      </c>
      <c r="E35" s="37" t="n"/>
      <c r="F35" s="39" t="n">
        <v>17590000</v>
      </c>
      <c r="G35" s="4" t="n">
        <v>17290000</v>
      </c>
    </row>
    <row r="36">
      <c r="A36" t="inlineStr">
        <is>
          <t>MacBook Air 13" M2 16/256GB</t>
        </is>
      </c>
      <c r="B36" s="25" t="n">
        <v>22740000</v>
      </c>
      <c r="C36" s="25" t="n">
        <v>22740000</v>
      </c>
      <c r="D36" s="25" t="n">
        <v>22990000</v>
      </c>
      <c r="E36" s="37" t="n"/>
      <c r="F36" s="39" t="inlineStr">
        <is>
          <t>22.990.00</t>
        </is>
      </c>
      <c r="G36" s="3" t="n">
        <v>23990000</v>
      </c>
    </row>
    <row r="37">
      <c r="A37" t="inlineStr">
        <is>
          <t>MacBook Air 13" M3 16/256GB</t>
        </is>
      </c>
      <c r="B37" s="3" t="n">
        <v>25740000</v>
      </c>
      <c r="C37" s="37" t="inlineStr">
        <is>
          <t>OOS</t>
        </is>
      </c>
      <c r="D37" s="39" t="n">
        <v>25990000</v>
      </c>
      <c r="E37" s="37" t="n"/>
      <c r="F37" s="39" t="n">
        <v>26290000</v>
      </c>
      <c r="G37" s="3" t="n">
        <v>26290000</v>
      </c>
    </row>
    <row r="38">
      <c r="A38" t="inlineStr">
        <is>
          <t>MacBook Air 15" M3 16/256GB</t>
        </is>
      </c>
      <c r="B38" s="25" t="n">
        <v>32140000</v>
      </c>
      <c r="C38" s="37" t="inlineStr">
        <is>
          <t>OOS</t>
        </is>
      </c>
      <c r="D38" s="25" t="n">
        <v>32390000</v>
      </c>
      <c r="E38" s="37" t="n"/>
      <c r="F38" s="39" t="n">
        <v>32290000</v>
      </c>
      <c r="G38" s="3" t="n">
        <v>32490000</v>
      </c>
    </row>
    <row r="39">
      <c r="A39" t="inlineStr">
        <is>
          <t>MacBook Pro 14" M4 16/512GB</t>
        </is>
      </c>
      <c r="B39" s="25" t="inlineStr">
        <is>
          <t>OOS</t>
        </is>
      </c>
      <c r="C39" s="37" t="inlineStr">
        <is>
          <t>OOS</t>
        </is>
      </c>
      <c r="D39" s="25" t="inlineStr">
        <is>
          <t>OOS</t>
        </is>
      </c>
      <c r="E39" s="37" t="n"/>
      <c r="F39" s="37" t="n">
        <v>39990000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2.xml><?xml version="1.0" encoding="utf-8"?>
<worksheet xmlns="http://schemas.openxmlformats.org/spreadsheetml/2006/main">
  <sheetPr codeName="Sheet41">
    <outlinePr summaryBelow="1" summaryRight="1"/>
    <pageSetUpPr/>
  </sheetPr>
  <dimension ref="A1:K39"/>
  <sheetViews>
    <sheetView zoomScale="110" zoomScaleNormal="110" workbookViewId="0">
      <pane xSplit="1" ySplit="1" topLeftCell="C10"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25" t="n"/>
      <c r="C2" s="25" t="n">
        <v>21490000</v>
      </c>
      <c r="D2" s="43" t="n">
        <v>20490000</v>
      </c>
      <c r="E2" s="40" t="n">
        <v>20790000</v>
      </c>
      <c r="F2" s="40" t="n">
        <v>20990000</v>
      </c>
      <c r="G2" s="4" t="n">
        <v>20590000</v>
      </c>
    </row>
    <row r="3">
      <c r="A3" t="inlineStr">
        <is>
          <t>iPhone 16  Plus 128GB</t>
        </is>
      </c>
      <c r="B3" s="3" t="n"/>
      <c r="C3" s="25" t="n">
        <v>24790000</v>
      </c>
      <c r="D3" s="43" t="n">
        <v>24190000</v>
      </c>
      <c r="E3" s="40" t="n">
        <v>24790000</v>
      </c>
      <c r="F3" s="40" t="n">
        <v>24690000</v>
      </c>
      <c r="G3" s="4" t="n">
        <v>24190000</v>
      </c>
    </row>
    <row r="4">
      <c r="A4" t="inlineStr">
        <is>
          <t>iPhone 16 Pro  128GB</t>
        </is>
      </c>
      <c r="B4" s="25" t="n"/>
      <c r="C4" s="25" t="n">
        <v>27590000</v>
      </c>
      <c r="D4" s="43" t="n">
        <v>26890000</v>
      </c>
      <c r="E4" s="40" t="n">
        <v>26990000</v>
      </c>
      <c r="F4" s="38" t="n">
        <v>27090000</v>
      </c>
      <c r="G4" s="4" t="n">
        <v>26990000</v>
      </c>
    </row>
    <row r="5">
      <c r="A5" t="inlineStr">
        <is>
          <t>iPhone 16 Pro Max 256GB</t>
        </is>
      </c>
      <c r="B5" s="3" t="n"/>
      <c r="C5" s="25" t="n">
        <v>32890000</v>
      </c>
      <c r="D5" s="43" t="n">
        <v>32790000</v>
      </c>
      <c r="E5" s="38" t="n">
        <v>31990000</v>
      </c>
      <c r="F5" s="40" t="n">
        <v>32890000</v>
      </c>
      <c r="G5" s="3" t="n">
        <v>32490000</v>
      </c>
    </row>
    <row r="6">
      <c r="A6" t="inlineStr">
        <is>
          <t>iPhone 15  128GB</t>
        </is>
      </c>
      <c r="B6" s="25" t="n"/>
      <c r="C6" s="25" t="n">
        <v>18990000</v>
      </c>
      <c r="D6" s="43" t="n">
        <v>18690000</v>
      </c>
      <c r="E6" s="40" t="n">
        <v>18990000</v>
      </c>
      <c r="F6" s="38" t="n">
        <v>18990000</v>
      </c>
      <c r="G6" s="4" t="n">
        <v>18590000</v>
      </c>
    </row>
    <row r="7">
      <c r="A7" t="inlineStr">
        <is>
          <t>iPhone 15  Plus 128GB</t>
        </is>
      </c>
      <c r="B7" s="25" t="n"/>
      <c r="C7" s="25" t="n">
        <v>22690000</v>
      </c>
      <c r="D7" s="43" t="n">
        <v>22590000</v>
      </c>
      <c r="E7" s="40" t="n">
        <v>22290000</v>
      </c>
      <c r="F7" s="40" t="n">
        <v>22390000</v>
      </c>
      <c r="G7" s="4" t="n">
        <v>22090000</v>
      </c>
      <c r="I7" t="inlineStr">
        <is>
          <t xml:space="preserve">MW </t>
        </is>
      </c>
      <c r="J7" t="inlineStr">
        <is>
          <t>Duy</t>
        </is>
      </c>
      <c r="K7" t="b">
        <v>1</v>
      </c>
    </row>
    <row r="8">
      <c r="A8" t="inlineStr">
        <is>
          <t>iPhone 15 Pro  128GB</t>
        </is>
      </c>
      <c r="B8" s="25" t="n"/>
      <c r="C8" s="43" t="inlineStr">
        <is>
          <t>OOS</t>
        </is>
      </c>
      <c r="D8" s="43" t="inlineStr">
        <is>
          <t>OOS</t>
        </is>
      </c>
      <c r="E8" s="37" t="inlineStr">
        <is>
          <t>OOS</t>
        </is>
      </c>
      <c r="F8" s="37" t="inlineStr">
        <is>
          <t>OOS</t>
        </is>
      </c>
      <c r="G8" s="4" t="inlineStr">
        <is>
          <t>OOS</t>
        </is>
      </c>
      <c r="I8" t="inlineStr">
        <is>
          <t>FPT</t>
        </is>
      </c>
      <c r="J8" t="inlineStr">
        <is>
          <t>Việt</t>
        </is>
      </c>
      <c r="K8" t="b">
        <v>1</v>
      </c>
    </row>
    <row r="9">
      <c r="A9" t="inlineStr">
        <is>
          <t>iPhone 15 Pro Max 256GB</t>
        </is>
      </c>
      <c r="B9" s="3" t="n"/>
      <c r="C9" s="3" t="n">
        <v>29690000</v>
      </c>
      <c r="D9" s="3" t="n">
        <v>29090000</v>
      </c>
      <c r="E9" s="40" t="inlineStr">
        <is>
          <t>OOS</t>
        </is>
      </c>
      <c r="F9" s="38" t="n">
        <v>29090000</v>
      </c>
      <c r="G9" s="4" t="n">
        <v>28690000</v>
      </c>
      <c r="I9" t="inlineStr">
        <is>
          <t>Viettel</t>
        </is>
      </c>
      <c r="J9" t="inlineStr">
        <is>
          <t>Nghĩa</t>
        </is>
      </c>
      <c r="K9" t="b">
        <v>1</v>
      </c>
    </row>
    <row r="10">
      <c r="A10" t="inlineStr">
        <is>
          <t>iPhone 14 Plus 128GB</t>
        </is>
      </c>
      <c r="B10" s="3" t="n"/>
      <c r="C10" s="3" t="n">
        <v>18990000</v>
      </c>
      <c r="D10" s="3" t="n">
        <v>18990000</v>
      </c>
      <c r="E10" s="38" t="n">
        <v>18990000</v>
      </c>
      <c r="F10" s="39" t="n">
        <v>19690000</v>
      </c>
      <c r="G10" s="4" t="n">
        <v>19690000</v>
      </c>
      <c r="I10" t="inlineStr">
        <is>
          <t>CPS</t>
        </is>
      </c>
      <c r="J10" t="inlineStr">
        <is>
          <t>Trang</t>
        </is>
      </c>
      <c r="K10" t="b">
        <v>1</v>
      </c>
    </row>
    <row r="11">
      <c r="A11" t="inlineStr">
        <is>
          <t>iPhone 14 128GB</t>
        </is>
      </c>
      <c r="B11" s="25" t="n"/>
      <c r="C11" s="3" t="n">
        <v>15990000</v>
      </c>
      <c r="D11" s="40" t="n">
        <v>15990000</v>
      </c>
      <c r="E11" s="37" t="n">
        <v>15290000</v>
      </c>
      <c r="F11" s="34" t="n">
        <v>15990000</v>
      </c>
      <c r="G11" s="4" t="n">
        <v>16390000</v>
      </c>
      <c r="I11" t="inlineStr">
        <is>
          <t>ShopDunk</t>
        </is>
      </c>
      <c r="J11" t="inlineStr">
        <is>
          <t>Đạt</t>
        </is>
      </c>
      <c r="K11" t="b">
        <v>1</v>
      </c>
    </row>
    <row r="12">
      <c r="A12" t="inlineStr">
        <is>
          <t>iPhone 13  128GB</t>
        </is>
      </c>
      <c r="B12" s="3" t="n"/>
      <c r="C12" s="3" t="n">
        <v>12950000</v>
      </c>
      <c r="D12" s="39" t="n">
        <v>12890000</v>
      </c>
      <c r="E12" s="38" t="n">
        <v>12590000</v>
      </c>
      <c r="F12" s="39" t="n">
        <v>12690000</v>
      </c>
      <c r="G12" s="4" t="inlineStr">
        <is>
          <t>12.590.000</t>
        </is>
      </c>
    </row>
    <row r="13">
      <c r="A13" t="inlineStr">
        <is>
          <t>iPhone 12 64GB</t>
        </is>
      </c>
      <c r="B13" s="25" t="n"/>
      <c r="C13" s="3" t="n">
        <v>9900000</v>
      </c>
      <c r="D13" s="25" t="inlineStr">
        <is>
          <t>OOS</t>
        </is>
      </c>
      <c r="E13" s="40" t="n">
        <v>10490000</v>
      </c>
      <c r="F13" s="34" t="n">
        <v>10790000</v>
      </c>
      <c r="G13" s="4" t="inlineStr">
        <is>
          <t>OOS</t>
        </is>
      </c>
    </row>
    <row r="14">
      <c r="A14" t="inlineStr">
        <is>
          <t>iPhone 11 64GB</t>
        </is>
      </c>
      <c r="B14" s="25" t="n"/>
      <c r="C14" s="43" t="inlineStr">
        <is>
          <t>OOS</t>
        </is>
      </c>
      <c r="D14" s="25" t="n">
        <v>8990000</v>
      </c>
      <c r="E14" s="40" t="inlineStr">
        <is>
          <t>OOS</t>
        </is>
      </c>
      <c r="F14" s="39" t="n">
        <v>8890000</v>
      </c>
      <c r="G14" s="4" t="inlineStr">
        <is>
          <t>OOS</t>
        </is>
      </c>
    </row>
    <row r="15">
      <c r="A15" t="inlineStr">
        <is>
          <t>iPad Mini 7 128GB Wifi</t>
        </is>
      </c>
      <c r="B15" s="25" t="n"/>
      <c r="C15" s="3" t="n">
        <v>13990000</v>
      </c>
      <c r="D15" s="25" t="n">
        <v>13990000</v>
      </c>
      <c r="E15" s="40" t="n">
        <v>13790000</v>
      </c>
      <c r="F15" s="34" t="n">
        <v>13990000</v>
      </c>
      <c r="G15" s="4" t="n">
        <v>13690000</v>
      </c>
    </row>
    <row r="16">
      <c r="A16" t="inlineStr">
        <is>
          <t>iPad Gen 10th 64GB Wifi</t>
        </is>
      </c>
      <c r="B16" s="25" t="n"/>
      <c r="C16" s="3" t="n">
        <v>8990000</v>
      </c>
      <c r="D16" s="3" t="n">
        <v>8790000</v>
      </c>
      <c r="E16" s="38" t="n">
        <v>8390000</v>
      </c>
      <c r="F16" s="34" t="n">
        <v>8790000</v>
      </c>
      <c r="G16" s="4" t="n">
        <v>8390000</v>
      </c>
    </row>
    <row r="17">
      <c r="A17" t="inlineStr">
        <is>
          <t>iPad Gen 9th  64GB Wifi</t>
        </is>
      </c>
      <c r="B17" s="3" t="n"/>
      <c r="C17" s="3" t="n">
        <v>6990000</v>
      </c>
      <c r="D17" s="25" t="n">
        <v>6990000</v>
      </c>
      <c r="E17" s="39" t="n">
        <v>6990000</v>
      </c>
      <c r="F17" s="39" t="n">
        <v>6890000</v>
      </c>
      <c r="G17" s="4" t="n">
        <v>6890000</v>
      </c>
    </row>
    <row r="18">
      <c r="A18" t="inlineStr">
        <is>
          <t>iPad Air M2  11" 128 GB Wifi</t>
        </is>
      </c>
      <c r="B18" s="3" t="n"/>
      <c r="C18" s="3" t="n">
        <v>14990000</v>
      </c>
      <c r="D18" s="25" t="n">
        <v>14590000</v>
      </c>
      <c r="E18" s="39" t="n">
        <v>13990000</v>
      </c>
      <c r="F18" s="34" t="n">
        <v>14690000</v>
      </c>
      <c r="G18" s="3" t="n">
        <v>14490000</v>
      </c>
    </row>
    <row r="19">
      <c r="A19" t="inlineStr">
        <is>
          <t>iPad Air M2  13" 128 GB Wifi</t>
        </is>
      </c>
      <c r="B19" s="25" t="n"/>
      <c r="C19" s="3" t="n">
        <v>20590000</v>
      </c>
      <c r="D19" s="25" t="n">
        <v>20490000</v>
      </c>
      <c r="E19" s="38" t="n">
        <v>19490000</v>
      </c>
      <c r="F19" s="34" t="n">
        <v>20490000</v>
      </c>
      <c r="G19" s="3" t="n">
        <v>19890000</v>
      </c>
    </row>
    <row r="20">
      <c r="A20" t="inlineStr">
        <is>
          <t>iPad Pro  M4  11" 256 GB Wifi</t>
        </is>
      </c>
      <c r="B20" s="25" t="n"/>
      <c r="C20" s="3" t="n">
        <v>27690000</v>
      </c>
      <c r="D20" s="25" t="n">
        <v>27690000</v>
      </c>
      <c r="E20" s="40" t="n">
        <v>27190000</v>
      </c>
      <c r="F20" s="39" t="n">
        <v>27590000</v>
      </c>
      <c r="G20" s="4" t="n">
        <v>27090000</v>
      </c>
    </row>
    <row r="21">
      <c r="A21" t="inlineStr">
        <is>
          <t>iPad Pro  M4  13" 256 GB Wifi</t>
        </is>
      </c>
      <c r="B21" s="3" t="n"/>
      <c r="C21" s="3" t="n">
        <v>36890000</v>
      </c>
      <c r="D21" s="25" t="n">
        <v>36790000</v>
      </c>
      <c r="E21" s="40" t="n">
        <v>36490000</v>
      </c>
      <c r="F21" s="39" t="n">
        <v>36990000</v>
      </c>
      <c r="G21" s="4" t="n">
        <v>36490000</v>
      </c>
    </row>
    <row r="22">
      <c r="A22" t="inlineStr">
        <is>
          <t>AW SE 2 (40mm GPS)</t>
        </is>
      </c>
      <c r="B22" s="25" t="n"/>
      <c r="C22" s="3" t="n">
        <v>5890000</v>
      </c>
      <c r="D22" s="3" t="n">
        <v>5890000</v>
      </c>
      <c r="E22" s="38" t="n">
        <v>5790000</v>
      </c>
      <c r="F22" s="39" t="n">
        <v>5650000</v>
      </c>
      <c r="G22" s="3" t="n">
        <v>5690000</v>
      </c>
    </row>
    <row r="23">
      <c r="A23" t="inlineStr">
        <is>
          <t>AW SE 2 (40mm LTE)</t>
        </is>
      </c>
      <c r="B23" s="25" t="n"/>
      <c r="C23" s="3" t="n">
        <v>7190000</v>
      </c>
      <c r="D23" s="3" t="n">
        <v>6990000</v>
      </c>
      <c r="E23" s="38" t="n">
        <v>7290000</v>
      </c>
      <c r="F23" s="34" t="n">
        <v>7190000</v>
      </c>
      <c r="G23" s="4" t="n">
        <v>7190000</v>
      </c>
    </row>
    <row r="24">
      <c r="A24" t="inlineStr">
        <is>
          <t>AW SE 2 (44mm GPS)</t>
        </is>
      </c>
      <c r="B24" s="25" t="n"/>
      <c r="C24" s="3" t="n">
        <v>6690000</v>
      </c>
      <c r="D24" s="3" t="n">
        <v>6590000</v>
      </c>
      <c r="E24" s="38" t="n">
        <v>6590000</v>
      </c>
      <c r="F24" s="39" t="n">
        <v>6490000</v>
      </c>
      <c r="G24" s="3" t="n">
        <v>6450000</v>
      </c>
    </row>
    <row r="25">
      <c r="A25" t="inlineStr">
        <is>
          <t>AW SE 2 (44mm LTE)</t>
        </is>
      </c>
      <c r="B25" s="25" t="n"/>
      <c r="C25" s="3" t="n">
        <v>7990000</v>
      </c>
      <c r="D25" s="3" t="n">
        <v>7890000</v>
      </c>
      <c r="E25" s="38" t="n">
        <v>7990000</v>
      </c>
      <c r="F25" s="39" t="n">
        <v>8090000</v>
      </c>
      <c r="G25" s="4" t="inlineStr">
        <is>
          <t>7.890.000</t>
        </is>
      </c>
    </row>
    <row r="26">
      <c r="A26" t="inlineStr">
        <is>
          <t>AW S10 (42mm GPS)</t>
        </is>
      </c>
      <c r="B26" s="25" t="n"/>
      <c r="C26" s="25" t="inlineStr">
        <is>
          <t>OOS</t>
        </is>
      </c>
      <c r="D26" s="3" t="n">
        <v>10790000</v>
      </c>
      <c r="E26" s="38" t="n">
        <v>10390000</v>
      </c>
      <c r="F26" s="34" t="n">
        <v>10790000</v>
      </c>
      <c r="G26" s="3" t="inlineStr">
        <is>
          <t>10.490.000</t>
        </is>
      </c>
    </row>
    <row r="27">
      <c r="A27" t="inlineStr">
        <is>
          <t>AW S10 (42mm CEL)</t>
        </is>
      </c>
      <c r="B27" s="25" t="n"/>
      <c r="C27" s="3" t="n">
        <v>13190000</v>
      </c>
      <c r="D27" s="3" t="n">
        <v>13290000</v>
      </c>
      <c r="E27" s="38" t="n">
        <v>12990000</v>
      </c>
      <c r="F27" s="34" t="n">
        <v>12590000</v>
      </c>
      <c r="G27" s="3" t="n">
        <v>12590000</v>
      </c>
    </row>
    <row r="28">
      <c r="A28" t="inlineStr">
        <is>
          <t>AW S10 (46mm GPS)</t>
        </is>
      </c>
      <c r="B28" s="25" t="n"/>
      <c r="C28" s="3" t="n">
        <v>11590000</v>
      </c>
      <c r="D28" s="3" t="n">
        <v>11490000</v>
      </c>
      <c r="E28" s="38" t="n">
        <v>11290000</v>
      </c>
      <c r="F28" s="34" t="n">
        <v>11390000</v>
      </c>
      <c r="G28" s="3" t="inlineStr">
        <is>
          <t>11.490.000</t>
        </is>
      </c>
    </row>
    <row r="29">
      <c r="A29" t="inlineStr">
        <is>
          <t>AW S10 (46mm CEL)</t>
        </is>
      </c>
      <c r="B29" s="3" t="n"/>
      <c r="C29" s="3" t="n">
        <v>14190000</v>
      </c>
      <c r="D29" s="3" t="n">
        <v>13990000</v>
      </c>
      <c r="E29" s="38" t="n">
        <v>13890000</v>
      </c>
      <c r="F29" s="34" t="n">
        <v>13290000</v>
      </c>
      <c r="G29" s="3" t="n">
        <v>13890000</v>
      </c>
    </row>
    <row r="30">
      <c r="A30" t="inlineStr">
        <is>
          <t>AW Ultra 2 (49mm)</t>
        </is>
      </c>
      <c r="B30" s="25" t="n"/>
      <c r="C30" s="3" t="n">
        <v>22490000</v>
      </c>
      <c r="D30" s="25" t="n">
        <v>22990000</v>
      </c>
      <c r="E30" s="40" t="n">
        <v>21990000</v>
      </c>
      <c r="F30" s="40" t="n">
        <v>22490000</v>
      </c>
      <c r="G30" s="3" t="n">
        <v>22990000</v>
      </c>
    </row>
    <row r="31">
      <c r="A31" t="inlineStr">
        <is>
          <t>AirPods Pro 2 - 2023 (C-Type)</t>
        </is>
      </c>
      <c r="B31" s="3" t="n"/>
      <c r="C31" s="3" t="n">
        <v>5790000</v>
      </c>
      <c r="D31" s="34" t="n">
        <v>5790000</v>
      </c>
      <c r="E31" s="38" t="n">
        <v>5690000</v>
      </c>
      <c r="F31" s="38" t="n">
        <v>5690000</v>
      </c>
      <c r="G31" s="3" t="n">
        <v>5290000</v>
      </c>
    </row>
    <row r="32">
      <c r="A32" t="inlineStr">
        <is>
          <t>AirPods 4 ANC</t>
        </is>
      </c>
      <c r="B32" s="3" t="n"/>
      <c r="C32" s="3" t="n">
        <v>4650000</v>
      </c>
      <c r="D32" s="38" t="n">
        <v>4650000</v>
      </c>
      <c r="E32" s="38" t="n">
        <v>4590000</v>
      </c>
      <c r="F32" s="38" t="n">
        <v>4590000</v>
      </c>
      <c r="G32" s="3" t="n">
        <v>4690000</v>
      </c>
    </row>
    <row r="33">
      <c r="A33" t="inlineStr">
        <is>
          <t>AirPods 4 with charging case</t>
        </is>
      </c>
      <c r="B33" s="3" t="n"/>
      <c r="C33" s="3" t="n">
        <v>3390000</v>
      </c>
      <c r="D33" s="38" t="n">
        <v>3390000</v>
      </c>
      <c r="E33" s="38" t="n">
        <v>3290000</v>
      </c>
      <c r="F33" s="38" t="n">
        <v>3350000</v>
      </c>
      <c r="G33" s="3" t="n">
        <v>3340000</v>
      </c>
    </row>
    <row r="34">
      <c r="A34" t="inlineStr">
        <is>
          <t>AirPods 3 with charging case</t>
        </is>
      </c>
      <c r="B34" s="25" t="n"/>
      <c r="C34" s="25" t="inlineStr">
        <is>
          <t>OOS</t>
        </is>
      </c>
      <c r="D34" s="43" t="n">
        <v>3990000</v>
      </c>
      <c r="E34" s="38" t="n">
        <v>3490000</v>
      </c>
      <c r="F34" s="39" t="n">
        <v>3790000</v>
      </c>
      <c r="G34" s="4" t="inlineStr">
        <is>
          <t>OOS</t>
        </is>
      </c>
    </row>
    <row r="35">
      <c r="A35" t="inlineStr">
        <is>
          <t>MacBook Air 13" M1 8/256Gb</t>
        </is>
      </c>
      <c r="B35" s="3" t="n"/>
      <c r="C35" s="3" t="n">
        <v>17790000</v>
      </c>
      <c r="D35" s="39" t="n">
        <v>17490000</v>
      </c>
      <c r="E35" s="37" t="n"/>
      <c r="F35" s="39" t="n">
        <v>17590000</v>
      </c>
      <c r="G35" s="4" t="n">
        <v>17290000</v>
      </c>
    </row>
    <row r="36">
      <c r="A36" t="inlineStr">
        <is>
          <t>MacBook Air 13" M2 16/256GB</t>
        </is>
      </c>
      <c r="B36" s="25" t="n"/>
      <c r="C36" s="3" t="n">
        <v>22990000</v>
      </c>
      <c r="D36" s="25" t="n">
        <v>22790000</v>
      </c>
      <c r="E36" s="37" t="n"/>
      <c r="F36" s="39" t="inlineStr">
        <is>
          <t>22.990.00</t>
        </is>
      </c>
      <c r="G36" s="4" t="n">
        <v>23990000</v>
      </c>
    </row>
    <row r="37">
      <c r="A37" t="inlineStr">
        <is>
          <t>MacBook Air 13" M3 16/256GB</t>
        </is>
      </c>
      <c r="B37" s="3" t="n"/>
      <c r="C37" s="37" t="inlineStr">
        <is>
          <t>OOS</t>
        </is>
      </c>
      <c r="D37" s="39" t="n">
        <v>25790000</v>
      </c>
      <c r="E37" s="37" t="n"/>
      <c r="F37" s="34" t="n">
        <v>25990000</v>
      </c>
      <c r="G37" s="3" t="n">
        <v>26390000</v>
      </c>
    </row>
    <row r="38">
      <c r="A38" t="inlineStr">
        <is>
          <t>MacBook Air 15" M3 16/256GB</t>
        </is>
      </c>
      <c r="B38" s="25" t="n"/>
      <c r="C38" s="37" t="inlineStr">
        <is>
          <t>OOS</t>
        </is>
      </c>
      <c r="D38" s="25" t="n">
        <v>32190000</v>
      </c>
      <c r="E38" s="37" t="n"/>
      <c r="F38" s="39" t="n">
        <v>32290000</v>
      </c>
      <c r="G38" s="4" t="n">
        <v>32490000</v>
      </c>
    </row>
    <row r="39">
      <c r="A39" t="inlineStr">
        <is>
          <t>MacBook Pro 14" M4 16/512GB</t>
        </is>
      </c>
      <c r="B39" s="25" t="n"/>
      <c r="C39" s="37" t="inlineStr">
        <is>
          <t>OOS</t>
        </is>
      </c>
      <c r="D39" s="25" t="n">
        <v>39790000</v>
      </c>
      <c r="E39" s="37" t="n"/>
      <c r="F39" s="38" t="n">
        <v>39690000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3.xml><?xml version="1.0" encoding="utf-8"?>
<worksheet xmlns="http://schemas.openxmlformats.org/spreadsheetml/2006/main">
  <sheetPr codeName="Sheet42">
    <outlinePr summaryBelow="1" summaryRight="1"/>
    <pageSetUpPr/>
  </sheetPr>
  <dimension ref="A1:K39"/>
  <sheetViews>
    <sheetView zoomScale="118" zoomScaleNormal="110" workbookViewId="0">
      <pane xSplit="1" ySplit="1" topLeftCell="C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25" t="n"/>
      <c r="C2" s="25" t="n">
        <v>21490000</v>
      </c>
      <c r="D2" s="42" t="n">
        <v>20890000</v>
      </c>
      <c r="E2" s="40" t="n">
        <v>20790000</v>
      </c>
      <c r="F2" s="40" t="n">
        <v>20990000</v>
      </c>
      <c r="G2" s="3" t="n">
        <v>20490000</v>
      </c>
    </row>
    <row r="3">
      <c r="A3" t="inlineStr">
        <is>
          <t>iPhone 16  Plus 128GB</t>
        </is>
      </c>
      <c r="B3" s="3" t="n"/>
      <c r="C3" s="25" t="n">
        <v>24790000</v>
      </c>
      <c r="D3" s="42" t="n">
        <v>24290000</v>
      </c>
      <c r="E3" s="40" t="n">
        <v>24790000</v>
      </c>
      <c r="F3" s="38" t="n">
        <v>24990000</v>
      </c>
      <c r="G3" s="4" t="n">
        <v>24190000</v>
      </c>
    </row>
    <row r="4">
      <c r="A4" t="inlineStr">
        <is>
          <t>iPhone 16 Pro  128GB</t>
        </is>
      </c>
      <c r="B4" s="25" t="n"/>
      <c r="C4" s="25" t="n">
        <v>27590000</v>
      </c>
      <c r="D4" s="42" t="n">
        <v>26990000</v>
      </c>
      <c r="E4" s="40" t="n">
        <v>26990000</v>
      </c>
      <c r="F4" s="38" t="n">
        <v>27390000</v>
      </c>
      <c r="G4" s="3" t="n">
        <v>27190000</v>
      </c>
    </row>
    <row r="5">
      <c r="A5" t="inlineStr">
        <is>
          <t>iPhone 16 Pro Max 256GB</t>
        </is>
      </c>
      <c r="B5" s="3" t="n"/>
      <c r="C5" s="25" t="n">
        <v>32890000</v>
      </c>
      <c r="D5" s="42" t="n">
        <v>32390000</v>
      </c>
      <c r="E5" s="40" t="n">
        <v>31990000</v>
      </c>
      <c r="F5" s="40" t="n">
        <v>32890000</v>
      </c>
      <c r="G5" s="4" t="n">
        <v>32490000</v>
      </c>
    </row>
    <row r="6">
      <c r="A6" t="inlineStr">
        <is>
          <t>iPhone 15  128GB</t>
        </is>
      </c>
      <c r="B6" s="25" t="n"/>
      <c r="C6" s="25" t="n">
        <v>18990000</v>
      </c>
      <c r="D6" s="43" t="n">
        <v>18690000</v>
      </c>
      <c r="E6" s="40" t="n">
        <v>18990000</v>
      </c>
      <c r="F6" s="38" t="n">
        <v>18690000</v>
      </c>
      <c r="G6" s="4" t="n">
        <v>18590000</v>
      </c>
    </row>
    <row r="7">
      <c r="A7" t="inlineStr">
        <is>
          <t>iPhone 15  Plus 128GB</t>
        </is>
      </c>
      <c r="B7" s="25" t="n"/>
      <c r="C7" s="3" t="n">
        <v>22990000</v>
      </c>
      <c r="D7" s="43" t="n">
        <v>22590000</v>
      </c>
      <c r="E7" s="40" t="n">
        <v>22290000</v>
      </c>
      <c r="F7" s="40" t="n">
        <v>22390000</v>
      </c>
      <c r="G7" s="4" t="n">
        <v>22090000</v>
      </c>
      <c r="I7" t="inlineStr">
        <is>
          <t xml:space="preserve">MW </t>
        </is>
      </c>
      <c r="J7" t="inlineStr">
        <is>
          <t>Duy</t>
        </is>
      </c>
      <c r="K7" t="b">
        <v>1</v>
      </c>
    </row>
    <row r="8">
      <c r="A8" t="inlineStr">
        <is>
          <t>iPhone 15 Pro  128GB</t>
        </is>
      </c>
      <c r="B8" s="25" t="n"/>
      <c r="C8" s="43" t="inlineStr">
        <is>
          <t>OOS</t>
        </is>
      </c>
      <c r="D8" s="43" t="inlineStr">
        <is>
          <t>OOS</t>
        </is>
      </c>
      <c r="E8" s="37" t="inlineStr">
        <is>
          <t>OOS</t>
        </is>
      </c>
      <c r="F8" s="37" t="inlineStr">
        <is>
          <t>OOS</t>
        </is>
      </c>
      <c r="G8" s="4" t="inlineStr">
        <is>
          <t>OOS</t>
        </is>
      </c>
      <c r="I8" t="inlineStr">
        <is>
          <t>FPT</t>
        </is>
      </c>
      <c r="J8" t="inlineStr">
        <is>
          <t>Việt</t>
        </is>
      </c>
      <c r="K8" t="b">
        <v>1</v>
      </c>
    </row>
    <row r="9">
      <c r="A9" t="inlineStr">
        <is>
          <t>iPhone 15 Pro Max 256GB</t>
        </is>
      </c>
      <c r="B9" s="3" t="n"/>
      <c r="C9" s="25" t="n">
        <v>29690000</v>
      </c>
      <c r="D9" s="25" t="n">
        <v>29090000</v>
      </c>
      <c r="E9" s="40" t="inlineStr">
        <is>
          <t>OOS</t>
        </is>
      </c>
      <c r="F9" s="38" t="inlineStr">
        <is>
          <t>28.890.000</t>
        </is>
      </c>
      <c r="G9" s="3" t="n">
        <v>28490000</v>
      </c>
      <c r="I9" t="inlineStr">
        <is>
          <t>Viettel</t>
        </is>
      </c>
      <c r="J9" t="inlineStr">
        <is>
          <t>Nghĩa</t>
        </is>
      </c>
      <c r="K9" t="b">
        <v>1</v>
      </c>
    </row>
    <row r="10">
      <c r="A10" t="inlineStr">
        <is>
          <t>iPhone 14 Plus 128GB</t>
        </is>
      </c>
      <c r="B10" s="3" t="n"/>
      <c r="C10" s="25" t="n">
        <v>18990000</v>
      </c>
      <c r="D10" s="3" t="n">
        <v>19690000</v>
      </c>
      <c r="E10" s="40" t="n">
        <v>18990000</v>
      </c>
      <c r="F10" s="39" t="n">
        <v>19690000</v>
      </c>
      <c r="G10" s="4" t="n">
        <v>19690000</v>
      </c>
      <c r="I10" t="inlineStr">
        <is>
          <t>CPS</t>
        </is>
      </c>
      <c r="J10" t="inlineStr">
        <is>
          <t>Trang</t>
        </is>
      </c>
      <c r="K10" t="b">
        <v>1</v>
      </c>
    </row>
    <row r="11">
      <c r="A11" t="inlineStr">
        <is>
          <t>iPhone 14 128GB</t>
        </is>
      </c>
      <c r="B11" s="25" t="n"/>
      <c r="C11" s="25" t="n">
        <v>15990000</v>
      </c>
      <c r="D11" s="40" t="n">
        <v>15990000</v>
      </c>
      <c r="E11" s="37" t="n">
        <v>15290000</v>
      </c>
      <c r="F11" s="39" t="n">
        <v>15990000</v>
      </c>
      <c r="G11" s="4" t="n">
        <v>15.99</v>
      </c>
      <c r="I11" t="inlineStr">
        <is>
          <t>ShopDunk</t>
        </is>
      </c>
      <c r="J11" t="inlineStr">
        <is>
          <t>Đạt</t>
        </is>
      </c>
      <c r="K11" t="b">
        <v>1</v>
      </c>
    </row>
    <row r="12">
      <c r="A12" t="inlineStr">
        <is>
          <t>iPhone 13  128GB</t>
        </is>
      </c>
      <c r="B12" s="3" t="n"/>
      <c r="C12" s="3" t="n">
        <v>12890000</v>
      </c>
      <c r="D12" s="39" t="n">
        <v>12890000</v>
      </c>
      <c r="E12" s="40" t="n">
        <v>12590000</v>
      </c>
      <c r="F12" s="39" t="n">
        <v>12650000</v>
      </c>
      <c r="G12" s="3" t="inlineStr">
        <is>
          <t>12.590.000</t>
        </is>
      </c>
    </row>
    <row r="13">
      <c r="A13" t="inlineStr">
        <is>
          <t>iPhone 12 64GB</t>
        </is>
      </c>
      <c r="B13" s="25" t="n"/>
      <c r="C13" s="3" t="n">
        <v>9590000</v>
      </c>
      <c r="D13" s="25" t="inlineStr">
        <is>
          <t>OOS</t>
        </is>
      </c>
      <c r="E13" s="40" t="n">
        <v>10490000</v>
      </c>
      <c r="F13" s="39" t="n">
        <v>10790000</v>
      </c>
      <c r="G13" s="4" t="inlineStr">
        <is>
          <t>OOS</t>
        </is>
      </c>
    </row>
    <row r="14">
      <c r="A14" t="inlineStr">
        <is>
          <t>iPhone 11 64GB</t>
        </is>
      </c>
      <c r="B14" s="25" t="n"/>
      <c r="C14" s="43" t="inlineStr">
        <is>
          <t>OOS</t>
        </is>
      </c>
      <c r="D14" s="25" t="n">
        <v>8990000</v>
      </c>
      <c r="E14" s="40" t="inlineStr">
        <is>
          <t>OOS</t>
        </is>
      </c>
      <c r="F14" s="39" t="n">
        <v>8990000</v>
      </c>
      <c r="G14" s="4" t="inlineStr">
        <is>
          <t>OOS</t>
        </is>
      </c>
    </row>
    <row r="15">
      <c r="A15" t="inlineStr">
        <is>
          <t>iPad Mini 7 128GB Wifi</t>
        </is>
      </c>
      <c r="B15" s="25" t="n"/>
      <c r="C15" s="25" t="n">
        <v>13990000</v>
      </c>
      <c r="D15" s="25" t="n">
        <v>13990000</v>
      </c>
      <c r="E15" s="40" t="n">
        <v>13790000</v>
      </c>
      <c r="F15" s="39" t="n">
        <v>13990000</v>
      </c>
      <c r="G15" s="4" t="n">
        <v>13690000</v>
      </c>
    </row>
    <row r="16">
      <c r="A16" t="inlineStr">
        <is>
          <t>iPad Gen 10th 64GB Wifi</t>
        </is>
      </c>
      <c r="B16" s="25" t="n"/>
      <c r="C16" s="25" t="n">
        <v>8990000</v>
      </c>
      <c r="D16" s="3" t="n">
        <v>8990000</v>
      </c>
      <c r="E16" s="40" t="n">
        <v>8390000</v>
      </c>
      <c r="F16" s="39" t="n">
        <v>8790000</v>
      </c>
      <c r="G16" s="4" t="n">
        <v>8390000</v>
      </c>
    </row>
    <row r="17">
      <c r="A17" t="inlineStr">
        <is>
          <t>iPad Gen 9th  64GB Wifi</t>
        </is>
      </c>
      <c r="B17" s="3" t="n"/>
      <c r="C17" s="25" t="n">
        <v>6990000</v>
      </c>
      <c r="D17" s="25" t="n">
        <v>6990000</v>
      </c>
      <c r="E17" s="39" t="n">
        <v>6990000</v>
      </c>
      <c r="F17" s="39" t="n">
        <v>6890000</v>
      </c>
      <c r="G17" s="4" t="n">
        <v>6890000</v>
      </c>
    </row>
    <row r="18">
      <c r="A18" t="inlineStr">
        <is>
          <t>iPad Air M2  11" 128 GB Wifi</t>
        </is>
      </c>
      <c r="B18" s="3" t="n"/>
      <c r="C18" s="25" t="n">
        <v>14990000</v>
      </c>
      <c r="D18" s="3" t="n">
        <v>14890000</v>
      </c>
      <c r="E18" s="39" t="n">
        <v>13990000</v>
      </c>
      <c r="F18" s="34" t="n">
        <v>14990000</v>
      </c>
      <c r="G18" s="4" t="n">
        <v>14490000</v>
      </c>
    </row>
    <row r="19">
      <c r="A19" t="inlineStr">
        <is>
          <t>iPad Air M2  13" 128 GB Wifi</t>
        </is>
      </c>
      <c r="B19" s="25" t="n"/>
      <c r="C19" s="25" t="n">
        <v>20590000</v>
      </c>
      <c r="D19" s="25" t="n">
        <v>20490000</v>
      </c>
      <c r="E19" s="40" t="n">
        <v>19490000</v>
      </c>
      <c r="F19" s="39" t="n">
        <v>20490000</v>
      </c>
      <c r="G19" s="3" t="n">
        <v>20090000</v>
      </c>
    </row>
    <row r="20">
      <c r="A20" t="inlineStr">
        <is>
          <t>iPad Pro  M4  11" 256 GB Wifi</t>
        </is>
      </c>
      <c r="B20" s="25" t="n"/>
      <c r="C20" s="25" t="n">
        <v>27690000</v>
      </c>
      <c r="D20" s="25" t="n">
        <v>27690000</v>
      </c>
      <c r="E20" s="40" t="n">
        <v>27190000</v>
      </c>
      <c r="F20" s="39" t="n">
        <v>27690000</v>
      </c>
      <c r="G20" s="4" t="n">
        <v>27090000</v>
      </c>
    </row>
    <row r="21">
      <c r="A21" t="inlineStr">
        <is>
          <t>iPad Pro  M4  13" 256 GB Wifi</t>
        </is>
      </c>
      <c r="B21" s="3" t="n"/>
      <c r="C21" s="25" t="n">
        <v>36890000</v>
      </c>
      <c r="D21" s="3" t="n">
        <v>36890000</v>
      </c>
      <c r="E21" s="40" t="n">
        <v>36490000</v>
      </c>
      <c r="F21" s="39" t="n">
        <v>36990000</v>
      </c>
      <c r="G21" s="4" t="n">
        <v>36490000</v>
      </c>
    </row>
    <row r="22">
      <c r="A22" t="inlineStr">
        <is>
          <t>AW SE 2 (40mm GPS)</t>
        </is>
      </c>
      <c r="B22" s="25" t="n"/>
      <c r="C22" s="3" t="n">
        <v>5770000</v>
      </c>
      <c r="D22" s="3" t="n">
        <v>5690000</v>
      </c>
      <c r="E22" s="38" t="n">
        <v>5590000</v>
      </c>
      <c r="F22" s="39" t="n">
        <v>5690000</v>
      </c>
      <c r="G22" s="3" t="n">
        <v>5590000</v>
      </c>
    </row>
    <row r="23">
      <c r="A23" t="inlineStr">
        <is>
          <t>AW SE 2 (40mm LTE)</t>
        </is>
      </c>
      <c r="B23" s="25" t="n"/>
      <c r="C23" s="3" t="n">
        <v>7070000</v>
      </c>
      <c r="D23" s="3" t="n">
        <v>7090000</v>
      </c>
      <c r="E23" s="38" t="n">
        <v>6990000</v>
      </c>
      <c r="F23" s="34" t="n">
        <v>7190000</v>
      </c>
      <c r="G23" s="3" t="inlineStr">
        <is>
          <t>6.890.000</t>
        </is>
      </c>
    </row>
    <row r="24">
      <c r="A24" t="inlineStr">
        <is>
          <t>AW SE 2 (44mm GPS)</t>
        </is>
      </c>
      <c r="B24" s="25" t="n"/>
      <c r="C24" s="3" t="n">
        <v>6570000</v>
      </c>
      <c r="D24" s="3" t="n">
        <v>6490000</v>
      </c>
      <c r="E24" s="38" t="n">
        <v>6390000</v>
      </c>
      <c r="F24" s="39" t="n">
        <v>6490000</v>
      </c>
      <c r="G24" s="3" t="n">
        <v>6390000</v>
      </c>
    </row>
    <row r="25">
      <c r="A25" t="inlineStr">
        <is>
          <t>AW SE 2 (44mm LTE)</t>
        </is>
      </c>
      <c r="B25" s="25" t="n"/>
      <c r="C25" s="3" t="n">
        <v>7870000</v>
      </c>
      <c r="D25" s="25" t="n">
        <v>7890000</v>
      </c>
      <c r="E25" s="38" t="n">
        <v>7790000</v>
      </c>
      <c r="F25" s="39" t="n">
        <v>8090000</v>
      </c>
      <c r="G25" s="3" t="inlineStr">
        <is>
          <t>7.790.000</t>
        </is>
      </c>
    </row>
    <row r="26">
      <c r="A26" t="inlineStr">
        <is>
          <t>AW S10 (42mm GPS)</t>
        </is>
      </c>
      <c r="B26" s="25" t="n"/>
      <c r="C26" s="25" t="n">
        <v>9690000</v>
      </c>
      <c r="D26" s="3" t="n">
        <v>9990000</v>
      </c>
      <c r="E26" s="38" t="n">
        <v>9990000</v>
      </c>
      <c r="F26" s="34" t="n">
        <v>9990000</v>
      </c>
      <c r="G26" s="3" t="n">
        <v>9790000</v>
      </c>
    </row>
    <row r="27">
      <c r="A27" t="inlineStr">
        <is>
          <t>AW S10 (42mm CEL)</t>
        </is>
      </c>
      <c r="B27" s="25" t="n"/>
      <c r="C27" s="3" t="n">
        <v>12390000</v>
      </c>
      <c r="D27" s="3" t="n">
        <v>12390000</v>
      </c>
      <c r="E27" s="38" t="n">
        <v>12490000</v>
      </c>
      <c r="F27" s="34" t="n">
        <v>12390000</v>
      </c>
      <c r="G27" s="3" t="n">
        <v>12190000</v>
      </c>
    </row>
    <row r="28">
      <c r="A28" t="inlineStr">
        <is>
          <t>AW S10 (46mm GPS)</t>
        </is>
      </c>
      <c r="B28" s="25" t="n"/>
      <c r="C28" s="3" t="n">
        <v>10790000</v>
      </c>
      <c r="D28" s="3" t="n">
        <v>10890000</v>
      </c>
      <c r="E28" s="38" t="n">
        <v>10690000</v>
      </c>
      <c r="F28" s="34" t="n">
        <v>10790000</v>
      </c>
      <c r="G28" s="3" t="inlineStr">
        <is>
          <t>10.590.000</t>
        </is>
      </c>
    </row>
    <row r="29">
      <c r="A29" t="inlineStr">
        <is>
          <t>AW S10 (46mm CEL)</t>
        </is>
      </c>
      <c r="B29" s="3" t="n"/>
      <c r="C29" s="3" t="n">
        <v>13390000</v>
      </c>
      <c r="D29" s="3" t="n">
        <v>13390000</v>
      </c>
      <c r="E29" s="38" t="n">
        <v>13390000</v>
      </c>
      <c r="F29" s="34" t="n">
        <v>13290000</v>
      </c>
      <c r="G29" s="3" t="n">
        <v>13690000</v>
      </c>
    </row>
    <row r="30">
      <c r="A30" t="inlineStr">
        <is>
          <t>AW Ultra 2 (49mm)</t>
        </is>
      </c>
      <c r="B30" s="25" t="n"/>
      <c r="C30" s="25" t="n">
        <v>22490000</v>
      </c>
      <c r="D30" s="25" t="n">
        <v>22990000</v>
      </c>
      <c r="E30" s="40" t="n">
        <v>21990000</v>
      </c>
      <c r="F30" s="40" t="n">
        <v>21990000</v>
      </c>
      <c r="G30" s="4" t="n">
        <v>22990000</v>
      </c>
    </row>
    <row r="31">
      <c r="A31" t="inlineStr">
        <is>
          <t>AirPods Pro 2 - 2023 (C-Type)</t>
        </is>
      </c>
      <c r="B31" s="3" t="n"/>
      <c r="C31" s="3" t="n">
        <v>5690000</v>
      </c>
      <c r="D31" s="34" t="n">
        <v>5590000</v>
      </c>
      <c r="E31" s="38" t="n">
        <v>5390000</v>
      </c>
      <c r="F31" s="38" t="n">
        <v>5590000</v>
      </c>
      <c r="G31" s="3" t="n">
        <v>5590000</v>
      </c>
    </row>
    <row r="32">
      <c r="A32" t="inlineStr">
        <is>
          <t>AirPods 4 ANC</t>
        </is>
      </c>
      <c r="B32" s="3" t="n"/>
      <c r="C32" s="3" t="n">
        <v>4490000</v>
      </c>
      <c r="D32" s="38" t="n">
        <v>4490000</v>
      </c>
      <c r="E32" s="38" t="n">
        <v>4290000</v>
      </c>
      <c r="F32" s="38" t="n">
        <v>4490000</v>
      </c>
      <c r="G32" s="3" t="n">
        <v>4390000</v>
      </c>
    </row>
    <row r="33">
      <c r="A33" t="inlineStr">
        <is>
          <t>AirPods 4 with charging case</t>
        </is>
      </c>
      <c r="B33" s="3" t="n"/>
      <c r="C33" s="3" t="n">
        <v>3190000</v>
      </c>
      <c r="D33" s="38" t="n">
        <v>3390000</v>
      </c>
      <c r="E33" s="38" t="n">
        <v>2990000</v>
      </c>
      <c r="F33" s="38" t="n">
        <v>3150000</v>
      </c>
      <c r="G33" s="3" t="n">
        <v>3050000</v>
      </c>
    </row>
    <row r="34">
      <c r="A34" t="inlineStr">
        <is>
          <t>AirPods 3 with charging case</t>
        </is>
      </c>
      <c r="B34" s="25" t="n"/>
      <c r="C34" s="25" t="inlineStr">
        <is>
          <t>OOS</t>
        </is>
      </c>
      <c r="D34" s="43" t="n">
        <v>3990000</v>
      </c>
      <c r="E34" s="40" t="n">
        <v>3490000</v>
      </c>
      <c r="F34" s="39" t="n">
        <v>3790000</v>
      </c>
      <c r="G34" s="4" t="inlineStr">
        <is>
          <t>OOS</t>
        </is>
      </c>
    </row>
    <row r="35">
      <c r="A35" t="inlineStr">
        <is>
          <t>MacBook Air 13" M1 8/256Gb</t>
        </is>
      </c>
      <c r="B35" s="3" t="n"/>
      <c r="C35" s="25" t="n">
        <v>17790000</v>
      </c>
      <c r="D35" s="34" t="n">
        <v>17590000</v>
      </c>
      <c r="E35" s="37" t="n"/>
      <c r="F35" s="39" t="n">
        <v>17690000</v>
      </c>
      <c r="G35" s="4" t="n">
        <v>17290000</v>
      </c>
    </row>
    <row r="36">
      <c r="A36" t="inlineStr">
        <is>
          <t>MacBook Air 13" M2 16/256GB</t>
        </is>
      </c>
      <c r="B36" s="25" t="n"/>
      <c r="C36" s="25" t="n">
        <v>22990000</v>
      </c>
      <c r="D36" s="25" t="n">
        <v>22790000</v>
      </c>
      <c r="E36" s="37" t="n"/>
      <c r="F36" s="39" t="inlineStr">
        <is>
          <t>22.990.00</t>
        </is>
      </c>
      <c r="G36" s="3" t="n">
        <v>23090000</v>
      </c>
    </row>
    <row r="37">
      <c r="A37" t="inlineStr">
        <is>
          <t>MacBook Air 13" M3 16/256GB</t>
        </is>
      </c>
      <c r="B37" s="3" t="n"/>
      <c r="C37" s="37" t="inlineStr">
        <is>
          <t>OOS</t>
        </is>
      </c>
      <c r="D37" s="34" t="n">
        <v>25890000</v>
      </c>
      <c r="E37" s="37" t="n"/>
      <c r="F37" s="39" t="n">
        <v>25990000</v>
      </c>
      <c r="G37" s="3" t="n">
        <v>25490000</v>
      </c>
    </row>
    <row r="38">
      <c r="A38" t="inlineStr">
        <is>
          <t>MacBook Air 15" M3 16/256GB</t>
        </is>
      </c>
      <c r="B38" s="25" t="n"/>
      <c r="C38" s="37" t="inlineStr">
        <is>
          <t>OOS</t>
        </is>
      </c>
      <c r="D38" s="3" t="n">
        <v>31890000</v>
      </c>
      <c r="E38" s="37" t="n"/>
      <c r="F38" s="39" t="n">
        <v>31690000</v>
      </c>
      <c r="G38" s="4" t="n">
        <v>32490000</v>
      </c>
    </row>
    <row r="39">
      <c r="A39" t="inlineStr">
        <is>
          <t>MacBook Pro 14" M4 16/512GB</t>
        </is>
      </c>
      <c r="B39" s="25" t="n"/>
      <c r="C39" s="37" t="inlineStr">
        <is>
          <t>OOS</t>
        </is>
      </c>
      <c r="D39" s="25" t="n">
        <v>39790000</v>
      </c>
      <c r="E39" s="37" t="n"/>
      <c r="F39" s="40" t="n">
        <v>39850000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K39"/>
  <sheetViews>
    <sheetView zoomScale="85" zoomScaleNormal="110" workbookViewId="0">
      <pane xSplit="1" ySplit="1" topLeftCell="C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25" t="n"/>
      <c r="C2" s="25" t="n">
        <v>21490000</v>
      </c>
      <c r="D2" s="42" t="n">
        <v>21390000</v>
      </c>
      <c r="E2" s="40" t="n">
        <v>20790000</v>
      </c>
      <c r="F2" s="40" t="n">
        <v>20990000</v>
      </c>
      <c r="G2" s="4" t="n">
        <v>20490000</v>
      </c>
    </row>
    <row r="3">
      <c r="A3" t="inlineStr">
        <is>
          <t>iPhone 16  Plus 128GB</t>
        </is>
      </c>
      <c r="B3" s="3" t="n"/>
      <c r="C3" s="25" t="n">
        <v>24790000</v>
      </c>
      <c r="D3" s="42" t="n">
        <v>24790000</v>
      </c>
      <c r="E3" s="40" t="n">
        <v>24790000</v>
      </c>
      <c r="F3" s="40" t="n">
        <v>24990000</v>
      </c>
      <c r="G3" s="3" t="n">
        <v>24590000</v>
      </c>
    </row>
    <row r="4">
      <c r="A4" t="inlineStr">
        <is>
          <t>iPhone 16 Pro  128GB</t>
        </is>
      </c>
      <c r="B4" s="25" t="n"/>
      <c r="C4" s="25" t="n">
        <v>27590000</v>
      </c>
      <c r="D4" s="42" t="n">
        <v>27490000</v>
      </c>
      <c r="E4" s="40" t="n">
        <v>26990000</v>
      </c>
      <c r="F4" s="38" t="n">
        <v>27290000</v>
      </c>
      <c r="G4" s="3" t="n">
        <v>26890000</v>
      </c>
    </row>
    <row r="5">
      <c r="A5" t="inlineStr">
        <is>
          <t>iPhone 16 Pro Max 256GB</t>
        </is>
      </c>
      <c r="B5" s="3" t="n"/>
      <c r="C5" s="25" t="n">
        <v>32890000</v>
      </c>
      <c r="D5" s="42" t="n">
        <v>32890000</v>
      </c>
      <c r="E5" s="40" t="n">
        <v>31990000</v>
      </c>
      <c r="F5" s="40" t="n">
        <v>32890000</v>
      </c>
      <c r="G5" s="3" t="n">
        <v>32290000</v>
      </c>
    </row>
    <row r="6">
      <c r="A6" t="inlineStr">
        <is>
          <t>iPhone 15  128GB</t>
        </is>
      </c>
      <c r="B6" s="25" t="n"/>
      <c r="C6" s="25" t="n">
        <v>18990000</v>
      </c>
      <c r="D6" s="42" t="n">
        <v>18990000</v>
      </c>
      <c r="E6" s="40" t="n">
        <v>18990000</v>
      </c>
      <c r="F6" s="40" t="n">
        <v>18690000</v>
      </c>
      <c r="G6" s="3" t="n">
        <v>18390000</v>
      </c>
    </row>
    <row r="7">
      <c r="A7" t="inlineStr">
        <is>
          <t>iPhone 15  Plus 128GB</t>
        </is>
      </c>
      <c r="B7" s="25" t="n"/>
      <c r="C7" s="25" t="n">
        <v>22990000</v>
      </c>
      <c r="D7" s="43" t="n">
        <v>22590000</v>
      </c>
      <c r="E7" s="40" t="n">
        <v>22290000</v>
      </c>
      <c r="F7" s="40" t="n">
        <v>22390000</v>
      </c>
      <c r="G7" s="4" t="n">
        <v>22090000</v>
      </c>
      <c r="I7" t="inlineStr">
        <is>
          <t xml:space="preserve">MW </t>
        </is>
      </c>
      <c r="J7" t="inlineStr">
        <is>
          <t>Duy</t>
        </is>
      </c>
      <c r="K7" t="b">
        <v>1</v>
      </c>
    </row>
    <row r="8">
      <c r="A8" t="inlineStr">
        <is>
          <t>iPhone 15 Pro  128GB</t>
        </is>
      </c>
      <c r="B8" s="25" t="n"/>
      <c r="C8" s="43" t="inlineStr">
        <is>
          <t>OOS</t>
        </is>
      </c>
      <c r="D8" s="43" t="inlineStr">
        <is>
          <t>OOS</t>
        </is>
      </c>
      <c r="E8" s="40" t="inlineStr">
        <is>
          <t>OOS</t>
        </is>
      </c>
      <c r="F8" s="37" t="inlineStr">
        <is>
          <t>OOS</t>
        </is>
      </c>
      <c r="G8" s="4" t="inlineStr">
        <is>
          <t>OOS</t>
        </is>
      </c>
      <c r="I8" t="inlineStr">
        <is>
          <t>FPT</t>
        </is>
      </c>
      <c r="J8" t="inlineStr">
        <is>
          <t>Việt</t>
        </is>
      </c>
      <c r="K8" t="b">
        <v>1</v>
      </c>
    </row>
    <row r="9">
      <c r="A9" t="inlineStr">
        <is>
          <t>iPhone 15 Pro Max 256GB</t>
        </is>
      </c>
      <c r="B9" s="3" t="n"/>
      <c r="C9" s="3" t="n">
        <v>29990000</v>
      </c>
      <c r="D9" s="25" t="n">
        <v>29090000</v>
      </c>
      <c r="E9" s="40" t="inlineStr">
        <is>
          <t>OOS</t>
        </is>
      </c>
      <c r="F9" s="38" t="n">
        <v>29090000</v>
      </c>
      <c r="G9" s="4" t="n">
        <v>28490000</v>
      </c>
      <c r="I9" t="inlineStr">
        <is>
          <t>Viettel</t>
        </is>
      </c>
      <c r="J9" t="inlineStr">
        <is>
          <t>Nghĩa</t>
        </is>
      </c>
      <c r="K9" t="b">
        <v>1</v>
      </c>
    </row>
    <row r="10">
      <c r="A10" t="inlineStr">
        <is>
          <t>iPhone 14 Plus 128GB</t>
        </is>
      </c>
      <c r="B10" s="3" t="n"/>
      <c r="C10" s="43" t="inlineStr">
        <is>
          <t>OOS</t>
        </is>
      </c>
      <c r="D10" s="25" t="n">
        <v>19690000</v>
      </c>
      <c r="E10" s="40" t="n">
        <v>18990000</v>
      </c>
      <c r="F10" s="39" t="n">
        <v>19490000</v>
      </c>
      <c r="G10" s="4" t="n">
        <v>19690000</v>
      </c>
      <c r="I10" t="inlineStr">
        <is>
          <t>CPS</t>
        </is>
      </c>
      <c r="J10" t="inlineStr">
        <is>
          <t>Trang</t>
        </is>
      </c>
      <c r="K10" t="b">
        <v>1</v>
      </c>
    </row>
    <row r="11">
      <c r="A11" t="inlineStr">
        <is>
          <t>iPhone 14 128GB</t>
        </is>
      </c>
      <c r="B11" s="25" t="n"/>
      <c r="C11" s="25" t="n">
        <v>15990000</v>
      </c>
      <c r="D11" s="40" t="n">
        <v>15990000</v>
      </c>
      <c r="E11" s="40" t="n">
        <v>15290000</v>
      </c>
      <c r="F11" s="39" t="n">
        <v>15590000</v>
      </c>
      <c r="G11" s="3" t="n">
        <v>15690000</v>
      </c>
      <c r="I11" t="inlineStr">
        <is>
          <t>ShopDunk</t>
        </is>
      </c>
      <c r="J11" t="inlineStr">
        <is>
          <t>Đạt</t>
        </is>
      </c>
      <c r="K11" t="b">
        <v>1</v>
      </c>
    </row>
    <row r="12">
      <c r="A12" t="inlineStr">
        <is>
          <t>iPhone 13  128GB</t>
        </is>
      </c>
      <c r="B12" s="3" t="n"/>
      <c r="C12" s="3" t="n">
        <v>12850000</v>
      </c>
      <c r="D12" s="39" t="n">
        <v>12890000</v>
      </c>
      <c r="E12" s="40" t="n">
        <v>12590000</v>
      </c>
      <c r="F12" s="39" t="n">
        <v>12650000</v>
      </c>
      <c r="G12" s="4" t="inlineStr">
        <is>
          <t>12.590.000</t>
        </is>
      </c>
    </row>
    <row r="13">
      <c r="A13" t="inlineStr">
        <is>
          <t>iPhone 12 64GB</t>
        </is>
      </c>
      <c r="B13" s="25" t="n"/>
      <c r="C13" s="3" t="n">
        <v>9990000</v>
      </c>
      <c r="D13" s="25" t="inlineStr">
        <is>
          <t>OOS</t>
        </is>
      </c>
      <c r="E13" s="40" t="n">
        <v>10490000</v>
      </c>
      <c r="F13" s="39" t="n">
        <v>9990000</v>
      </c>
      <c r="G13" s="4" t="inlineStr">
        <is>
          <t>OOS</t>
        </is>
      </c>
    </row>
    <row r="14">
      <c r="A14" t="inlineStr">
        <is>
          <t>iPhone 11 64GB</t>
        </is>
      </c>
      <c r="B14" s="25" t="n"/>
      <c r="C14" s="43" t="inlineStr">
        <is>
          <t>OOS</t>
        </is>
      </c>
      <c r="D14" s="3" t="n">
        <v>9190000</v>
      </c>
      <c r="E14" s="40" t="inlineStr">
        <is>
          <t>OOS</t>
        </is>
      </c>
      <c r="F14" s="39" t="n">
        <v>8890000</v>
      </c>
      <c r="G14" s="4" t="inlineStr">
        <is>
          <t>OOS</t>
        </is>
      </c>
    </row>
    <row r="15">
      <c r="A15" t="inlineStr">
        <is>
          <t>iPad Mini 7 128GB Wifi</t>
        </is>
      </c>
      <c r="B15" s="25" t="n"/>
      <c r="C15" s="25" t="n">
        <v>13990000</v>
      </c>
      <c r="D15" s="25" t="n">
        <v>13990000</v>
      </c>
      <c r="E15" s="40" t="n">
        <v>13790000</v>
      </c>
      <c r="F15" s="39" t="n">
        <v>13990000</v>
      </c>
      <c r="G15" s="4" t="n">
        <v>13690000</v>
      </c>
    </row>
    <row r="16">
      <c r="A16" t="inlineStr">
        <is>
          <t>iPad Gen 10th 64GB Wifi</t>
        </is>
      </c>
      <c r="B16" s="25" t="n"/>
      <c r="C16" s="25" t="n">
        <v>8990000</v>
      </c>
      <c r="D16" s="3" t="n">
        <v>8890000</v>
      </c>
      <c r="E16" s="40" t="n">
        <v>8390000</v>
      </c>
      <c r="F16" s="39" t="n">
        <v>8790000</v>
      </c>
      <c r="G16" s="3" t="n">
        <v>8690000</v>
      </c>
    </row>
    <row r="17">
      <c r="A17" t="inlineStr">
        <is>
          <t>iPad Gen 9th  64GB Wifi</t>
        </is>
      </c>
      <c r="B17" s="3" t="n"/>
      <c r="C17" s="25" t="n">
        <v>6990000</v>
      </c>
      <c r="D17" s="25" t="n">
        <v>6990000</v>
      </c>
      <c r="E17" s="40" t="n">
        <v>6990000</v>
      </c>
      <c r="F17" s="39" t="n">
        <v>6890000</v>
      </c>
      <c r="G17" s="4" t="n">
        <v>6890000</v>
      </c>
    </row>
    <row r="18">
      <c r="A18" t="inlineStr">
        <is>
          <t>iPad Air M2  11" 128 GB Wifi</t>
        </is>
      </c>
      <c r="B18" s="3" t="n"/>
      <c r="C18" s="25" t="n">
        <v>14990000</v>
      </c>
      <c r="D18" s="25" t="n">
        <v>14890000</v>
      </c>
      <c r="E18" s="40" t="n">
        <v>13990000</v>
      </c>
      <c r="F18" s="39" t="n">
        <v>14990000</v>
      </c>
      <c r="G18" s="4" t="n">
        <v>14590000</v>
      </c>
    </row>
    <row r="19">
      <c r="A19" t="inlineStr">
        <is>
          <t>iPad Air M2  13" 128 GB Wifi</t>
        </is>
      </c>
      <c r="B19" s="25" t="n"/>
      <c r="C19" s="25" t="n">
        <v>20590000</v>
      </c>
      <c r="D19" s="25" t="n">
        <v>20490000</v>
      </c>
      <c r="E19" s="40" t="n">
        <v>19490000</v>
      </c>
      <c r="F19" s="39" t="n">
        <v>20490000</v>
      </c>
      <c r="G19" s="4" t="n">
        <v>20090000</v>
      </c>
    </row>
    <row r="20">
      <c r="A20" t="inlineStr">
        <is>
          <t>iPad Pro  M4  11" 256 GB Wifi</t>
        </is>
      </c>
      <c r="B20" s="25" t="n"/>
      <c r="C20" s="25" t="n">
        <v>27690000</v>
      </c>
      <c r="D20" s="25" t="n">
        <v>27690000</v>
      </c>
      <c r="E20" s="40" t="n">
        <v>27190000</v>
      </c>
      <c r="F20" s="34" t="n">
        <v>27890000</v>
      </c>
      <c r="G20" s="4" t="n">
        <v>27090000</v>
      </c>
    </row>
    <row r="21">
      <c r="A21" t="inlineStr">
        <is>
          <t>iPad Pro  M4  13" 256 GB Wifi</t>
        </is>
      </c>
      <c r="B21" s="3" t="n"/>
      <c r="C21" s="25" t="n">
        <v>36890000</v>
      </c>
      <c r="D21" s="25" t="n">
        <v>36890000</v>
      </c>
      <c r="E21" s="40" t="n">
        <v>36490000</v>
      </c>
      <c r="F21" s="39" t="n">
        <v>36790000</v>
      </c>
      <c r="G21" s="4" t="n">
        <v>36490000</v>
      </c>
    </row>
    <row r="22">
      <c r="A22" t="inlineStr">
        <is>
          <t>AW SE 2 (40mm GPS)</t>
        </is>
      </c>
      <c r="B22" s="25" t="n"/>
      <c r="C22" s="25" t="n">
        <v>5770000</v>
      </c>
      <c r="D22" s="25" t="n">
        <v>5690000</v>
      </c>
      <c r="E22" s="40" t="n">
        <v>5590000</v>
      </c>
      <c r="F22" s="39" t="n">
        <v>5690000</v>
      </c>
      <c r="G22" s="3" t="n">
        <v>5690000</v>
      </c>
    </row>
    <row r="23">
      <c r="A23" t="inlineStr">
        <is>
          <t>AW SE 2 (40mm LTE)</t>
        </is>
      </c>
      <c r="B23" s="25" t="n"/>
      <c r="C23" s="25" t="n">
        <v>7070000</v>
      </c>
      <c r="D23" s="25" t="n">
        <v>7090000</v>
      </c>
      <c r="E23" s="40" t="n">
        <v>6990000</v>
      </c>
      <c r="F23" s="34" t="n">
        <v>7050000</v>
      </c>
      <c r="G23" s="3" t="inlineStr">
        <is>
          <t>7.390.000</t>
        </is>
      </c>
    </row>
    <row r="24">
      <c r="A24" t="inlineStr">
        <is>
          <t>AW SE 2 (44mm GPS)</t>
        </is>
      </c>
      <c r="B24" s="25" t="n"/>
      <c r="C24" s="25" t="n">
        <v>6570000</v>
      </c>
      <c r="D24" s="25" t="n">
        <v>6490000</v>
      </c>
      <c r="E24" s="40" t="n">
        <v>6390000</v>
      </c>
      <c r="F24" s="39" t="n">
        <v>6490000</v>
      </c>
      <c r="G24" s="3" t="n">
        <v>6490000</v>
      </c>
    </row>
    <row r="25">
      <c r="A25" t="inlineStr">
        <is>
          <t>AW SE 2 (44mm LTE)</t>
        </is>
      </c>
      <c r="B25" s="25" t="n"/>
      <c r="C25" s="25" t="n">
        <v>7870000</v>
      </c>
      <c r="D25" s="25" t="n">
        <v>7890000</v>
      </c>
      <c r="E25" s="40" t="n">
        <v>7790000</v>
      </c>
      <c r="F25" s="39" t="n">
        <v>8090000</v>
      </c>
      <c r="G25" s="3" t="n">
        <v>8090000</v>
      </c>
    </row>
    <row r="26">
      <c r="A26" t="inlineStr">
        <is>
          <t>AW S10 (42mm GPS)</t>
        </is>
      </c>
      <c r="B26" s="25" t="n"/>
      <c r="C26" s="25" t="n">
        <v>9690000</v>
      </c>
      <c r="D26" s="25" t="n">
        <v>9990000</v>
      </c>
      <c r="E26" s="40" t="n">
        <v>9990000</v>
      </c>
      <c r="F26" s="34" t="n">
        <v>9790000</v>
      </c>
      <c r="G26" s="4" t="n">
        <v>9750000</v>
      </c>
    </row>
    <row r="27">
      <c r="A27" t="inlineStr">
        <is>
          <t>AW S10 (42mm CEL)</t>
        </is>
      </c>
      <c r="B27" s="25" t="n"/>
      <c r="C27" s="25" t="n">
        <v>12390000</v>
      </c>
      <c r="D27" s="25" t="n">
        <v>12390000</v>
      </c>
      <c r="E27" s="40" t="n">
        <v>12490000</v>
      </c>
      <c r="F27" s="39" t="n">
        <v>12390000</v>
      </c>
      <c r="G27" s="3" t="n">
        <v>12390000</v>
      </c>
    </row>
    <row r="28">
      <c r="A28" t="inlineStr">
        <is>
          <t>AW S10 (46mm GPS)</t>
        </is>
      </c>
      <c r="B28" s="25" t="n"/>
      <c r="C28" s="25" t="n">
        <v>10790000</v>
      </c>
      <c r="D28" s="25" t="n">
        <v>10890000</v>
      </c>
      <c r="E28" s="40" t="n">
        <v>10690000</v>
      </c>
      <c r="F28" s="34" t="n">
        <v>10790000</v>
      </c>
      <c r="G28" s="3" t="inlineStr">
        <is>
          <t>10.990.000</t>
        </is>
      </c>
    </row>
    <row r="29">
      <c r="A29" t="inlineStr">
        <is>
          <t>AW S10 (46mm CEL)</t>
        </is>
      </c>
      <c r="B29" s="3" t="n"/>
      <c r="C29" s="25" t="n">
        <v>13390000</v>
      </c>
      <c r="D29" s="25" t="n">
        <v>13390000</v>
      </c>
      <c r="E29" s="40" t="n">
        <v>13390000</v>
      </c>
      <c r="F29" s="39" t="n">
        <v>13290000</v>
      </c>
      <c r="G29" s="3" t="n">
        <v>13890000</v>
      </c>
    </row>
    <row r="30">
      <c r="A30" t="inlineStr">
        <is>
          <t>AW Ultra 2 (49mm)</t>
        </is>
      </c>
      <c r="B30" s="25" t="n"/>
      <c r="C30" s="25" t="n">
        <v>22490000</v>
      </c>
      <c r="D30" s="25" t="n">
        <v>22990000</v>
      </c>
      <c r="E30" s="40" t="n">
        <v>21990000</v>
      </c>
      <c r="F30" s="40" t="n">
        <v>21990000</v>
      </c>
      <c r="G30" s="4" t="n">
        <v>22990000</v>
      </c>
    </row>
    <row r="31">
      <c r="A31" t="inlineStr">
        <is>
          <t>AirPods Pro 2 - 2023 (C-Type)</t>
        </is>
      </c>
      <c r="B31" s="3" t="n"/>
      <c r="C31" s="25" t="n">
        <v>5690000</v>
      </c>
      <c r="D31" s="39" t="n">
        <v>5590000</v>
      </c>
      <c r="E31" s="40" t="n">
        <v>5390000</v>
      </c>
      <c r="F31" s="40" t="n">
        <v>5590000</v>
      </c>
      <c r="G31" s="3" t="n">
        <v>5590000</v>
      </c>
    </row>
    <row r="32">
      <c r="A32" t="inlineStr">
        <is>
          <t>AirPods 4 ANC</t>
        </is>
      </c>
      <c r="B32" s="3" t="n"/>
      <c r="C32" s="25" t="n">
        <v>4490000</v>
      </c>
      <c r="D32" s="40" t="n">
        <v>4490000</v>
      </c>
      <c r="E32" s="40" t="n">
        <v>4290000</v>
      </c>
      <c r="F32" s="40" t="n">
        <v>4450000</v>
      </c>
      <c r="G32" s="3" t="n">
        <v>4490000</v>
      </c>
    </row>
    <row r="33">
      <c r="A33" t="inlineStr">
        <is>
          <t>AirPods 4 with charging case</t>
        </is>
      </c>
      <c r="B33" s="3" t="n"/>
      <c r="C33" s="25" t="n">
        <v>3190000</v>
      </c>
      <c r="D33" s="38" t="n">
        <v>3190000</v>
      </c>
      <c r="E33" s="40" t="n">
        <v>2990000</v>
      </c>
      <c r="F33" s="40" t="n">
        <v>3150000</v>
      </c>
      <c r="G33" s="3" t="n">
        <v>3150000</v>
      </c>
    </row>
    <row r="34">
      <c r="A34" t="inlineStr">
        <is>
          <t>AirPods 3 with charging case</t>
        </is>
      </c>
      <c r="B34" s="25" t="n"/>
      <c r="C34" s="25" t="inlineStr">
        <is>
          <t>OOS</t>
        </is>
      </c>
      <c r="D34" s="43" t="n">
        <v>3990000</v>
      </c>
      <c r="E34" s="40" t="n">
        <v>3490000</v>
      </c>
      <c r="F34" s="39" t="n">
        <v>3790000</v>
      </c>
      <c r="G34" s="4" t="inlineStr">
        <is>
          <t>OOS</t>
        </is>
      </c>
    </row>
    <row r="35">
      <c r="A35" t="inlineStr">
        <is>
          <t>MacBook Air 13" M1 8/256Gb</t>
        </is>
      </c>
      <c r="B35" s="3" t="n"/>
      <c r="C35" s="25" t="n">
        <v>17790000</v>
      </c>
      <c r="D35" s="34" t="n">
        <v>17790000</v>
      </c>
      <c r="E35" s="37" t="n"/>
      <c r="F35" s="39" t="n">
        <v>17690000</v>
      </c>
      <c r="G35" s="4" t="n">
        <v>17290000</v>
      </c>
    </row>
    <row r="36">
      <c r="A36" t="inlineStr">
        <is>
          <t>MacBook Air 13" M2 16/256GB</t>
        </is>
      </c>
      <c r="B36" s="25" t="n"/>
      <c r="C36" s="25" t="n">
        <v>22990000</v>
      </c>
      <c r="D36" s="3" t="n">
        <v>22990000</v>
      </c>
      <c r="E36" s="37" t="n"/>
      <c r="F36" s="39" t="inlineStr">
        <is>
          <t>22.990.00</t>
        </is>
      </c>
      <c r="G36" s="4" t="n">
        <v>23090000</v>
      </c>
    </row>
    <row r="37">
      <c r="A37" t="inlineStr">
        <is>
          <t>MacBook Air 13" M3 16/256GB</t>
        </is>
      </c>
      <c r="B37" s="3" t="n"/>
      <c r="C37" s="37" t="inlineStr">
        <is>
          <t>OOS</t>
        </is>
      </c>
      <c r="D37" s="34" t="n">
        <v>26090000</v>
      </c>
      <c r="E37" s="37" t="n"/>
      <c r="F37" s="39" t="n">
        <v>25990000</v>
      </c>
      <c r="G37" s="4" t="n">
        <v>25490000</v>
      </c>
    </row>
    <row r="38">
      <c r="A38" t="inlineStr">
        <is>
          <t>MacBook Air 15" M3 16/256GB</t>
        </is>
      </c>
      <c r="B38" s="25" t="n"/>
      <c r="C38" s="37" t="inlineStr">
        <is>
          <t>OOS</t>
        </is>
      </c>
      <c r="D38" s="3" t="n">
        <v>32090000</v>
      </c>
      <c r="E38" s="37" t="n"/>
      <c r="F38" s="39" t="n">
        <v>31690000</v>
      </c>
      <c r="G38" s="4" t="n">
        <v>32490000</v>
      </c>
    </row>
    <row r="39">
      <c r="A39" t="inlineStr">
        <is>
          <t>MacBook Pro 14" M4 16/512GB</t>
        </is>
      </c>
      <c r="B39" s="25" t="n"/>
      <c r="C39" s="37" t="inlineStr">
        <is>
          <t>OOS</t>
        </is>
      </c>
      <c r="D39" s="3" t="n">
        <v>39990000</v>
      </c>
      <c r="E39" s="37" t="n"/>
      <c r="F39" s="40" t="n">
        <v>39850000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K39"/>
  <sheetViews>
    <sheetView zoomScale="115" zoomScaleNormal="110" workbookViewId="0">
      <pane xSplit="1" ySplit="1" topLeftCell="C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  128GB</t>
        </is>
      </c>
      <c r="B2" s="25" t="n"/>
      <c r="C2" s="25" t="n">
        <v>21490000</v>
      </c>
      <c r="D2" s="43" t="n">
        <v>21390000</v>
      </c>
      <c r="E2" s="40" t="n">
        <v>20790000</v>
      </c>
      <c r="F2" s="40" t="n">
        <v>20990000</v>
      </c>
      <c r="G2" s="4" t="n">
        <v>20490000</v>
      </c>
    </row>
    <row r="3">
      <c r="A3" t="inlineStr">
        <is>
          <t>iPhone 16  Plus 128GB</t>
        </is>
      </c>
      <c r="B3" s="3" t="n"/>
      <c r="C3" s="25" t="n">
        <v>24790000</v>
      </c>
      <c r="D3" s="43" t="n">
        <v>24790000</v>
      </c>
      <c r="E3" s="40" t="n">
        <v>24790000</v>
      </c>
      <c r="F3" s="40" t="n">
        <v>24990000</v>
      </c>
      <c r="G3" s="4" t="n">
        <v>24590000</v>
      </c>
    </row>
    <row r="4">
      <c r="A4" t="inlineStr">
        <is>
          <t>iPhone 16 Pro  128GB</t>
        </is>
      </c>
      <c r="B4" s="25" t="n"/>
      <c r="C4" s="3" t="n">
        <v>27490000</v>
      </c>
      <c r="D4" s="43" t="n">
        <v>27490000</v>
      </c>
      <c r="E4" s="40" t="n">
        <v>26990000</v>
      </c>
      <c r="F4" s="38" t="n">
        <v>26990000</v>
      </c>
      <c r="G4" s="3" t="n">
        <v>26590000</v>
      </c>
    </row>
    <row r="5">
      <c r="A5" t="inlineStr">
        <is>
          <t>iPhone 16 Pro Max 256GB</t>
        </is>
      </c>
      <c r="B5" s="3" t="n"/>
      <c r="C5" s="3" t="n">
        <v>32090000</v>
      </c>
      <c r="D5" s="42" t="n">
        <v>31990000</v>
      </c>
      <c r="E5" s="40" t="n">
        <v>31790000</v>
      </c>
      <c r="F5" s="38" t="n">
        <v>31990000</v>
      </c>
      <c r="G5" s="3" t="n">
        <v>31590000</v>
      </c>
    </row>
    <row r="6">
      <c r="A6" t="inlineStr">
        <is>
          <t>iPhone 15  128GB</t>
        </is>
      </c>
      <c r="B6" s="25" t="n"/>
      <c r="C6" s="25" t="n">
        <v>18990000</v>
      </c>
      <c r="D6" s="43" t="n">
        <v>18990000</v>
      </c>
      <c r="E6" s="40" t="n">
        <v>18990000</v>
      </c>
      <c r="F6" s="40" t="n">
        <v>18690000</v>
      </c>
      <c r="G6" s="4" t="n">
        <v>18390000</v>
      </c>
    </row>
    <row r="7">
      <c r="A7" t="inlineStr">
        <is>
          <t>iPhone 15  Plus 128GB</t>
        </is>
      </c>
      <c r="B7" s="25" t="n"/>
      <c r="C7" s="3" t="n">
        <v>22690000</v>
      </c>
      <c r="D7" s="43" t="n">
        <v>22590000</v>
      </c>
      <c r="E7" s="40" t="n">
        <v>22290000</v>
      </c>
      <c r="F7" s="38" t="n">
        <v>21890000</v>
      </c>
      <c r="G7" s="4" t="n">
        <v>22090000</v>
      </c>
      <c r="I7" t="inlineStr">
        <is>
          <t xml:space="preserve">MW </t>
        </is>
      </c>
      <c r="J7" t="inlineStr">
        <is>
          <t>Duy</t>
        </is>
      </c>
      <c r="K7" t="b">
        <v>1</v>
      </c>
    </row>
    <row r="8">
      <c r="A8" t="inlineStr">
        <is>
          <t>iPhone 15 Pro  128GB</t>
        </is>
      </c>
      <c r="B8" s="25" t="n"/>
      <c r="C8" s="43" t="inlineStr">
        <is>
          <t>OOS</t>
        </is>
      </c>
      <c r="D8" s="43" t="inlineStr">
        <is>
          <t>OOS</t>
        </is>
      </c>
      <c r="E8" s="40" t="inlineStr">
        <is>
          <t>OOS</t>
        </is>
      </c>
      <c r="F8" s="37" t="inlineStr">
        <is>
          <t>OOS</t>
        </is>
      </c>
      <c r="G8" s="4" t="inlineStr">
        <is>
          <t>OOS</t>
        </is>
      </c>
      <c r="I8" t="inlineStr">
        <is>
          <t>FPT</t>
        </is>
      </c>
      <c r="J8" t="inlineStr">
        <is>
          <t>Việt</t>
        </is>
      </c>
      <c r="K8" t="b">
        <v>1</v>
      </c>
    </row>
    <row r="9">
      <c r="A9" t="inlineStr">
        <is>
          <t>iPhone 15 Pro Max 256GB</t>
        </is>
      </c>
      <c r="B9" s="3" t="n"/>
      <c r="C9" s="25" t="n">
        <v>29990000</v>
      </c>
      <c r="D9" s="25" t="n">
        <v>29090000</v>
      </c>
      <c r="E9" s="40" t="inlineStr">
        <is>
          <t>OOS</t>
        </is>
      </c>
      <c r="F9" s="38" t="n">
        <v>28790000</v>
      </c>
      <c r="G9" s="4" t="n">
        <v>28390000</v>
      </c>
      <c r="I9" t="inlineStr">
        <is>
          <t>Viettel</t>
        </is>
      </c>
      <c r="J9" t="inlineStr">
        <is>
          <t>Nghĩa</t>
        </is>
      </c>
      <c r="K9" t="b">
        <v>1</v>
      </c>
    </row>
    <row r="10">
      <c r="A10" t="inlineStr">
        <is>
          <t>iPhone 14 Plus 128GB</t>
        </is>
      </c>
      <c r="B10" s="3" t="n"/>
      <c r="C10" s="43" t="inlineStr">
        <is>
          <t>OOS</t>
        </is>
      </c>
      <c r="D10" s="3" t="n">
        <v>18990000</v>
      </c>
      <c r="E10" s="40" t="n">
        <v>18990000</v>
      </c>
      <c r="F10" s="34" t="n">
        <v>18690000</v>
      </c>
      <c r="G10" s="4" t="n">
        <v>19690000</v>
      </c>
      <c r="I10" t="inlineStr">
        <is>
          <t>CPS</t>
        </is>
      </c>
      <c r="J10" t="inlineStr">
        <is>
          <t>Trang</t>
        </is>
      </c>
      <c r="K10" t="b">
        <v>1</v>
      </c>
    </row>
    <row r="11">
      <c r="A11" t="inlineStr">
        <is>
          <t>iPhone 14 128GB</t>
        </is>
      </c>
      <c r="B11" s="25" t="n"/>
      <c r="C11" s="25" t="n">
        <v>15990000</v>
      </c>
      <c r="D11" s="40" t="n">
        <v>15990000</v>
      </c>
      <c r="E11" s="40" t="n">
        <v>15290000</v>
      </c>
      <c r="F11" s="34" t="n">
        <v>15090000</v>
      </c>
      <c r="G11" s="4" t="n">
        <v>15690000</v>
      </c>
      <c r="I11" t="inlineStr">
        <is>
          <t>ShopDunk</t>
        </is>
      </c>
      <c r="J11" t="inlineStr">
        <is>
          <t>Đạt</t>
        </is>
      </c>
      <c r="K11" t="b">
        <v>1</v>
      </c>
    </row>
    <row r="12">
      <c r="A12" t="inlineStr">
        <is>
          <t>iPhone 13  128GB</t>
        </is>
      </c>
      <c r="B12" s="3" t="n"/>
      <c r="C12" s="3" t="n">
        <v>13290000</v>
      </c>
      <c r="D12" s="39" t="n">
        <v>12890000</v>
      </c>
      <c r="E12" s="40" t="n">
        <v>12590000</v>
      </c>
      <c r="F12" s="39" t="n">
        <v>12590000</v>
      </c>
      <c r="G12" s="4" t="inlineStr">
        <is>
          <t>12.590.000</t>
        </is>
      </c>
    </row>
    <row r="13">
      <c r="A13" t="inlineStr">
        <is>
          <t>iPhone 12 64GB</t>
        </is>
      </c>
      <c r="B13" s="25" t="n"/>
      <c r="C13" s="25" t="n">
        <v>9990000</v>
      </c>
      <c r="D13" s="25" t="inlineStr">
        <is>
          <t>OOS</t>
        </is>
      </c>
      <c r="E13" s="34" t="n">
        <v>9990000</v>
      </c>
      <c r="F13" s="39" t="n">
        <v>9990000</v>
      </c>
      <c r="G13" s="4" t="inlineStr">
        <is>
          <t>OOS</t>
        </is>
      </c>
    </row>
    <row r="14">
      <c r="A14" t="inlineStr">
        <is>
          <t>iPhone 11 64GB</t>
        </is>
      </c>
      <c r="B14" s="25" t="n"/>
      <c r="C14" s="43" t="inlineStr">
        <is>
          <t>OOS</t>
        </is>
      </c>
      <c r="D14" s="25" t="n">
        <v>9190000</v>
      </c>
      <c r="E14" s="40" t="inlineStr">
        <is>
          <t>OOS</t>
        </is>
      </c>
      <c r="F14" s="39" t="n">
        <v>8790000</v>
      </c>
      <c r="G14" s="4" t="inlineStr">
        <is>
          <t>OOS</t>
        </is>
      </c>
    </row>
    <row r="15">
      <c r="A15" t="inlineStr">
        <is>
          <t>iPad Mini 7 128GB Wifi</t>
        </is>
      </c>
      <c r="B15" s="25" t="n"/>
      <c r="C15" s="25" t="n">
        <v>13990000</v>
      </c>
      <c r="D15" s="25" t="n">
        <v>13990000</v>
      </c>
      <c r="E15" s="40" t="n">
        <v>13790000</v>
      </c>
      <c r="F15" s="39" t="n">
        <v>13990000</v>
      </c>
      <c r="G15" s="4" t="n">
        <v>13690000</v>
      </c>
    </row>
    <row r="16">
      <c r="A16" t="inlineStr">
        <is>
          <t>iPad Gen 10th 64GB Wifi</t>
        </is>
      </c>
      <c r="B16" s="25" t="n"/>
      <c r="C16" s="3" t="n">
        <v>9690000</v>
      </c>
      <c r="D16" s="3" t="n">
        <v>9690000</v>
      </c>
      <c r="E16" s="34" t="n">
        <v>9690000</v>
      </c>
      <c r="F16" s="34" t="n">
        <v>9590000</v>
      </c>
      <c r="G16" s="3" t="n">
        <v>9590000</v>
      </c>
    </row>
    <row r="17">
      <c r="A17" t="inlineStr">
        <is>
          <t>iPad Gen 9th  64GB Wifi</t>
        </is>
      </c>
      <c r="B17" s="3" t="n"/>
      <c r="C17" s="25" t="n">
        <v>6990000</v>
      </c>
      <c r="D17" s="25" t="n">
        <v>6990000</v>
      </c>
      <c r="E17" s="40" t="n">
        <v>6990000</v>
      </c>
      <c r="F17" s="39" t="n">
        <v>6850000</v>
      </c>
      <c r="G17" s="4" t="n">
        <v>6890000</v>
      </c>
    </row>
    <row r="18">
      <c r="A18" t="inlineStr">
        <is>
          <t>iPad Air M2  11" 128 GB Wifi</t>
        </is>
      </c>
      <c r="B18" s="3" t="n"/>
      <c r="C18" s="25" t="n">
        <v>14990000</v>
      </c>
      <c r="D18" s="3" t="n">
        <v>16090000</v>
      </c>
      <c r="E18" s="34" t="n">
        <v>15790000</v>
      </c>
      <c r="F18" s="34" t="n">
        <v>16390000</v>
      </c>
      <c r="G18" s="3" t="n">
        <v>15790000</v>
      </c>
    </row>
    <row r="19">
      <c r="A19" t="inlineStr">
        <is>
          <t>iPad Air M2  13" 128 GB Wifi</t>
        </is>
      </c>
      <c r="B19" s="25" t="n"/>
      <c r="C19" s="25" t="n">
        <v>20590000</v>
      </c>
      <c r="D19" s="3" t="n">
        <v>21790000</v>
      </c>
      <c r="E19" s="34" t="n">
        <v>21490000</v>
      </c>
      <c r="F19" s="39" t="n">
        <v>20990000</v>
      </c>
      <c r="G19" s="4" t="n">
        <v>20790000</v>
      </c>
    </row>
    <row r="20">
      <c r="A20" t="inlineStr">
        <is>
          <t>iPad Pro  M4  11" 256 GB Wifi</t>
        </is>
      </c>
      <c r="B20" s="25" t="n"/>
      <c r="C20" s="25" t="n">
        <v>2</v>
      </c>
      <c r="D20" s="3" t="n">
        <v>27790000</v>
      </c>
      <c r="E20" s="40" t="n">
        <v>27190000</v>
      </c>
      <c r="F20" s="34" t="n">
        <v>27890000</v>
      </c>
      <c r="G20" s="4" t="n">
        <v>27090000</v>
      </c>
    </row>
    <row r="21">
      <c r="A21" t="inlineStr">
        <is>
          <t>iPad Pro  M4  13" 256 GB Wifi</t>
        </is>
      </c>
      <c r="B21" s="3" t="n"/>
      <c r="C21" s="25" t="n">
        <v>36890000</v>
      </c>
      <c r="D21" s="25" t="n">
        <v>36890000</v>
      </c>
      <c r="E21" s="40" t="n">
        <v>36490000</v>
      </c>
      <c r="F21" s="39" t="n">
        <v>36990000</v>
      </c>
      <c r="G21" s="4" t="n">
        <v>36490000</v>
      </c>
    </row>
    <row r="22">
      <c r="A22" t="inlineStr">
        <is>
          <t>AW SE 2 (40mm GPS)</t>
        </is>
      </c>
      <c r="B22" s="25" t="n"/>
      <c r="C22" s="3" t="n">
        <v>5990000</v>
      </c>
      <c r="D22" s="3" t="n">
        <v>5890000</v>
      </c>
      <c r="E22" s="34" t="n">
        <v>5690000</v>
      </c>
      <c r="F22" s="39" t="n">
        <v>5690000</v>
      </c>
      <c r="G22" s="3" t="n">
        <v>5890000</v>
      </c>
    </row>
    <row r="23">
      <c r="A23" t="inlineStr">
        <is>
          <t>AW SE 2 (40mm LTE)</t>
        </is>
      </c>
      <c r="B23" s="25" t="n"/>
      <c r="C23" s="3" t="n">
        <v>7190000</v>
      </c>
      <c r="D23" s="3" t="n">
        <v>7190000</v>
      </c>
      <c r="E23" s="34" t="n">
        <v>6890000</v>
      </c>
      <c r="F23" s="34" t="n">
        <v>7050000</v>
      </c>
      <c r="G23" s="3" t="inlineStr">
        <is>
          <t>7.190.000</t>
        </is>
      </c>
    </row>
    <row r="24">
      <c r="A24" t="inlineStr">
        <is>
          <t>AW SE 2 (44mm GPS)</t>
        </is>
      </c>
      <c r="B24" s="25" t="n"/>
      <c r="C24" s="3" t="n">
        <v>6690000</v>
      </c>
      <c r="D24" s="3" t="n">
        <v>6690000</v>
      </c>
      <c r="E24" s="34" t="n">
        <v>6490000</v>
      </c>
      <c r="F24" s="39" t="n">
        <v>6490000</v>
      </c>
      <c r="G24" s="3" t="n">
        <v>6790000</v>
      </c>
    </row>
    <row r="25">
      <c r="A25" t="inlineStr">
        <is>
          <t>AW SE 2 (44mm LTE)</t>
        </is>
      </c>
      <c r="B25" s="25" t="n"/>
      <c r="C25" s="3" t="n">
        <v>7990000</v>
      </c>
      <c r="D25" s="3" t="n">
        <v>7990000</v>
      </c>
      <c r="E25" s="34" t="n">
        <v>7690000</v>
      </c>
      <c r="F25" s="34" t="n">
        <v>7890000</v>
      </c>
      <c r="G25" s="3" t="n">
        <v>7890000</v>
      </c>
    </row>
    <row r="26">
      <c r="A26" t="inlineStr">
        <is>
          <t>AW S10 (42mm GPS)</t>
        </is>
      </c>
      <c r="B26" s="25" t="n"/>
      <c r="C26" s="3" t="n">
        <v>10990000</v>
      </c>
      <c r="D26" s="3" t="n">
        <v>10890000</v>
      </c>
      <c r="E26" s="34" t="n">
        <v>10390000</v>
      </c>
      <c r="F26" s="34" t="n">
        <v>10090000</v>
      </c>
      <c r="G26" s="3" t="n">
        <v>10790000</v>
      </c>
    </row>
    <row r="27">
      <c r="A27" t="inlineStr">
        <is>
          <t>AW S10 (42mm CEL)</t>
        </is>
      </c>
      <c r="B27" s="25" t="n"/>
      <c r="C27" s="3" t="n">
        <v>13490000</v>
      </c>
      <c r="D27" s="3" t="n">
        <v>13390000</v>
      </c>
      <c r="E27" s="34" t="n">
        <v>12990000</v>
      </c>
      <c r="F27" s="39" t="n">
        <v>12990000</v>
      </c>
      <c r="G27" s="3" t="n">
        <v>13190000</v>
      </c>
    </row>
    <row r="28">
      <c r="A28" t="inlineStr">
        <is>
          <t>AW S10 (46mm GPS)</t>
        </is>
      </c>
      <c r="B28" s="25" t="n"/>
      <c r="C28" s="3" t="n">
        <v>11690000</v>
      </c>
      <c r="D28" s="3" t="n">
        <v>11690000</v>
      </c>
      <c r="E28" s="34" t="n">
        <v>11290000</v>
      </c>
      <c r="F28" s="34" t="n">
        <v>11290000</v>
      </c>
      <c r="G28" s="3" t="inlineStr">
        <is>
          <t>11.790.000</t>
        </is>
      </c>
    </row>
    <row r="29">
      <c r="A29" t="inlineStr">
        <is>
          <t>AW S10 (46mm CEL)</t>
        </is>
      </c>
      <c r="B29" s="3" t="n"/>
      <c r="C29" s="3" t="n">
        <v>14290000</v>
      </c>
      <c r="D29" s="3" t="n">
        <v>14190000</v>
      </c>
      <c r="E29" s="34" t="n">
        <v>13890000</v>
      </c>
      <c r="F29" s="39" t="n">
        <v>13290000</v>
      </c>
      <c r="G29" s="4" t="n">
        <v>13890000</v>
      </c>
    </row>
    <row r="30">
      <c r="A30" t="inlineStr">
        <is>
          <t>AW Ultra 2 (49mm)</t>
        </is>
      </c>
      <c r="B30" s="25" t="n"/>
      <c r="C30" s="25" t="n">
        <v>22490000</v>
      </c>
      <c r="D30" s="25" t="n">
        <v>22990000</v>
      </c>
      <c r="E30" s="34" t="n">
        <v>21490000</v>
      </c>
      <c r="F30" s="38" t="n">
        <v>21990000</v>
      </c>
      <c r="G30" s="4" t="n">
        <v>22990000</v>
      </c>
    </row>
    <row r="31">
      <c r="A31" t="inlineStr">
        <is>
          <t>AirPods Pro 2 - 2023 (C-Type)</t>
        </is>
      </c>
      <c r="B31" s="3" t="n"/>
      <c r="C31" s="3" t="n">
        <v>5790000</v>
      </c>
      <c r="D31" s="39" t="n">
        <v>5590000</v>
      </c>
      <c r="E31" s="34" t="n">
        <v>5590000</v>
      </c>
      <c r="F31" s="38" t="n">
        <v>5650000</v>
      </c>
      <c r="G31" s="4" t="n">
        <v>5590000</v>
      </c>
    </row>
    <row r="32">
      <c r="A32" t="inlineStr">
        <is>
          <t>AirPods 4 ANC</t>
        </is>
      </c>
      <c r="B32" s="3" t="n"/>
      <c r="C32" s="3" t="n">
        <v>4650000</v>
      </c>
      <c r="D32" s="38" t="n">
        <v>4650000</v>
      </c>
      <c r="E32" s="34" t="n">
        <v>4390000</v>
      </c>
      <c r="F32" s="38" t="n">
        <v>4590000</v>
      </c>
      <c r="G32" s="4" t="n">
        <v>4450000</v>
      </c>
    </row>
    <row r="33">
      <c r="A33" t="inlineStr">
        <is>
          <t>AirPods 4 with charging case</t>
        </is>
      </c>
      <c r="B33" s="3" t="n"/>
      <c r="C33" s="3" t="n">
        <v>3390000</v>
      </c>
      <c r="D33" s="38" t="n">
        <v>3350000</v>
      </c>
      <c r="E33" s="34" t="n">
        <v>3190000</v>
      </c>
      <c r="F33" s="40" t="n">
        <v>3290000</v>
      </c>
      <c r="G33" s="3" t="n">
        <v>3390000</v>
      </c>
    </row>
    <row r="34">
      <c r="A34" t="inlineStr">
        <is>
          <t>AirPods 3 with charging case</t>
        </is>
      </c>
      <c r="B34" s="25" t="n"/>
      <c r="C34" s="25" t="inlineStr">
        <is>
          <t>OOS</t>
        </is>
      </c>
      <c r="D34" s="43" t="n">
        <v>3990000</v>
      </c>
      <c r="E34" s="40" t="n">
        <v>3490000</v>
      </c>
      <c r="F34" s="39" t="n">
        <v>3790000</v>
      </c>
      <c r="G34" s="4" t="inlineStr">
        <is>
          <t>OOS</t>
        </is>
      </c>
    </row>
    <row r="35">
      <c r="A35" t="inlineStr">
        <is>
          <t>MacBook Air 13" M1 8/256Gb</t>
        </is>
      </c>
      <c r="B35" s="3" t="n"/>
      <c r="C35" s="25" t="n">
        <v>17790000</v>
      </c>
      <c r="D35" s="34" t="n">
        <v>17490000</v>
      </c>
      <c r="E35" s="37" t="n"/>
      <c r="F35" s="39" t="n">
        <v>17490000</v>
      </c>
      <c r="G35" s="3" t="n">
        <v>16990000</v>
      </c>
    </row>
    <row r="36">
      <c r="A36" t="inlineStr">
        <is>
          <t>MacBook Air 13" M2 16/256GB</t>
        </is>
      </c>
      <c r="B36" s="25" t="n"/>
      <c r="C36" s="3" t="n">
        <v>23990000</v>
      </c>
      <c r="D36" s="3" t="n">
        <v>23590000</v>
      </c>
      <c r="E36" s="37" t="n"/>
      <c r="F36" s="34" t="inlineStr">
        <is>
          <t>23.890.00</t>
        </is>
      </c>
      <c r="G36" s="4" t="n">
        <v>24090000</v>
      </c>
    </row>
    <row r="37">
      <c r="A37" t="inlineStr">
        <is>
          <t>MacBook Air 13" M3 16/256GB</t>
        </is>
      </c>
      <c r="B37" s="3" t="n"/>
      <c r="C37" s="37" t="inlineStr">
        <is>
          <t>OOS</t>
        </is>
      </c>
      <c r="D37" s="34" t="n">
        <v>26290000</v>
      </c>
      <c r="E37" s="37" t="n"/>
      <c r="F37" s="34" t="n">
        <v>26890000</v>
      </c>
      <c r="G37" s="4" t="n">
        <v>27090000</v>
      </c>
    </row>
    <row r="38">
      <c r="A38" t="inlineStr">
        <is>
          <t>MacBook Air 15" M3 16/256GB</t>
        </is>
      </c>
      <c r="B38" s="25" t="n"/>
      <c r="C38" s="37" t="inlineStr">
        <is>
          <t>OOS</t>
        </is>
      </c>
      <c r="D38" s="25" t="n">
        <v>32090000</v>
      </c>
      <c r="E38" s="37" t="n"/>
      <c r="F38" s="39" t="n">
        <v>31590000</v>
      </c>
      <c r="G38" s="4" t="n">
        <v>32490000</v>
      </c>
    </row>
    <row r="39">
      <c r="A39" t="inlineStr">
        <is>
          <t>MacBook Pro 14" M4 16/512GB</t>
        </is>
      </c>
      <c r="B39" s="25" t="n"/>
      <c r="C39" s="37" t="inlineStr">
        <is>
          <t>OOS</t>
        </is>
      </c>
      <c r="D39" s="25" t="n">
        <v>39990000</v>
      </c>
      <c r="E39" s="37" t="n"/>
      <c r="F39" s="40" t="n">
        <v>39850000</v>
      </c>
      <c r="G39" s="4"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6.xml><?xml version="1.0" encoding="utf-8"?>
<worksheet xmlns="http://schemas.openxmlformats.org/spreadsheetml/2006/main">
  <sheetPr>
    <outlinePr summaryBelow="1" summaryRight="1"/>
    <pageSetUpPr/>
  </sheetPr>
  <dimension ref="A1:K40"/>
  <sheetViews>
    <sheetView zoomScale="120" zoomScaleNormal="120" workbookViewId="0">
      <pane xSplit="1" ySplit="1" topLeftCell="C2"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16e  128GB</t>
        </is>
      </c>
      <c r="B2" s="47" t="n"/>
      <c r="C2" s="48" t="n">
        <v>16990000</v>
      </c>
      <c r="D2" s="48" t="n">
        <v>16990000</v>
      </c>
      <c r="E2" s="40" t="n">
        <v>16821000</v>
      </c>
      <c r="F2" s="40" t="n">
        <v>16490000</v>
      </c>
      <c r="G2" s="40" t="n">
        <v>16290000</v>
      </c>
    </row>
    <row r="3">
      <c r="A3" t="inlineStr">
        <is>
          <t>iPhone 16  128GB</t>
        </is>
      </c>
      <c r="B3" s="25" t="n"/>
      <c r="C3" s="3" t="n">
        <v>19890000</v>
      </c>
      <c r="D3" s="42" t="n">
        <v>19890000</v>
      </c>
      <c r="E3" s="34" t="n">
        <v>18990000</v>
      </c>
      <c r="F3" s="38" t="n">
        <v>19790000</v>
      </c>
      <c r="G3" s="34" t="n">
        <v>18890000</v>
      </c>
    </row>
    <row r="4">
      <c r="A4" t="inlineStr">
        <is>
          <t>iPhone 16  Plus 128GB</t>
        </is>
      </c>
      <c r="B4" s="3" t="n"/>
      <c r="C4" s="3" t="n">
        <v>22890000</v>
      </c>
      <c r="D4" s="42" t="n">
        <v>22790000</v>
      </c>
      <c r="E4" s="34" t="n">
        <v>21990000</v>
      </c>
      <c r="F4" s="38" t="n">
        <v>22690000</v>
      </c>
      <c r="G4" s="34" t="n">
        <v>22290000</v>
      </c>
    </row>
    <row r="5">
      <c r="A5" t="inlineStr">
        <is>
          <t>iPhone 16 Pro  128GB</t>
        </is>
      </c>
      <c r="B5" s="25" t="n"/>
      <c r="C5" s="3" t="n">
        <v>25590000</v>
      </c>
      <c r="D5" s="42" t="n">
        <v>25490000</v>
      </c>
      <c r="E5" s="34" t="n">
        <v>24990000</v>
      </c>
      <c r="F5" s="38" t="n">
        <v>25490000</v>
      </c>
      <c r="G5" s="3" t="n">
        <v>25990000</v>
      </c>
    </row>
    <row r="6">
      <c r="A6" t="inlineStr">
        <is>
          <t>iPhone 16 Pro Max 256GB</t>
        </is>
      </c>
      <c r="B6" s="3" t="n"/>
      <c r="C6" s="3" t="n">
        <v>31390000</v>
      </c>
      <c r="D6" s="42" t="n">
        <v>31390000</v>
      </c>
      <c r="E6" s="34" t="n">
        <v>30490000</v>
      </c>
      <c r="F6" s="38" t="n">
        <v>31290000</v>
      </c>
      <c r="G6" s="3" t="n">
        <v>30790000</v>
      </c>
    </row>
    <row r="7">
      <c r="A7" t="inlineStr">
        <is>
          <t>iPhone 15  128GB</t>
        </is>
      </c>
      <c r="B7" s="25" t="n"/>
      <c r="C7" s="3" t="n">
        <v>15990000</v>
      </c>
      <c r="D7" s="42" t="n">
        <v>15990000</v>
      </c>
      <c r="E7" s="34" t="n">
        <v>15490000</v>
      </c>
      <c r="F7" s="38" t="n">
        <v>15990000</v>
      </c>
      <c r="G7" s="34" t="n">
        <v>15990000</v>
      </c>
    </row>
    <row r="8">
      <c r="A8" t="inlineStr">
        <is>
          <t>iPhone 15  Plus 128GB</t>
        </is>
      </c>
      <c r="B8" s="25" t="n"/>
      <c r="C8" s="3" t="n">
        <v>19790000</v>
      </c>
      <c r="D8" s="42" t="n">
        <v>19790000</v>
      </c>
      <c r="E8" s="34" t="n">
        <v>18990000</v>
      </c>
      <c r="F8" s="38" t="n">
        <v>19790000</v>
      </c>
      <c r="G8" s="34" t="n">
        <v>19290000</v>
      </c>
      <c r="I8" t="inlineStr">
        <is>
          <t xml:space="preserve">MW </t>
        </is>
      </c>
      <c r="J8" t="inlineStr">
        <is>
          <t>Duy</t>
        </is>
      </c>
      <c r="K8" t="b">
        <v>1</v>
      </c>
    </row>
    <row r="9">
      <c r="A9" t="inlineStr">
        <is>
          <t>iPhone 15 Pro  128GB</t>
        </is>
      </c>
      <c r="B9" s="25" t="n"/>
      <c r="C9" s="43" t="inlineStr">
        <is>
          <t>OOS</t>
        </is>
      </c>
      <c r="D9" s="43" t="inlineStr">
        <is>
          <t>OOS</t>
        </is>
      </c>
      <c r="E9" s="40" t="inlineStr">
        <is>
          <t>OOS</t>
        </is>
      </c>
      <c r="F9" s="37" t="inlineStr">
        <is>
          <t>OOS</t>
        </is>
      </c>
      <c r="G9" s="4" t="inlineStr">
        <is>
          <t>OOS</t>
        </is>
      </c>
      <c r="I9" t="inlineStr">
        <is>
          <t>FPT</t>
        </is>
      </c>
      <c r="J9" t="inlineStr">
        <is>
          <t>Việt</t>
        </is>
      </c>
      <c r="K9" t="b">
        <v>1</v>
      </c>
    </row>
    <row r="10">
      <c r="A10" t="inlineStr">
        <is>
          <t>iPhone 15 Pro Max 256GB</t>
        </is>
      </c>
      <c r="B10" s="3" t="n"/>
      <c r="C10" s="25" t="n">
        <v>29990000</v>
      </c>
      <c r="D10" s="25" t="n">
        <v>29090000</v>
      </c>
      <c r="E10" s="40" t="inlineStr">
        <is>
          <t>OOS</t>
        </is>
      </c>
      <c r="F10" s="40" t="n">
        <v>28790000</v>
      </c>
      <c r="G10" s="4" t="n">
        <v>28390000</v>
      </c>
      <c r="I10" t="inlineStr">
        <is>
          <t>Viettel</t>
        </is>
      </c>
      <c r="J10" t="inlineStr">
        <is>
          <t>Nghĩa</t>
        </is>
      </c>
      <c r="K10" t="b">
        <v>1</v>
      </c>
    </row>
    <row r="11">
      <c r="A11" t="inlineStr">
        <is>
          <t>iPhone 14 Plus 128GB</t>
        </is>
      </c>
      <c r="B11" s="3" t="n"/>
      <c r="C11" s="43" t="inlineStr">
        <is>
          <t>OOS</t>
        </is>
      </c>
      <c r="D11" s="25" t="n">
        <v>18990000</v>
      </c>
      <c r="E11" s="40" t="n">
        <v>18990000</v>
      </c>
      <c r="F11" s="34" t="n">
        <v>18690000</v>
      </c>
      <c r="G11" s="34" t="n">
        <v>18990000</v>
      </c>
      <c r="I11" t="inlineStr">
        <is>
          <t>CPS</t>
        </is>
      </c>
      <c r="J11" t="inlineStr">
        <is>
          <t>Trang</t>
        </is>
      </c>
      <c r="K11" t="b">
        <v>1</v>
      </c>
    </row>
    <row r="12">
      <c r="A12" t="inlineStr">
        <is>
          <t>iPhone 14 128GB</t>
        </is>
      </c>
      <c r="B12" s="25" t="n"/>
      <c r="C12" s="3" t="n">
        <v>13090000</v>
      </c>
      <c r="D12" s="38" t="n">
        <v>12990000</v>
      </c>
      <c r="E12" s="34" t="n">
        <v>12990000</v>
      </c>
      <c r="F12" s="34" t="n">
        <v>12990000</v>
      </c>
      <c r="G12" s="34" t="n">
        <v>12990000</v>
      </c>
      <c r="I12" t="inlineStr">
        <is>
          <t>ShopDunk</t>
        </is>
      </c>
      <c r="J12" t="inlineStr">
        <is>
          <t>Đạt</t>
        </is>
      </c>
      <c r="K12" t="b">
        <v>1</v>
      </c>
    </row>
    <row r="13">
      <c r="A13" t="inlineStr">
        <is>
          <t>iPhone 13  128GB</t>
        </is>
      </c>
      <c r="B13" s="3" t="n"/>
      <c r="C13" s="3" t="n">
        <v>12090000</v>
      </c>
      <c r="D13" s="34" t="n">
        <v>11990000</v>
      </c>
      <c r="E13" s="34" t="n">
        <v>11871000</v>
      </c>
      <c r="F13" s="34" t="n">
        <v>11990000</v>
      </c>
      <c r="G13" s="34" t="n">
        <v>11790000</v>
      </c>
    </row>
    <row r="14">
      <c r="A14" t="inlineStr">
        <is>
          <t>iPhone 12 64GB</t>
        </is>
      </c>
      <c r="B14" s="25" t="n"/>
      <c r="C14" s="3" t="n">
        <v>10590000</v>
      </c>
      <c r="D14" s="25" t="inlineStr">
        <is>
          <t>OOS</t>
        </is>
      </c>
      <c r="E14" s="40" t="n">
        <v>9990000</v>
      </c>
      <c r="F14" s="34" t="n">
        <v>9390000</v>
      </c>
      <c r="G14" s="4" t="inlineStr">
        <is>
          <t>OOS</t>
        </is>
      </c>
    </row>
    <row r="15">
      <c r="A15" t="inlineStr">
        <is>
          <t>iPhone 11 64GB</t>
        </is>
      </c>
      <c r="B15" s="25" t="n"/>
      <c r="C15" s="43" t="inlineStr">
        <is>
          <t>OOS</t>
        </is>
      </c>
      <c r="D15" s="25" t="n">
        <v>9190000</v>
      </c>
      <c r="E15" s="40" t="inlineStr">
        <is>
          <t>OOS</t>
        </is>
      </c>
      <c r="F15" s="39" t="n">
        <v>8590000</v>
      </c>
      <c r="G15" s="4" t="inlineStr">
        <is>
          <t>OOS</t>
        </is>
      </c>
    </row>
    <row r="16">
      <c r="A16" t="inlineStr">
        <is>
          <t>iPad Mini 7 128GB Wifi</t>
        </is>
      </c>
      <c r="B16" s="25" t="n"/>
      <c r="C16" s="43" t="inlineStr">
        <is>
          <t>OOS</t>
        </is>
      </c>
      <c r="D16" s="25" t="n">
        <v>13990000</v>
      </c>
      <c r="E16" s="40" t="n">
        <v>13790000</v>
      </c>
      <c r="F16" s="39" t="n">
        <v>13990000</v>
      </c>
      <c r="G16" s="4" t="n">
        <v>13690000</v>
      </c>
    </row>
    <row r="17">
      <c r="A17" t="inlineStr">
        <is>
          <t>iPad Gen 10th 64GB Wifi</t>
        </is>
      </c>
      <c r="B17" s="25" t="n"/>
      <c r="C17" s="25" t="n">
        <v>9690000</v>
      </c>
      <c r="D17" s="25" t="n">
        <v>9690000</v>
      </c>
      <c r="E17" s="34" t="n">
        <v>9395000</v>
      </c>
      <c r="F17" s="39" t="n">
        <v>9590000</v>
      </c>
      <c r="G17" s="4" t="n">
        <v>9490000</v>
      </c>
    </row>
    <row r="18">
      <c r="A18" t="inlineStr">
        <is>
          <t>iPad Gen 9th  64GB Wifi</t>
        </is>
      </c>
      <c r="B18" s="3" t="n"/>
      <c r="C18" s="43" t="inlineStr">
        <is>
          <t>OOS</t>
        </is>
      </c>
      <c r="D18" s="25" t="n">
        <v>6990000</v>
      </c>
      <c r="E18" s="40" t="n">
        <v>6990000</v>
      </c>
      <c r="F18" s="39" t="n">
        <v>6850000</v>
      </c>
      <c r="G18" s="4" t="n">
        <v>6890000</v>
      </c>
    </row>
    <row r="19">
      <c r="A19" t="inlineStr">
        <is>
          <t>iPad Air M2  11" 128 GB Wifi</t>
        </is>
      </c>
      <c r="B19" s="3" t="n"/>
      <c r="C19" s="25" t="n">
        <v>16190000</v>
      </c>
      <c r="D19" s="25" t="n">
        <v>16090000</v>
      </c>
      <c r="E19" s="34" t="n">
        <v>15830000</v>
      </c>
      <c r="F19" s="39" t="n">
        <v>16390000</v>
      </c>
      <c r="G19" s="4" t="n">
        <v>15790000</v>
      </c>
    </row>
    <row r="20">
      <c r="A20" t="inlineStr">
        <is>
          <t>iPad Air M2  13" 128 GB Wifi</t>
        </is>
      </c>
      <c r="B20" s="25" t="n"/>
      <c r="C20" s="25" t="n">
        <v>21590000</v>
      </c>
      <c r="D20" s="25" t="n">
        <v>21790000</v>
      </c>
      <c r="E20" s="34" t="n">
        <v>20483000</v>
      </c>
      <c r="F20" s="39" t="n">
        <v>20990000</v>
      </c>
      <c r="G20" s="4" t="n">
        <v>20790000</v>
      </c>
    </row>
    <row r="21">
      <c r="A21" t="inlineStr">
        <is>
          <t>iPad Pro  M4  11" 256 GB Wifi</t>
        </is>
      </c>
      <c r="B21" s="25" t="n"/>
      <c r="C21" s="25" t="n">
        <v>27890000</v>
      </c>
      <c r="D21" s="25" t="n">
        <v>27790000</v>
      </c>
      <c r="E21" s="40" t="n">
        <v>27190000</v>
      </c>
      <c r="F21" s="34" t="n">
        <v>28290000</v>
      </c>
      <c r="G21" s="4" t="n">
        <v>27090000</v>
      </c>
    </row>
    <row r="22">
      <c r="A22" t="inlineStr">
        <is>
          <t>iPad Pro  M4  13" 256 GB Wifi</t>
        </is>
      </c>
      <c r="B22" s="3" t="n"/>
      <c r="C22" s="25" t="n">
        <v>36690000</v>
      </c>
      <c r="D22" s="25" t="n">
        <v>36890000</v>
      </c>
      <c r="E22" s="34" t="n">
        <v>35990000</v>
      </c>
      <c r="F22" s="39" t="n">
        <v>36990000</v>
      </c>
      <c r="G22" s="4" t="n">
        <v>36490000</v>
      </c>
    </row>
    <row r="23">
      <c r="A23" t="inlineStr">
        <is>
          <t>AW SE 2 (40mm GPS)</t>
        </is>
      </c>
      <c r="B23" s="25" t="n"/>
      <c r="C23" s="3" t="n">
        <v>5770000</v>
      </c>
      <c r="D23" s="3" t="n">
        <v>5690000</v>
      </c>
      <c r="E23" s="34" t="n">
        <v>5138000</v>
      </c>
      <c r="F23" s="34" t="n">
        <v>5290000</v>
      </c>
      <c r="G23" s="3" t="n">
        <v>5590000</v>
      </c>
    </row>
    <row r="24">
      <c r="A24" t="inlineStr">
        <is>
          <t>AW SE 2 (40mm LTE)</t>
        </is>
      </c>
      <c r="B24" s="25" t="n"/>
      <c r="C24" s="3" t="n">
        <v>7070000</v>
      </c>
      <c r="D24" s="3" t="n">
        <v>6990000</v>
      </c>
      <c r="E24" s="34" t="n">
        <v>6524000</v>
      </c>
      <c r="F24" s="39" t="n">
        <v>6990000</v>
      </c>
      <c r="G24" s="34" t="inlineStr">
        <is>
          <t>7.190.000</t>
        </is>
      </c>
    </row>
    <row r="25">
      <c r="A25" t="inlineStr">
        <is>
          <t>AW SE 2 (44mm GPS)</t>
        </is>
      </c>
      <c r="B25" s="25" t="n"/>
      <c r="C25" s="3" t="n">
        <v>6570000</v>
      </c>
      <c r="D25" s="3" t="n">
        <v>6490000</v>
      </c>
      <c r="E25" s="34" t="n">
        <v>5831000</v>
      </c>
      <c r="F25" s="39" t="n">
        <v>6390000</v>
      </c>
      <c r="G25" s="3" t="n">
        <v>6490000</v>
      </c>
    </row>
    <row r="26">
      <c r="A26" t="inlineStr">
        <is>
          <t>AW SE 2 (44mm LTE)</t>
        </is>
      </c>
      <c r="B26" s="25" t="n"/>
      <c r="C26" s="3" t="n">
        <v>7870000</v>
      </c>
      <c r="D26" s="3" t="n">
        <v>7790000</v>
      </c>
      <c r="E26" s="34" t="n">
        <v>7316000</v>
      </c>
      <c r="F26" s="34" t="n">
        <v>7890000</v>
      </c>
      <c r="G26" s="34" t="n">
        <v>8090000</v>
      </c>
    </row>
    <row r="27">
      <c r="A27" t="inlineStr">
        <is>
          <t>AW S10 (42mm GPS)</t>
        </is>
      </c>
      <c r="B27" s="25" t="n"/>
      <c r="C27" s="3" t="n">
        <v>9390000</v>
      </c>
      <c r="D27" s="3" t="n">
        <v>10190000</v>
      </c>
      <c r="E27" s="34" t="n">
        <v>9593000</v>
      </c>
      <c r="F27" s="34" t="n">
        <v>9590000</v>
      </c>
      <c r="G27" s="3" t="n">
        <v>9750000</v>
      </c>
    </row>
    <row r="28">
      <c r="A28" t="inlineStr">
        <is>
          <t>AW S10 (42mm CEL)</t>
        </is>
      </c>
      <c r="B28" s="25" t="n"/>
      <c r="C28" s="3" t="n">
        <v>12690000</v>
      </c>
      <c r="D28" s="3" t="n">
        <v>12790000</v>
      </c>
      <c r="E28" s="34" t="n">
        <v>12365000</v>
      </c>
      <c r="F28" s="34" t="n">
        <v>12690000</v>
      </c>
      <c r="G28" s="3" t="n">
        <v>12490000</v>
      </c>
    </row>
    <row r="29">
      <c r="A29" t="inlineStr">
        <is>
          <t>AW S10 (46mm GPS)</t>
        </is>
      </c>
      <c r="B29" s="25" t="n"/>
      <c r="C29" s="3" t="n">
        <v>10890000</v>
      </c>
      <c r="D29" s="3" t="n">
        <v>10990000</v>
      </c>
      <c r="E29" s="34" t="n">
        <v>10583000</v>
      </c>
      <c r="F29" s="34" t="n">
        <v>10590000</v>
      </c>
      <c r="G29" s="3" t="inlineStr">
        <is>
          <t>10.790.000</t>
        </is>
      </c>
    </row>
    <row r="30">
      <c r="A30" t="inlineStr">
        <is>
          <t>AW S10 (46mm CEL)</t>
        </is>
      </c>
      <c r="B30" s="3" t="n"/>
      <c r="C30" s="3" t="n">
        <v>13490000</v>
      </c>
      <c r="D30" s="3" t="n">
        <v>13590000</v>
      </c>
      <c r="E30" s="34" t="n">
        <v>13256000</v>
      </c>
      <c r="F30" s="39" t="n">
        <v>13290000</v>
      </c>
      <c r="G30" s="4" t="n">
        <v>13890000</v>
      </c>
    </row>
    <row r="31">
      <c r="A31" t="inlineStr">
        <is>
          <t>AW Ultra 2 (49mm)</t>
        </is>
      </c>
      <c r="B31" s="25" t="n"/>
      <c r="C31" s="25" t="n">
        <v>22490000</v>
      </c>
      <c r="D31" s="25" t="n">
        <v>22990000</v>
      </c>
      <c r="E31" s="34" t="n">
        <v>21572000</v>
      </c>
      <c r="F31" s="40" t="n">
        <v>21990000</v>
      </c>
      <c r="G31" s="4" t="n">
        <v>22990000</v>
      </c>
    </row>
    <row r="32">
      <c r="A32" t="inlineStr">
        <is>
          <t>AirPods Pro 2 - 2023 (C-Type)</t>
        </is>
      </c>
      <c r="B32" s="3" t="n"/>
      <c r="C32" s="3" t="n">
        <v>5690000</v>
      </c>
      <c r="D32" s="34" t="n">
        <v>5690000</v>
      </c>
      <c r="E32" s="34" t="n">
        <v>5390000</v>
      </c>
      <c r="F32" s="38" t="n">
        <v>5090000</v>
      </c>
      <c r="G32" s="4" t="n">
        <v>5590000</v>
      </c>
    </row>
    <row r="33">
      <c r="A33" t="inlineStr">
        <is>
          <t>AirPods 4 ANC</t>
        </is>
      </c>
      <c r="B33" s="3" t="n"/>
      <c r="C33" s="3" t="n">
        <v>4490000</v>
      </c>
      <c r="D33" s="38" t="n">
        <v>4490000</v>
      </c>
      <c r="E33" s="34" t="n">
        <v>4290000</v>
      </c>
      <c r="F33" s="38" t="n">
        <v>4290000</v>
      </c>
      <c r="G33" s="4" t="n">
        <v>4450000</v>
      </c>
    </row>
    <row r="34">
      <c r="A34" t="inlineStr">
        <is>
          <t>AirPods 4 with charging case</t>
        </is>
      </c>
      <c r="B34" s="3" t="n"/>
      <c r="C34" s="3" t="n">
        <v>3190000</v>
      </c>
      <c r="D34" s="38" t="n">
        <v>3190000</v>
      </c>
      <c r="E34" s="34" t="n">
        <v>2990000</v>
      </c>
      <c r="F34" s="40" t="n">
        <v>3090000</v>
      </c>
      <c r="G34" s="3" t="n">
        <v>3190000</v>
      </c>
    </row>
    <row r="35">
      <c r="A35" t="inlineStr">
        <is>
          <t>AirPods 3 with charging case</t>
        </is>
      </c>
      <c r="B35" s="25" t="n"/>
      <c r="C35" s="25" t="n">
        <v>3790000</v>
      </c>
      <c r="D35" s="43" t="n">
        <v>3990000</v>
      </c>
      <c r="E35" s="40" t="n">
        <v>3490000</v>
      </c>
      <c r="F35" s="39" t="n">
        <v>2990000</v>
      </c>
      <c r="G35" s="4" t="inlineStr">
        <is>
          <t>OOS</t>
        </is>
      </c>
    </row>
    <row r="36">
      <c r="A36" t="inlineStr">
        <is>
          <t>MacBook Air 13" M1 8/256Gb</t>
        </is>
      </c>
      <c r="B36" s="3" t="n"/>
      <c r="C36" s="25" t="n">
        <v>17090000</v>
      </c>
      <c r="D36" s="39" t="n">
        <v>17490000</v>
      </c>
      <c r="E36" s="37" t="n"/>
      <c r="F36" s="39" t="n">
        <v>17490000</v>
      </c>
      <c r="G36" s="3" t="n">
        <v>16990000</v>
      </c>
    </row>
    <row r="37">
      <c r="A37" t="inlineStr">
        <is>
          <t>MacBook Air 13" M2 16/256GB</t>
        </is>
      </c>
      <c r="B37" s="25" t="n"/>
      <c r="C37" s="25" t="n">
        <v>23990000</v>
      </c>
      <c r="D37" s="3" t="n">
        <v>23890000</v>
      </c>
      <c r="E37" s="37" t="n"/>
      <c r="F37" s="39" t="inlineStr">
        <is>
          <t>23.890.00</t>
        </is>
      </c>
      <c r="G37" s="4" t="n">
        <v>24090000</v>
      </c>
    </row>
    <row r="38">
      <c r="A38" t="inlineStr">
        <is>
          <t>MacBook Air 13" M3 16/256GB</t>
        </is>
      </c>
      <c r="B38" s="3" t="n"/>
      <c r="C38" s="37" t="n">
        <v>27090000</v>
      </c>
      <c r="D38" s="34" t="n">
        <v>26990000</v>
      </c>
      <c r="E38" s="37" t="n"/>
      <c r="F38" s="39" t="n">
        <v>26890000</v>
      </c>
      <c r="G38" s="4" t="n">
        <v>27090000</v>
      </c>
    </row>
    <row r="39">
      <c r="A39" t="inlineStr">
        <is>
          <t>MacBook Air 15" M3 16/256GB</t>
        </is>
      </c>
      <c r="B39" s="25" t="n"/>
      <c r="C39" s="37" t="n">
        <v>32490000</v>
      </c>
      <c r="D39" s="25" t="n">
        <v>32090000</v>
      </c>
      <c r="E39" s="37" t="n"/>
      <c r="F39" s="39" t="n">
        <v>31590000</v>
      </c>
      <c r="G39" s="4" t="n">
        <v>32490000</v>
      </c>
    </row>
    <row r="40">
      <c r="A40" t="inlineStr">
        <is>
          <t>MacBook Pro 14" M4 16/512GB</t>
        </is>
      </c>
      <c r="B40" s="25" t="n"/>
      <c r="C40" s="25" t="n">
        <v>39990000</v>
      </c>
      <c r="D40" s="25" t="n">
        <v>39990000</v>
      </c>
      <c r="E40" s="37" t="n"/>
      <c r="F40" s="40" t="n">
        <v>39850000</v>
      </c>
      <c r="G40" s="4" t="n">
        <v>39890000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7.xml><?xml version="1.0" encoding="utf-8"?>
<worksheet xmlns="http://schemas.openxmlformats.org/spreadsheetml/2006/main">
  <sheetPr>
    <outlinePr summaryBelow="1" summaryRight="1"/>
    <pageSetUpPr/>
  </sheetPr>
  <dimension ref="A1:K40"/>
  <sheetViews>
    <sheetView zoomScale="120" zoomScaleNormal="120" workbookViewId="0">
      <pane xSplit="1" ySplit="1" topLeftCell="C18"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16e  128GB</t>
        </is>
      </c>
      <c r="B2" s="47" t="n"/>
      <c r="C2" s="49" t="n">
        <v>16590000</v>
      </c>
      <c r="D2" s="49" t="n">
        <v>16590000</v>
      </c>
      <c r="E2" s="40" t="n">
        <v>16821000</v>
      </c>
      <c r="F2" s="40" t="n">
        <v>16490000</v>
      </c>
      <c r="G2" s="40" t="n">
        <v>16490000</v>
      </c>
    </row>
    <row r="3">
      <c r="A3" t="inlineStr">
        <is>
          <t>iPhone 16  128GB</t>
        </is>
      </c>
      <c r="B3" s="25" t="n"/>
      <c r="C3" s="3" t="n">
        <v>19690000</v>
      </c>
      <c r="D3" s="42" t="n">
        <v>19490000</v>
      </c>
      <c r="E3" s="40" t="n">
        <v>18990000</v>
      </c>
      <c r="F3" s="38" t="n">
        <v>19290000</v>
      </c>
      <c r="G3" s="40" t="n">
        <v>18890000</v>
      </c>
    </row>
    <row r="4">
      <c r="A4" t="inlineStr">
        <is>
          <t>iPhone 16  Plus 128GB</t>
        </is>
      </c>
      <c r="B4" s="3" t="n"/>
      <c r="C4" s="3" t="n">
        <v>22690000</v>
      </c>
      <c r="D4" s="42" t="n">
        <v>22690000</v>
      </c>
      <c r="E4" s="40" t="n">
        <v>21990000</v>
      </c>
      <c r="F4" s="38" t="n">
        <v>22490000</v>
      </c>
      <c r="G4" s="40" t="n">
        <v>22190000</v>
      </c>
    </row>
    <row r="5">
      <c r="A5" t="inlineStr">
        <is>
          <t>iPhone 16 Pro  128GB</t>
        </is>
      </c>
      <c r="B5" s="25" t="n"/>
      <c r="C5" s="3" t="n">
        <v>25690000</v>
      </c>
      <c r="D5" s="43" t="n">
        <v>25490000</v>
      </c>
      <c r="E5" s="40" t="n">
        <v>24990000</v>
      </c>
      <c r="F5" s="40" t="n">
        <v>25490000</v>
      </c>
      <c r="G5" s="3" t="n">
        <v>24990000</v>
      </c>
    </row>
    <row r="6">
      <c r="A6" t="inlineStr">
        <is>
          <t>iPhone 16 Pro Max 256GB</t>
        </is>
      </c>
      <c r="B6" s="3" t="n"/>
      <c r="C6" s="25" t="n">
        <v>31390000</v>
      </c>
      <c r="D6" s="43" t="n">
        <v>31390000</v>
      </c>
      <c r="E6" s="40" t="n">
        <v>30490000</v>
      </c>
      <c r="F6" s="38" t="n">
        <v>31190000</v>
      </c>
      <c r="G6" s="3" t="n">
        <v>30490000</v>
      </c>
    </row>
    <row r="7">
      <c r="A7" t="inlineStr">
        <is>
          <t>iPhone 15  128GB</t>
        </is>
      </c>
      <c r="B7" s="25" t="n"/>
      <c r="C7" s="25" t="n">
        <v>15990000</v>
      </c>
      <c r="D7" s="43" t="n">
        <v>15990000</v>
      </c>
      <c r="E7" s="40" t="n">
        <v>15490000</v>
      </c>
      <c r="F7" s="40" t="n">
        <v>15990000</v>
      </c>
      <c r="G7" s="34" t="n">
        <v>15590000</v>
      </c>
    </row>
    <row r="8">
      <c r="A8" t="inlineStr">
        <is>
          <t>iPhone 15  Plus 128GB</t>
        </is>
      </c>
      <c r="B8" s="25" t="n"/>
      <c r="C8" s="25" t="n">
        <v>19790000</v>
      </c>
      <c r="D8" s="42" t="n">
        <v>19690000</v>
      </c>
      <c r="E8" s="40" t="n">
        <v>18990000</v>
      </c>
      <c r="F8" s="40" t="n">
        <v>19690000</v>
      </c>
      <c r="G8" s="4" t="n">
        <v>19290000</v>
      </c>
      <c r="I8" t="inlineStr">
        <is>
          <t xml:space="preserve">MW </t>
        </is>
      </c>
      <c r="J8" t="inlineStr">
        <is>
          <t>Duy</t>
        </is>
      </c>
      <c r="K8" t="b">
        <v>1</v>
      </c>
    </row>
    <row r="9">
      <c r="A9" t="inlineStr">
        <is>
          <t>iPhone 15 Pro  128GB</t>
        </is>
      </c>
      <c r="B9" s="25" t="n"/>
      <c r="C9" s="43" t="inlineStr">
        <is>
          <t>OOS</t>
        </is>
      </c>
      <c r="D9" s="43" t="inlineStr">
        <is>
          <t>OOS</t>
        </is>
      </c>
      <c r="E9" s="40" t="inlineStr">
        <is>
          <t>OOS</t>
        </is>
      </c>
      <c r="F9" s="37" t="inlineStr">
        <is>
          <t>OOS</t>
        </is>
      </c>
      <c r="G9" s="4" t="inlineStr">
        <is>
          <t>OOS</t>
        </is>
      </c>
      <c r="I9" t="inlineStr">
        <is>
          <t>FPT</t>
        </is>
      </c>
      <c r="J9" t="inlineStr">
        <is>
          <t>Việt</t>
        </is>
      </c>
      <c r="K9" t="b">
        <v>1</v>
      </c>
    </row>
    <row r="10">
      <c r="A10" t="inlineStr">
        <is>
          <t>iPhone 15 Pro Max 256GB</t>
        </is>
      </c>
      <c r="B10" s="3" t="n"/>
      <c r="C10" s="25" t="n">
        <v>29990000</v>
      </c>
      <c r="D10" s="25" t="n">
        <v>29090000</v>
      </c>
      <c r="E10" s="40" t="inlineStr">
        <is>
          <t>OOS</t>
        </is>
      </c>
      <c r="F10" s="40" t="n">
        <v>28690000</v>
      </c>
      <c r="G10" s="4" t="n">
        <v>28290000</v>
      </c>
      <c r="I10" t="inlineStr">
        <is>
          <t>Viettel</t>
        </is>
      </c>
      <c r="J10" t="inlineStr">
        <is>
          <t>Nghĩa</t>
        </is>
      </c>
      <c r="K10" t="b">
        <v>1</v>
      </c>
    </row>
    <row r="11">
      <c r="A11" t="inlineStr">
        <is>
          <t>iPhone 14 Plus 128GB</t>
        </is>
      </c>
      <c r="B11" s="3" t="n"/>
      <c r="C11" s="43" t="inlineStr">
        <is>
          <t>OOS</t>
        </is>
      </c>
      <c r="D11" s="25" t="n">
        <v>18990000</v>
      </c>
      <c r="E11" s="40" t="n">
        <v>18990000</v>
      </c>
      <c r="F11" s="34" t="n">
        <v>17990000</v>
      </c>
      <c r="G11" s="4" t="n">
        <v>18990000</v>
      </c>
      <c r="I11" t="inlineStr">
        <is>
          <t>CPS</t>
        </is>
      </c>
      <c r="J11" t="inlineStr">
        <is>
          <t>Trang</t>
        </is>
      </c>
      <c r="K11" t="b">
        <v>1</v>
      </c>
    </row>
    <row r="12">
      <c r="A12" t="inlineStr">
        <is>
          <t>iPhone 14 128GB</t>
        </is>
      </c>
      <c r="B12" s="25" t="n"/>
      <c r="C12" s="3" t="n">
        <v>13490000</v>
      </c>
      <c r="D12" s="40" t="n">
        <v>12990000</v>
      </c>
      <c r="E12" s="40" t="n">
        <v>12990000</v>
      </c>
      <c r="F12" s="34" t="n">
        <v>13490000</v>
      </c>
      <c r="G12" s="4" t="n">
        <v>12990000</v>
      </c>
      <c r="I12" t="inlineStr">
        <is>
          <t>ShopDunk</t>
        </is>
      </c>
      <c r="J12" t="inlineStr">
        <is>
          <t>Đạt</t>
        </is>
      </c>
      <c r="K12" t="b">
        <v>1</v>
      </c>
    </row>
    <row r="13">
      <c r="A13" t="inlineStr">
        <is>
          <t>iPhone 13  128GB</t>
        </is>
      </c>
      <c r="B13" s="3" t="n"/>
      <c r="C13" s="3" t="n">
        <v>11990000</v>
      </c>
      <c r="D13" s="39" t="n">
        <v>11990000</v>
      </c>
      <c r="E13" s="40" t="n">
        <v>11871000</v>
      </c>
      <c r="F13" s="34" t="n">
        <v>11890000</v>
      </c>
      <c r="G13" s="34" t="n">
        <v>11890000</v>
      </c>
    </row>
    <row r="14">
      <c r="A14" t="inlineStr">
        <is>
          <t>iPhone 12 64GB</t>
        </is>
      </c>
      <c r="B14" s="25" t="n"/>
      <c r="C14" s="25" t="n">
        <v>10590000</v>
      </c>
      <c r="D14" s="25" t="inlineStr">
        <is>
          <t>OOS</t>
        </is>
      </c>
      <c r="E14" s="40" t="n">
        <v>9990000</v>
      </c>
      <c r="F14" s="25" t="inlineStr">
        <is>
          <t>OOS</t>
        </is>
      </c>
      <c r="G14" s="4" t="inlineStr">
        <is>
          <t>OOS</t>
        </is>
      </c>
    </row>
    <row r="15">
      <c r="A15" t="inlineStr">
        <is>
          <t>iPhone 11 64GB</t>
        </is>
      </c>
      <c r="B15" s="25" t="n"/>
      <c r="C15" s="43" t="inlineStr">
        <is>
          <t>OOS</t>
        </is>
      </c>
      <c r="D15" s="25" t="n">
        <v>9190000</v>
      </c>
      <c r="E15" s="40" t="inlineStr">
        <is>
          <t>OOS</t>
        </is>
      </c>
      <c r="F15" s="39" t="n">
        <v>8490000</v>
      </c>
      <c r="G15" s="4" t="inlineStr">
        <is>
          <t>OOS</t>
        </is>
      </c>
    </row>
    <row r="16">
      <c r="A16" t="inlineStr">
        <is>
          <t>iPad Mini 7 128GB Wifi</t>
        </is>
      </c>
      <c r="B16" s="25" t="n"/>
      <c r="C16" s="43" t="inlineStr">
        <is>
          <t>OOS</t>
        </is>
      </c>
      <c r="D16" s="25" t="n">
        <v>13990000</v>
      </c>
      <c r="E16" s="34" t="n">
        <v>13653000</v>
      </c>
      <c r="F16" s="39" t="n">
        <v>13990000</v>
      </c>
      <c r="G16" s="4" t="n">
        <v>13690000</v>
      </c>
    </row>
    <row r="17">
      <c r="A17" t="inlineStr">
        <is>
          <t>iPad Gen 10th 64GB Wifi</t>
        </is>
      </c>
      <c r="B17" s="25" t="n"/>
      <c r="C17" s="3" t="n">
        <v>9390000</v>
      </c>
      <c r="D17" s="3" t="n">
        <v>9390000</v>
      </c>
      <c r="E17" s="34" t="n">
        <v>8801000</v>
      </c>
      <c r="F17" s="34" t="n">
        <v>9290000</v>
      </c>
      <c r="G17" s="4" t="n">
        <v>9490000</v>
      </c>
    </row>
    <row r="18">
      <c r="A18" t="inlineStr">
        <is>
          <t>iPad Gen 9th  64GB Wifi</t>
        </is>
      </c>
      <c r="B18" s="3" t="n"/>
      <c r="C18" s="43" t="n">
        <v>10290000</v>
      </c>
      <c r="D18" s="25" t="n">
        <v>6990000</v>
      </c>
      <c r="E18" s="40" t="n">
        <v>6990000</v>
      </c>
      <c r="F18" s="39" t="n">
        <v>6790000</v>
      </c>
      <c r="G18" s="4" t="n">
        <v>6890000</v>
      </c>
    </row>
    <row r="19">
      <c r="A19" t="inlineStr">
        <is>
          <t>iPad Air M2  11" 128 GB Wifi</t>
        </is>
      </c>
      <c r="B19" s="3" t="n"/>
      <c r="C19" s="3" t="n">
        <v>16490000</v>
      </c>
      <c r="D19" s="3" t="n">
        <v>16190000</v>
      </c>
      <c r="E19" s="40" t="n">
        <v>15830000</v>
      </c>
      <c r="F19" s="39" t="n">
        <v>16490000</v>
      </c>
      <c r="G19" s="4" t="n">
        <v>15790000</v>
      </c>
    </row>
    <row r="20">
      <c r="A20" t="inlineStr">
        <is>
          <t>iPad Air M2  13" 128 GB Wifi</t>
        </is>
      </c>
      <c r="B20" s="25" t="n"/>
      <c r="C20" s="25" t="n">
        <v>21590000</v>
      </c>
      <c r="D20" s="3" t="n">
        <v>21590000</v>
      </c>
      <c r="E20" s="40" t="n">
        <v>20483000</v>
      </c>
      <c r="F20" s="34" t="n">
        <v>20790000</v>
      </c>
      <c r="G20" s="4" t="n">
        <v>20790000</v>
      </c>
    </row>
    <row r="21">
      <c r="A21" t="inlineStr">
        <is>
          <t>iPad Pro  M4  11" 256 GB Wifi</t>
        </is>
      </c>
      <c r="B21" s="25" t="n"/>
      <c r="C21" s="25" t="n">
        <v>27890000</v>
      </c>
      <c r="D21" s="25" t="n">
        <v>27790000</v>
      </c>
      <c r="E21" s="40" t="n">
        <v>27190000</v>
      </c>
      <c r="F21" s="34" t="n">
        <v>28290000</v>
      </c>
      <c r="G21" s="4" t="n">
        <v>27090000</v>
      </c>
    </row>
    <row r="22">
      <c r="A22" t="inlineStr">
        <is>
          <t>iPad Pro  M4  13" 256 GB Wifi</t>
        </is>
      </c>
      <c r="B22" s="3" t="n"/>
      <c r="C22" s="25" t="n">
        <v>36690000</v>
      </c>
      <c r="D22" s="25" t="n">
        <v>36890000</v>
      </c>
      <c r="E22" s="40" t="n">
        <v>35990000</v>
      </c>
      <c r="F22" s="39" t="n">
        <v>36990000</v>
      </c>
      <c r="G22" s="4" t="n">
        <v>36490000</v>
      </c>
    </row>
    <row r="23">
      <c r="A23" t="inlineStr">
        <is>
          <t>AW SE 2 (40mm GPS)</t>
        </is>
      </c>
      <c r="B23" s="25" t="n"/>
      <c r="C23" s="25" t="n">
        <v>5770000</v>
      </c>
      <c r="D23" s="25" t="n">
        <v>5690000</v>
      </c>
      <c r="E23" s="34" t="n">
        <v>5435000</v>
      </c>
      <c r="F23" s="34" t="n">
        <v>5590000</v>
      </c>
      <c r="G23" s="4" t="n">
        <v>5590000</v>
      </c>
    </row>
    <row r="24">
      <c r="A24" t="inlineStr">
        <is>
          <t>AW SE 2 (40mm LTE)</t>
        </is>
      </c>
      <c r="B24" s="25" t="n"/>
      <c r="C24" s="25" t="n">
        <v>7070000</v>
      </c>
      <c r="D24" s="25" t="n">
        <v>6990000</v>
      </c>
      <c r="E24" s="40" t="n">
        <v>6524000</v>
      </c>
      <c r="F24" s="39" t="n">
        <v>6990000</v>
      </c>
      <c r="G24" s="4" t="n">
        <v>6990000</v>
      </c>
    </row>
    <row r="25">
      <c r="A25" t="inlineStr">
        <is>
          <t>AW SE 2 (44mm GPS)</t>
        </is>
      </c>
      <c r="B25" s="25" t="n"/>
      <c r="C25" s="25" t="n">
        <v>6570000</v>
      </c>
      <c r="D25" s="25" t="n">
        <v>6490000</v>
      </c>
      <c r="E25" s="34" t="n">
        <v>6227000</v>
      </c>
      <c r="F25" s="39" t="n">
        <v>6390000</v>
      </c>
      <c r="G25" s="4" t="n">
        <v>6490000</v>
      </c>
    </row>
    <row r="26">
      <c r="A26" t="inlineStr">
        <is>
          <t>AW SE 2 (44mm LTE)</t>
        </is>
      </c>
      <c r="B26" s="25" t="n"/>
      <c r="C26" s="25" t="n">
        <v>7870000</v>
      </c>
      <c r="D26" s="25" t="n">
        <v>7790000</v>
      </c>
      <c r="E26" s="40" t="n">
        <v>7316000</v>
      </c>
      <c r="F26" s="34" t="n">
        <v>7890000</v>
      </c>
      <c r="G26" s="34" t="n">
        <v>7850000</v>
      </c>
    </row>
    <row r="27">
      <c r="A27" t="inlineStr">
        <is>
          <t>AW S10 (42mm GPS)</t>
        </is>
      </c>
      <c r="B27" s="25" t="n"/>
      <c r="C27" s="3" t="n">
        <v>10190000</v>
      </c>
      <c r="D27" s="3" t="n">
        <v>9490000</v>
      </c>
      <c r="E27" s="40" t="n">
        <v>9593000</v>
      </c>
      <c r="F27" s="34" t="n">
        <v>10190000</v>
      </c>
      <c r="G27" s="3" t="n">
        <v>9690000</v>
      </c>
    </row>
    <row r="28">
      <c r="A28" t="inlineStr">
        <is>
          <t>AW S10 (42mm CEL)</t>
        </is>
      </c>
      <c r="B28" s="25" t="n"/>
      <c r="C28" s="25" t="n">
        <v>12690000</v>
      </c>
      <c r="D28" s="3" t="n">
        <v>12690000</v>
      </c>
      <c r="E28" s="40" t="n">
        <v>12365000</v>
      </c>
      <c r="F28" s="34" t="n">
        <v>12690000</v>
      </c>
      <c r="G28" s="4" t="n">
        <v>12590000</v>
      </c>
    </row>
    <row r="29">
      <c r="A29" t="inlineStr">
        <is>
          <t>AW S10 (46mm GPS)</t>
        </is>
      </c>
      <c r="B29" s="25" t="n"/>
      <c r="C29" s="25" t="n">
        <v>10890000</v>
      </c>
      <c r="D29" s="3" t="n">
        <v>10890000</v>
      </c>
      <c r="E29" s="40" t="n">
        <v>10583000</v>
      </c>
      <c r="F29" s="34" t="n">
        <v>10690000</v>
      </c>
      <c r="G29" s="3" t="inlineStr">
        <is>
          <t>10.590.000</t>
        </is>
      </c>
    </row>
    <row r="30">
      <c r="A30" t="inlineStr">
        <is>
          <t>AW S10 (46mm CEL)</t>
        </is>
      </c>
      <c r="B30" s="3" t="n"/>
      <c r="C30" s="25" t="n">
        <v>13490000</v>
      </c>
      <c r="D30" s="3" t="n">
        <v>13490000</v>
      </c>
      <c r="E30" s="40" t="n">
        <v>13256000</v>
      </c>
      <c r="F30" s="39" t="n">
        <v>13690000</v>
      </c>
      <c r="G30" s="4" t="n">
        <v>13890000</v>
      </c>
    </row>
    <row r="31">
      <c r="A31" t="inlineStr">
        <is>
          <t>AW Ultra 2 (49mm)</t>
        </is>
      </c>
      <c r="B31" s="25" t="n"/>
      <c r="C31" s="25" t="n">
        <v>22490000</v>
      </c>
      <c r="D31" s="25" t="n">
        <v>22990000</v>
      </c>
      <c r="E31" s="40" t="n">
        <v>21572000</v>
      </c>
      <c r="F31" s="40" t="n">
        <v>21990000</v>
      </c>
      <c r="G31" s="4" t="n">
        <v>22990000</v>
      </c>
    </row>
    <row r="32">
      <c r="A32" t="inlineStr">
        <is>
          <t>AirPods Pro 2 - 2023 (C-Type)</t>
        </is>
      </c>
      <c r="B32" s="3" t="n"/>
      <c r="C32" s="25" t="n">
        <v>5690000</v>
      </c>
      <c r="D32" s="34" t="n">
        <v>5490000</v>
      </c>
      <c r="E32" s="40" t="n">
        <v>5390000</v>
      </c>
      <c r="F32" s="38" t="n">
        <v>5590000</v>
      </c>
      <c r="G32" s="4" t="n">
        <v>5590000</v>
      </c>
    </row>
    <row r="33">
      <c r="A33" t="inlineStr">
        <is>
          <t>AirPods 4 ANC</t>
        </is>
      </c>
      <c r="B33" s="3" t="n"/>
      <c r="C33" s="25" t="n">
        <v>4490000</v>
      </c>
      <c r="D33" s="38" t="n">
        <v>4390000</v>
      </c>
      <c r="E33" s="40" t="n">
        <v>4290000</v>
      </c>
      <c r="F33" s="38" t="n">
        <v>4490000</v>
      </c>
      <c r="G33" s="3" t="n">
        <v>4290000</v>
      </c>
    </row>
    <row r="34">
      <c r="A34" t="inlineStr">
        <is>
          <t>AirPods 4 with charging case</t>
        </is>
      </c>
      <c r="B34" s="3" t="n"/>
      <c r="C34" s="25" t="n">
        <v>3190000</v>
      </c>
      <c r="D34" s="40" t="n">
        <v>3190000</v>
      </c>
      <c r="E34" s="40" t="n">
        <v>2990000</v>
      </c>
      <c r="F34" s="40" t="n">
        <v>3190000</v>
      </c>
      <c r="G34" s="3" t="n">
        <v>3090000</v>
      </c>
    </row>
    <row r="35">
      <c r="A35" t="inlineStr">
        <is>
          <t>AirPods 3 with charging case</t>
        </is>
      </c>
      <c r="B35" s="25" t="n"/>
      <c r="C35" s="25" t="n">
        <v>3790000</v>
      </c>
      <c r="D35" s="43" t="n">
        <v>3990000</v>
      </c>
      <c r="E35" s="40" t="n">
        <v>3490000</v>
      </c>
      <c r="F35" s="39" t="n">
        <v>2990000</v>
      </c>
      <c r="G35" s="4" t="inlineStr">
        <is>
          <t>OOS</t>
        </is>
      </c>
    </row>
    <row r="36">
      <c r="A36" t="inlineStr">
        <is>
          <t>MacBook Air 13" M1 8/256Gb</t>
        </is>
      </c>
      <c r="B36" s="3" t="n"/>
      <c r="C36" s="3" t="n">
        <v>17490000</v>
      </c>
      <c r="D36" s="39" t="n">
        <v>17490000</v>
      </c>
      <c r="E36" s="37" t="n"/>
      <c r="F36" s="34" t="n">
        <v>16990000</v>
      </c>
      <c r="G36" s="4" t="n">
        <v>16990000</v>
      </c>
    </row>
    <row r="37">
      <c r="A37" t="inlineStr">
        <is>
          <t>MacBook Air 13" M2 16/256GB</t>
        </is>
      </c>
      <c r="B37" s="25" t="n"/>
      <c r="C37" s="25" t="n">
        <v>23990000</v>
      </c>
      <c r="D37" s="25" t="n">
        <v>23890000</v>
      </c>
      <c r="E37" s="37" t="n"/>
      <c r="F37" s="34" t="inlineStr">
        <is>
          <t>23.590.00</t>
        </is>
      </c>
      <c r="G37" s="3" t="n">
        <v>23590000</v>
      </c>
    </row>
    <row r="38">
      <c r="A38" t="inlineStr">
        <is>
          <t>MacBook Air 13" M3 16/256GB</t>
        </is>
      </c>
      <c r="B38" s="3" t="n"/>
      <c r="C38" s="37" t="n">
        <v>27090000</v>
      </c>
      <c r="D38" s="39" t="n">
        <v>26990000</v>
      </c>
      <c r="E38" s="37" t="n"/>
      <c r="F38" s="34" t="n">
        <v>26490000</v>
      </c>
      <c r="G38" s="3" t="n">
        <v>26690000</v>
      </c>
    </row>
    <row r="39">
      <c r="A39" t="inlineStr">
        <is>
          <t>MacBook Air 15" M3 16/256GB</t>
        </is>
      </c>
      <c r="B39" s="25" t="n"/>
      <c r="C39" s="37" t="n">
        <v>32490000</v>
      </c>
      <c r="D39" s="25" t="n">
        <v>32090000</v>
      </c>
      <c r="E39" s="37" t="n"/>
      <c r="F39" s="34" t="n">
        <v>30990000</v>
      </c>
      <c r="G39" s="4" t="n">
        <v>32490000</v>
      </c>
    </row>
    <row r="40">
      <c r="A40" t="inlineStr">
        <is>
          <t>MacBook Pro 14" M4 16/512GB</t>
        </is>
      </c>
      <c r="B40" s="25" t="n"/>
      <c r="C40" s="25" t="n">
        <v>39990000</v>
      </c>
      <c r="D40" s="25" t="n">
        <v>39990000</v>
      </c>
      <c r="E40" s="37" t="n"/>
      <c r="F40" s="40" t="n">
        <v>39900000</v>
      </c>
      <c r="G40" s="4" t="n">
        <v>39890000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L37"/>
  <sheetViews>
    <sheetView zoomScale="92" zoomScaleNormal="120" workbookViewId="0">
      <pane xSplit="1" ySplit="1" topLeftCell="C8" activePane="bottomRight" state="frozen"/>
      <selection pane="bottomRight" activeCell="B1" sqref="B1"/>
      <selection pane="bottomLeft" activeCell="A2" sqref="A2"/>
      <selection pane="topRight" activeCell="B1" sqref="B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47" t="inlineStr">
        <is>
          <t>Viettel</t>
        </is>
      </c>
      <c r="F1" s="47" t="inlineStr">
        <is>
          <t>CPS</t>
        </is>
      </c>
      <c r="G1" s="47" t="inlineStr">
        <is>
          <t>Shopdunk</t>
        </is>
      </c>
    </row>
    <row r="2">
      <c r="A2" t="inlineStr">
        <is>
          <t>iPhone 16e  128GB</t>
        </is>
      </c>
      <c r="B2" s="47" t="n"/>
      <c r="C2" s="49" t="n">
        <v>16590000</v>
      </c>
      <c r="D2" s="48" t="n">
        <v>16590000</v>
      </c>
      <c r="E2" s="40" t="n">
        <v>16821000</v>
      </c>
      <c r="F2" s="40" t="n">
        <v>16490000</v>
      </c>
      <c r="G2" s="40" t="n">
        <v>16490000</v>
      </c>
    </row>
    <row r="3">
      <c r="A3" t="inlineStr">
        <is>
          <t>iPhone 16  128GB</t>
        </is>
      </c>
      <c r="B3" s="25" t="n"/>
      <c r="C3" s="3" t="n">
        <v>19690000</v>
      </c>
      <c r="D3" s="43" t="n">
        <v>19490000</v>
      </c>
      <c r="E3" s="40" t="n">
        <v>18990000</v>
      </c>
      <c r="F3" s="38" t="n">
        <v>19190000</v>
      </c>
      <c r="G3" s="40" t="n">
        <v>18890000</v>
      </c>
    </row>
    <row r="4">
      <c r="A4" t="inlineStr">
        <is>
          <t>iPhone 16  Plus 128GB</t>
        </is>
      </c>
      <c r="B4" s="3" t="n"/>
      <c r="C4" s="3" t="n">
        <v>22690000</v>
      </c>
      <c r="D4" s="42" t="n">
        <v>22590000</v>
      </c>
      <c r="E4" s="40" t="n">
        <v>21990000</v>
      </c>
      <c r="F4" s="38" t="n">
        <v>22190000</v>
      </c>
      <c r="G4" s="40" t="n">
        <v>22190000</v>
      </c>
    </row>
    <row r="5">
      <c r="A5" t="inlineStr">
        <is>
          <t>iPhone 16 Pro  128GB</t>
        </is>
      </c>
      <c r="B5" s="25" t="n"/>
      <c r="C5" s="3" t="n">
        <v>25690000</v>
      </c>
      <c r="D5" s="43" t="n">
        <v>25490000</v>
      </c>
      <c r="E5" s="40" t="n">
        <v>24990000</v>
      </c>
      <c r="F5" s="40" t="n">
        <v>25390000</v>
      </c>
      <c r="G5" s="40" t="n">
        <v>24990000</v>
      </c>
    </row>
    <row r="6">
      <c r="A6" t="inlineStr">
        <is>
          <t>iPhone 16 Pro Max 256GB</t>
        </is>
      </c>
      <c r="B6" s="3" t="n"/>
      <c r="C6" s="25" t="n">
        <v>31390000</v>
      </c>
      <c r="D6" s="42" t="n">
        <v>30990000</v>
      </c>
      <c r="E6" s="40" t="n">
        <v>30490000</v>
      </c>
      <c r="F6" s="38" t="n">
        <v>30990000</v>
      </c>
      <c r="G6" s="40" t="n">
        <v>30490000</v>
      </c>
    </row>
    <row r="7">
      <c r="A7" t="inlineStr">
        <is>
          <t>iPhone 15  128GB</t>
        </is>
      </c>
      <c r="B7" s="25" t="n"/>
      <c r="C7" s="25" t="n">
        <v>15990000</v>
      </c>
      <c r="D7" s="43" t="n">
        <v>15990000</v>
      </c>
      <c r="E7" s="40" t="n">
        <v>15490000</v>
      </c>
      <c r="F7" s="40" t="n">
        <v>15990000</v>
      </c>
      <c r="G7" s="40" t="n">
        <v>15590000</v>
      </c>
    </row>
    <row r="8">
      <c r="A8" t="inlineStr">
        <is>
          <t>iPhone 15  Plus 128GB</t>
        </is>
      </c>
      <c r="B8" s="25" t="n"/>
      <c r="C8" s="25" t="n">
        <v>19790000</v>
      </c>
      <c r="D8" s="42" t="n">
        <v>19790000</v>
      </c>
      <c r="E8" s="40" t="n">
        <v>18990000</v>
      </c>
      <c r="F8" s="38" t="n">
        <v>19190000</v>
      </c>
      <c r="G8" s="3" t="n">
        <v>18490000</v>
      </c>
    </row>
    <row r="9">
      <c r="A9" t="inlineStr">
        <is>
          <t>iPhone 15 Pro Max 256GB</t>
        </is>
      </c>
      <c r="B9" s="3" t="n"/>
      <c r="C9" s="25" t="n">
        <v>29990000</v>
      </c>
      <c r="D9" s="25" t="n">
        <v>29090000</v>
      </c>
      <c r="E9" s="40" t="inlineStr">
        <is>
          <t>OOS</t>
        </is>
      </c>
      <c r="F9" s="40" t="n">
        <v>28690000</v>
      </c>
      <c r="G9" s="4" t="n">
        <v>28290000</v>
      </c>
    </row>
    <row r="10">
      <c r="A10" t="inlineStr">
        <is>
          <t>iPhone 14 Plus 128GB</t>
        </is>
      </c>
      <c r="B10" s="3" t="n"/>
      <c r="C10" s="43" t="inlineStr">
        <is>
          <t>OOS</t>
        </is>
      </c>
      <c r="D10" s="25" t="n">
        <v>18990000</v>
      </c>
      <c r="E10" s="40" t="n">
        <v>18990000</v>
      </c>
      <c r="F10" s="34" t="n">
        <v>17990000</v>
      </c>
      <c r="G10" s="4" t="n">
        <v>18990000</v>
      </c>
    </row>
    <row r="11">
      <c r="A11" t="inlineStr">
        <is>
          <t>iPhone 14 128GB</t>
        </is>
      </c>
      <c r="B11" s="25" t="n"/>
      <c r="C11" s="3" t="n">
        <v>13490000</v>
      </c>
      <c r="D11" s="40" t="n">
        <v>12990000</v>
      </c>
      <c r="E11" s="40" t="n">
        <v>12990000</v>
      </c>
      <c r="F11" s="34" t="n">
        <v>12990000</v>
      </c>
      <c r="G11" s="4" t="n">
        <v>12990000</v>
      </c>
    </row>
    <row r="12">
      <c r="A12" t="inlineStr">
        <is>
          <t>iPhone 13  128GB</t>
        </is>
      </c>
      <c r="B12" s="3" t="n"/>
      <c r="C12" s="3" t="n">
        <v>11990000</v>
      </c>
      <c r="D12" s="39" t="n">
        <v>11990000</v>
      </c>
      <c r="E12" s="40" t="n">
        <v>11871000</v>
      </c>
      <c r="F12" s="34" t="n">
        <v>11790000</v>
      </c>
      <c r="G12" s="34" t="n">
        <v>11790000</v>
      </c>
    </row>
    <row r="13">
      <c r="A13" t="inlineStr">
        <is>
          <t>iPhone 12 64GB</t>
        </is>
      </c>
      <c r="B13" s="25" t="n"/>
      <c r="C13" s="25" t="n">
        <v>10590000</v>
      </c>
      <c r="D13" s="25" t="inlineStr">
        <is>
          <t>OOS</t>
        </is>
      </c>
      <c r="E13" s="40" t="n">
        <v>9990000</v>
      </c>
      <c r="F13" s="25" t="inlineStr">
        <is>
          <t>OOS</t>
        </is>
      </c>
      <c r="G13" s="4" t="inlineStr">
        <is>
          <t>OOS</t>
        </is>
      </c>
    </row>
    <row r="14">
      <c r="A14" t="inlineStr">
        <is>
          <t>iPad Mini 7 128GB Wifi</t>
        </is>
      </c>
      <c r="B14" s="25" t="n"/>
      <c r="C14" s="43" t="inlineStr">
        <is>
          <t>OOS</t>
        </is>
      </c>
      <c r="D14" s="25" t="n">
        <v>13990000</v>
      </c>
      <c r="E14" s="40" t="n">
        <v>13653000</v>
      </c>
      <c r="F14" s="39" t="n">
        <v>13990000</v>
      </c>
      <c r="G14" s="4" t="n">
        <v>13690000</v>
      </c>
    </row>
    <row r="15">
      <c r="A15" t="inlineStr">
        <is>
          <t>iPad Gen 10th 64GB Wifi</t>
        </is>
      </c>
      <c r="B15" s="25" t="n"/>
      <c r="C15" s="3" t="n">
        <v>9390000</v>
      </c>
      <c r="D15" s="3" t="n">
        <v>9290000</v>
      </c>
      <c r="E15" s="40" t="n">
        <v>8801000</v>
      </c>
      <c r="F15" s="39" t="n">
        <v>9290000</v>
      </c>
      <c r="G15" s="4" t="n">
        <v>9490000</v>
      </c>
    </row>
    <row r="16">
      <c r="A16" t="inlineStr">
        <is>
          <t>iPad Gen 9th  64GB Wifi</t>
        </is>
      </c>
      <c r="B16" s="3" t="n"/>
      <c r="C16" s="43" t="n">
        <v>10290000</v>
      </c>
      <c r="D16" s="25" t="n">
        <v>6990000</v>
      </c>
      <c r="E16" s="40" t="n">
        <v>6990000</v>
      </c>
      <c r="F16" s="39" t="n">
        <v>6590000</v>
      </c>
      <c r="G16" s="4" t="n">
        <v>6890000</v>
      </c>
      <c r="J16" t="inlineStr">
        <is>
          <t xml:space="preserve">MW </t>
        </is>
      </c>
      <c r="K16" t="inlineStr">
        <is>
          <t>Duy</t>
        </is>
      </c>
      <c r="L16" t="b">
        <v>1</v>
      </c>
    </row>
    <row r="17">
      <c r="A17" t="inlineStr">
        <is>
          <t>iPad Air M2  11" 128 GB Wifi</t>
        </is>
      </c>
      <c r="B17" s="3" t="n"/>
      <c r="C17" s="3" t="n">
        <v>16490000</v>
      </c>
      <c r="D17" s="3" t="n">
        <v>16590000</v>
      </c>
      <c r="E17" s="34" t="n">
        <v>15534000</v>
      </c>
      <c r="F17" s="34" t="n">
        <v>16690000</v>
      </c>
      <c r="G17" s="4" t="n">
        <v>15790000</v>
      </c>
      <c r="J17" t="inlineStr">
        <is>
          <t>FPT</t>
        </is>
      </c>
      <c r="K17" t="inlineStr">
        <is>
          <t>Việt</t>
        </is>
      </c>
      <c r="L17" t="b">
        <v>1</v>
      </c>
    </row>
    <row r="18">
      <c r="A18" t="inlineStr">
        <is>
          <t>iPad Air M2  13" 128 GB Wifi</t>
        </is>
      </c>
      <c r="B18" s="25" t="n"/>
      <c r="C18" s="25" t="n">
        <v>21590000</v>
      </c>
      <c r="D18" s="3" t="n">
        <v>21090000</v>
      </c>
      <c r="E18" s="34" t="n">
        <v>20290000</v>
      </c>
      <c r="F18" s="39" t="n">
        <v>20790000</v>
      </c>
      <c r="G18" s="3" t="n">
        <v>20890000</v>
      </c>
      <c r="J18" t="inlineStr">
        <is>
          <t>Viettel</t>
        </is>
      </c>
      <c r="K18" t="inlineStr">
        <is>
          <t>Nghĩa</t>
        </is>
      </c>
      <c r="L18" t="b">
        <v>1</v>
      </c>
    </row>
    <row r="19">
      <c r="A19" t="inlineStr">
        <is>
          <t>iPad Pro  M4  11" 256 GB Wifi</t>
        </is>
      </c>
      <c r="B19" s="25" t="n"/>
      <c r="C19" s="25" t="n">
        <v>27890000</v>
      </c>
      <c r="D19" s="3" t="n">
        <v>27890000</v>
      </c>
      <c r="E19" s="40" t="inlineStr">
        <is>
          <t>OOS</t>
        </is>
      </c>
      <c r="F19" s="34" t="n">
        <v>27990000</v>
      </c>
      <c r="G19" s="4" t="n">
        <v>27090000</v>
      </c>
      <c r="J19" t="inlineStr">
        <is>
          <t>CPS</t>
        </is>
      </c>
      <c r="K19" t="inlineStr">
        <is>
          <t>Trang</t>
        </is>
      </c>
      <c r="L19" t="b">
        <v>1</v>
      </c>
    </row>
    <row r="20">
      <c r="A20" t="inlineStr">
        <is>
          <t>iPad Pro  M4  13" 256 GB Wifi</t>
        </is>
      </c>
      <c r="B20" s="3" t="n"/>
      <c r="C20" s="25" t="n">
        <v>36690000</v>
      </c>
      <c r="D20" s="3" t="n">
        <v>36690000</v>
      </c>
      <c r="E20" s="40" t="n">
        <v>35990000</v>
      </c>
      <c r="F20" s="39" t="n">
        <v>36990000</v>
      </c>
      <c r="G20" s="4" t="n">
        <v>36490000</v>
      </c>
      <c r="J20" t="inlineStr">
        <is>
          <t>ShopDunk</t>
        </is>
      </c>
      <c r="K20" t="inlineStr">
        <is>
          <t>Đạt</t>
        </is>
      </c>
      <c r="L20" t="b">
        <v>1</v>
      </c>
    </row>
    <row r="21">
      <c r="A21" t="inlineStr">
        <is>
          <t>AW SE 2 (40mm GPS)</t>
        </is>
      </c>
      <c r="B21" s="25" t="n"/>
      <c r="C21" s="25" t="n">
        <v>5770000</v>
      </c>
      <c r="D21" s="3" t="n">
        <v>5890000</v>
      </c>
      <c r="E21" s="34" t="n">
        <v>5336000</v>
      </c>
      <c r="F21" s="39" t="n">
        <v>5590000</v>
      </c>
      <c r="G21" s="4" t="n">
        <v>5590000</v>
      </c>
    </row>
    <row r="22">
      <c r="A22" t="inlineStr">
        <is>
          <t>AW SE 2 (40mm LTE)</t>
        </is>
      </c>
      <c r="B22" s="25" t="n"/>
      <c r="C22" s="25" t="n">
        <v>7070000</v>
      </c>
      <c r="D22" s="3" t="n">
        <v>7190000</v>
      </c>
      <c r="E22" s="40" t="n">
        <v>6524000</v>
      </c>
      <c r="F22" s="39" t="n">
        <v>6990000</v>
      </c>
      <c r="G22" s="3" t="n">
        <v>7390000</v>
      </c>
    </row>
    <row r="23">
      <c r="A23" t="inlineStr">
        <is>
          <t>AW SE 2 (44mm GPS)</t>
        </is>
      </c>
      <c r="B23" s="25" t="n"/>
      <c r="C23" s="25" t="n">
        <v>6570000</v>
      </c>
      <c r="D23" s="3" t="n">
        <v>6690000</v>
      </c>
      <c r="E23" s="34" t="n">
        <v>6029000</v>
      </c>
      <c r="F23" s="39" t="n">
        <v>6490000</v>
      </c>
      <c r="G23" s="4" t="n">
        <v>6490000</v>
      </c>
    </row>
    <row r="24">
      <c r="A24" t="inlineStr">
        <is>
          <t>AW SE 2 (44mm LTE)</t>
        </is>
      </c>
      <c r="B24" s="25" t="n"/>
      <c r="C24" s="25" t="n">
        <v>7870000</v>
      </c>
      <c r="D24" s="3" t="n">
        <v>7890000</v>
      </c>
      <c r="E24" s="34" t="n">
        <v>7415000</v>
      </c>
      <c r="F24" s="34" t="n">
        <v>7890000</v>
      </c>
      <c r="G24" s="34" t="n">
        <v>7850000</v>
      </c>
    </row>
    <row r="25">
      <c r="A25" t="inlineStr">
        <is>
          <t>AW S10 (42mm GPS)</t>
        </is>
      </c>
      <c r="B25" s="25" t="n"/>
      <c r="C25" s="3" t="n">
        <v>10190000</v>
      </c>
      <c r="D25" s="3" t="n">
        <v>10690000</v>
      </c>
      <c r="E25" s="34" t="n">
        <v>10286000</v>
      </c>
      <c r="F25" s="39" t="n">
        <v>10190000</v>
      </c>
      <c r="G25" s="3" t="n">
        <v>10190000</v>
      </c>
    </row>
    <row r="26">
      <c r="A26" t="inlineStr">
        <is>
          <t>AW S10 (42mm CEL)</t>
        </is>
      </c>
      <c r="B26" s="25" t="n"/>
      <c r="C26" s="25" t="n">
        <v>12690000</v>
      </c>
      <c r="D26" s="3" t="n">
        <v>13290000</v>
      </c>
      <c r="E26" s="34" t="n">
        <v>12860000</v>
      </c>
      <c r="F26" s="39" t="n">
        <v>12690000</v>
      </c>
      <c r="G26" s="3" t="n">
        <v>13190000</v>
      </c>
    </row>
    <row r="27">
      <c r="A27" t="inlineStr">
        <is>
          <t>AW S10 (46mm GPS)</t>
        </is>
      </c>
      <c r="B27" s="25" t="n"/>
      <c r="C27" s="25" t="n">
        <v>10890000</v>
      </c>
      <c r="D27" s="3" t="n">
        <v>11490000</v>
      </c>
      <c r="E27" s="34" t="n">
        <v>11177000</v>
      </c>
      <c r="F27" s="34" t="n">
        <v>10890000</v>
      </c>
      <c r="G27" s="3" t="n">
        <v>11290000</v>
      </c>
    </row>
    <row r="28">
      <c r="A28" t="inlineStr">
        <is>
          <t>AW S10 (46mm CEL)</t>
        </is>
      </c>
      <c r="B28" s="3" t="n"/>
      <c r="C28" s="25" t="n">
        <v>13490000</v>
      </c>
      <c r="D28" s="3" t="n">
        <v>13990000</v>
      </c>
      <c r="E28" s="40" t="n">
        <v>13256000</v>
      </c>
      <c r="F28" s="34" t="n">
        <v>13690000</v>
      </c>
      <c r="G28" s="4" t="n">
        <v>13890000</v>
      </c>
    </row>
    <row r="29">
      <c r="A29" t="inlineStr">
        <is>
          <t>AW Ultra 2 (49mm)</t>
        </is>
      </c>
      <c r="B29" s="25" t="n"/>
      <c r="C29" s="25" t="n">
        <v>22490000</v>
      </c>
      <c r="D29" s="25" t="n">
        <v>22990000</v>
      </c>
      <c r="E29" s="34" t="n">
        <v>21590000</v>
      </c>
      <c r="F29" s="40" t="n">
        <v>21990000</v>
      </c>
      <c r="G29" s="4" t="n">
        <v>22990000</v>
      </c>
    </row>
    <row r="30">
      <c r="A30" t="inlineStr">
        <is>
          <t>AirPods Pro 2 - 2023 (C-Type)</t>
        </is>
      </c>
      <c r="B30" s="3" t="n"/>
      <c r="C30" s="25" t="n">
        <v>5690000</v>
      </c>
      <c r="D30" s="34" t="n">
        <v>5390000</v>
      </c>
      <c r="E30" s="34" t="n">
        <v>5633000</v>
      </c>
      <c r="F30" s="38" t="n">
        <v>5490000</v>
      </c>
      <c r="G30" s="4" t="n">
        <v>5590000</v>
      </c>
    </row>
    <row r="31">
      <c r="A31" t="inlineStr">
        <is>
          <t>AirPods 4 ANC</t>
        </is>
      </c>
      <c r="B31" s="3" t="n"/>
      <c r="C31" s="25" t="n">
        <v>4490000</v>
      </c>
      <c r="D31" s="38" t="n">
        <v>4290000</v>
      </c>
      <c r="E31" s="34" t="n">
        <v>4445000</v>
      </c>
      <c r="F31" s="38" t="n">
        <v>4590000</v>
      </c>
      <c r="G31" s="3" t="n">
        <v>4290000</v>
      </c>
    </row>
    <row r="32">
      <c r="A32" t="inlineStr">
        <is>
          <t>AirPods 4 with charging case</t>
        </is>
      </c>
      <c r="B32" s="3" t="n"/>
      <c r="C32" s="25" t="n">
        <v>3190000</v>
      </c>
      <c r="D32" s="38" t="n">
        <v>3090000</v>
      </c>
      <c r="E32" s="34" t="n">
        <v>3158000</v>
      </c>
      <c r="F32" s="38" t="n">
        <v>3390000</v>
      </c>
      <c r="G32" s="3" t="n">
        <v>3390000</v>
      </c>
    </row>
    <row r="33">
      <c r="A33" t="inlineStr">
        <is>
          <t>MacBook Air 13" M1 8/256Gb</t>
        </is>
      </c>
      <c r="B33" s="3" t="n"/>
      <c r="C33" s="3" t="n">
        <v>17490000</v>
      </c>
      <c r="D33" s="39" t="n">
        <v>17490000</v>
      </c>
      <c r="E33" s="37" t="n"/>
      <c r="F33" s="34" t="n">
        <v>16190000</v>
      </c>
      <c r="G33" s="4" t="n">
        <v>16990000</v>
      </c>
    </row>
    <row r="34">
      <c r="A34" t="inlineStr">
        <is>
          <t>MacBook Air 13" M2 16/256GB</t>
        </is>
      </c>
      <c r="B34" s="25" t="n"/>
      <c r="C34" s="25" t="n">
        <v>23990000</v>
      </c>
      <c r="D34" s="3" t="n">
        <v>23090000</v>
      </c>
      <c r="E34" s="37" t="n"/>
      <c r="F34" s="34" t="n">
        <v>22890000</v>
      </c>
      <c r="G34" s="4" t="n">
        <v>23590000</v>
      </c>
    </row>
    <row r="35">
      <c r="A35" t="inlineStr">
        <is>
          <t>MacBook Air 13" M3 16/256GB</t>
        </is>
      </c>
      <c r="B35" s="3" t="n"/>
      <c r="C35" s="37" t="n">
        <v>27090000</v>
      </c>
      <c r="D35" s="34" t="n">
        <v>26090000</v>
      </c>
      <c r="E35" s="37" t="n"/>
      <c r="F35" s="34" t="n">
        <v>25990000</v>
      </c>
      <c r="G35" s="4" t="n">
        <v>26690000</v>
      </c>
    </row>
    <row r="36">
      <c r="A36" t="inlineStr">
        <is>
          <t>MacBook Air 15" M3 16/256GB</t>
        </is>
      </c>
      <c r="B36" s="25" t="n"/>
      <c r="C36" s="37" t="n">
        <v>32490000</v>
      </c>
      <c r="D36" s="3" t="n">
        <v>30590000</v>
      </c>
      <c r="E36" s="37" t="n"/>
      <c r="F36" s="39" t="inlineStr">
        <is>
          <t>OOS</t>
        </is>
      </c>
      <c r="G36" s="4" t="n">
        <v>32490000</v>
      </c>
    </row>
    <row r="37">
      <c r="A37" t="inlineStr">
        <is>
          <t>MacBook Pro 14" M4 16/512GB</t>
        </is>
      </c>
      <c r="B37" s="25" t="n"/>
      <c r="C37" s="25" t="n">
        <v>39990000</v>
      </c>
      <c r="D37" s="25" t="n">
        <v>39990000</v>
      </c>
      <c r="E37" s="37" t="n"/>
      <c r="F37" s="38" t="n">
        <v>39590000</v>
      </c>
      <c r="G37" s="4" t="n">
        <v>39890000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L37"/>
  <sheetViews>
    <sheetView zoomScale="125" zoomScaleNormal="120" workbookViewId="0">
      <pane xSplit="2" topLeftCell="C1" activePane="topRight" state="frozen"/>
      <selection pane="topRight" activeCell="F7" sqref="F7"/>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47" t="inlineStr">
        <is>
          <t>Shopdunk</t>
        </is>
      </c>
    </row>
    <row r="2">
      <c r="A2" t="inlineStr">
        <is>
          <t>iPhone 16e  128GB</t>
        </is>
      </c>
      <c r="B2" s="47" t="n"/>
      <c r="C2" s="48" t="n">
        <v>16590000</v>
      </c>
      <c r="D2" s="48" t="n">
        <v>16590000</v>
      </c>
      <c r="E2" s="40" t="n">
        <v>16990000</v>
      </c>
      <c r="F2" s="40" t="n">
        <v>16390000</v>
      </c>
      <c r="G2" s="38" t="n">
        <v>16090000</v>
      </c>
    </row>
    <row r="3">
      <c r="A3" t="inlineStr">
        <is>
          <t>iPhone 16  128GB</t>
        </is>
      </c>
      <c r="B3" s="25" t="n"/>
      <c r="C3" s="3" t="n">
        <v>19290000</v>
      </c>
      <c r="D3" s="42" t="n">
        <v>19290000</v>
      </c>
      <c r="E3" s="40" t="n">
        <v>18990000</v>
      </c>
      <c r="F3" s="38" t="n">
        <v>18990000</v>
      </c>
      <c r="G3" s="38" t="n">
        <v>18590000</v>
      </c>
    </row>
    <row r="4">
      <c r="A4" t="inlineStr">
        <is>
          <t>iPhone 16  Plus 128GB</t>
        </is>
      </c>
      <c r="B4" s="3" t="n"/>
      <c r="C4" s="25" t="n">
        <v>22690000</v>
      </c>
      <c r="D4" s="43" t="n">
        <v>22590000</v>
      </c>
      <c r="E4" s="40" t="n">
        <v>21990000</v>
      </c>
      <c r="F4" s="40" t="n">
        <v>22190000</v>
      </c>
      <c r="G4" s="38" t="n">
        <v>21790000</v>
      </c>
    </row>
    <row r="5">
      <c r="A5" t="inlineStr">
        <is>
          <t>iPhone 16 Pro  128GB</t>
        </is>
      </c>
      <c r="B5" s="25" t="n"/>
      <c r="C5" s="3" t="n">
        <v>25490000</v>
      </c>
      <c r="D5" s="43" t="n">
        <v>25490000</v>
      </c>
      <c r="E5" s="40" t="n">
        <v>24990000</v>
      </c>
      <c r="F5" s="38" t="n">
        <v>25090000</v>
      </c>
      <c r="G5" s="38" t="n">
        <v>24890000</v>
      </c>
    </row>
    <row r="6">
      <c r="A6" t="inlineStr">
        <is>
          <t>iPhone 16 Pro Max 256GB</t>
        </is>
      </c>
      <c r="B6" s="3" t="n"/>
      <c r="C6" s="3" t="n">
        <v>31090000</v>
      </c>
      <c r="D6" s="43" t="n">
        <v>30990000</v>
      </c>
      <c r="E6" s="40" t="n">
        <v>30490000</v>
      </c>
      <c r="F6" s="38" t="n">
        <v>30790000</v>
      </c>
      <c r="G6" s="38" t="n">
        <v>30290000</v>
      </c>
    </row>
    <row r="7">
      <c r="A7" t="inlineStr">
        <is>
          <t>iPhone 15  128GB</t>
        </is>
      </c>
      <c r="B7" s="25" t="n"/>
      <c r="C7" s="25" t="n">
        <v>15990000</v>
      </c>
      <c r="D7" s="43" t="n">
        <v>15990000</v>
      </c>
      <c r="E7" s="40" t="n">
        <v>15490000</v>
      </c>
      <c r="F7" s="40" t="n">
        <v>15990000</v>
      </c>
      <c r="G7" s="38" t="n">
        <v>15490000</v>
      </c>
    </row>
    <row r="8">
      <c r="A8" t="inlineStr">
        <is>
          <t>iPhone 15  Plus 128GB</t>
        </is>
      </c>
      <c r="B8" s="25" t="n"/>
      <c r="C8" s="25" t="n">
        <v>19790000</v>
      </c>
      <c r="D8" s="43" t="n">
        <v>19790000</v>
      </c>
      <c r="E8" s="40" t="n">
        <v>18990000</v>
      </c>
      <c r="F8" s="40" t="n">
        <v>19190000</v>
      </c>
      <c r="G8" s="3" t="n">
        <v>18590000</v>
      </c>
    </row>
    <row r="9">
      <c r="A9" t="inlineStr">
        <is>
          <t>iPhone 15 Pro Max 256GB</t>
        </is>
      </c>
      <c r="B9" s="3" t="n"/>
      <c r="C9" s="25" t="n">
        <v>29990000</v>
      </c>
      <c r="D9" s="3" t="n">
        <v>28490000</v>
      </c>
      <c r="E9" s="40" t="inlineStr">
        <is>
          <t>OOS</t>
        </is>
      </c>
      <c r="F9" s="38" t="n">
        <v>28490000</v>
      </c>
      <c r="G9" s="34" t="n">
        <v>28090000</v>
      </c>
    </row>
    <row r="10">
      <c r="A10" t="inlineStr">
        <is>
          <t>iPhone 14 Plus 128GB</t>
        </is>
      </c>
      <c r="B10" s="3" t="n"/>
      <c r="C10" s="43" t="inlineStr">
        <is>
          <t>OOS</t>
        </is>
      </c>
      <c r="D10" s="25" t="n">
        <v>18990000</v>
      </c>
      <c r="E10" s="40" t="n">
        <v>18990000</v>
      </c>
      <c r="F10" s="34" t="n">
        <v>17990000</v>
      </c>
      <c r="G10" s="34" t="n">
        <v>17490000</v>
      </c>
    </row>
    <row r="11">
      <c r="A11" t="inlineStr">
        <is>
          <t>iPhone 14 128GB</t>
        </is>
      </c>
      <c r="B11" s="25" t="n"/>
      <c r="C11" s="3" t="n">
        <v>12990000</v>
      </c>
      <c r="D11" s="40" t="n">
        <v>12990000</v>
      </c>
      <c r="E11" s="40" t="n">
        <v>12990000</v>
      </c>
      <c r="F11" s="39" t="n">
        <v>12990000</v>
      </c>
      <c r="G11" s="4" t="n">
        <v>12990000</v>
      </c>
    </row>
    <row r="12">
      <c r="A12" t="inlineStr">
        <is>
          <t>iPhone 13  128GB</t>
        </is>
      </c>
      <c r="B12" s="3" t="n"/>
      <c r="C12" s="25" t="n">
        <v>11990000</v>
      </c>
      <c r="D12" s="39" t="n">
        <v>11990000</v>
      </c>
      <c r="E12" s="40" t="n">
        <v>11990000</v>
      </c>
      <c r="F12" s="34" t="n">
        <v>11590000</v>
      </c>
      <c r="G12" s="34" t="n">
        <v>11590000</v>
      </c>
    </row>
    <row r="13">
      <c r="A13" t="inlineStr">
        <is>
          <t>iPhone 12 64GB</t>
        </is>
      </c>
      <c r="B13" s="25" t="n"/>
      <c r="C13" s="25" t="n">
        <v>10590000</v>
      </c>
      <c r="D13" s="25" t="inlineStr">
        <is>
          <t>OOS</t>
        </is>
      </c>
      <c r="E13" s="40" t="n">
        <v>9990000</v>
      </c>
      <c r="F13" s="25" t="inlineStr">
        <is>
          <t>OOS</t>
        </is>
      </c>
      <c r="G13" s="4" t="inlineStr">
        <is>
          <t>OOS</t>
        </is>
      </c>
    </row>
    <row r="14">
      <c r="A14" t="inlineStr">
        <is>
          <t>iPad Mini 7 128GB Wifi</t>
        </is>
      </c>
      <c r="B14" s="25" t="n"/>
      <c r="C14" s="43" t="n">
        <v>13990000</v>
      </c>
      <c r="D14" s="3" t="n">
        <v>13890000</v>
      </c>
      <c r="E14" s="40" t="n">
        <v>13790000</v>
      </c>
      <c r="F14" s="39" t="n">
        <v>13990000</v>
      </c>
      <c r="G14" s="4" t="n">
        <v>13690000</v>
      </c>
    </row>
    <row r="15">
      <c r="A15" t="inlineStr">
        <is>
          <t>iPad Gen 10th 64GB Wifi</t>
        </is>
      </c>
      <c r="B15" s="25" t="n"/>
      <c r="C15" s="3" t="n">
        <v>8690000</v>
      </c>
      <c r="D15" s="3" t="n">
        <v>8690000</v>
      </c>
      <c r="E15" s="38" t="n">
        <v>7910000</v>
      </c>
      <c r="F15" s="34" t="n">
        <v>8690000</v>
      </c>
      <c r="G15" s="34" t="n">
        <v>8390000</v>
      </c>
    </row>
    <row r="16">
      <c r="A16" t="inlineStr">
        <is>
          <t>iPad Gen 9th  64GB Wifi</t>
        </is>
      </c>
      <c r="B16" s="3" t="n"/>
      <c r="C16" s="43" t="n">
        <v>10290000</v>
      </c>
      <c r="D16" s="25" t="n">
        <v>6990000</v>
      </c>
      <c r="E16" s="40" t="n">
        <v>6990000</v>
      </c>
      <c r="F16" s="39" t="n">
        <v>6590000</v>
      </c>
      <c r="G16" s="34" t="n">
        <v>6790000</v>
      </c>
      <c r="J16" t="inlineStr">
        <is>
          <t xml:space="preserve">MW </t>
        </is>
      </c>
      <c r="K16" t="inlineStr">
        <is>
          <t>Duy</t>
        </is>
      </c>
      <c r="L16" t="b">
        <v>1</v>
      </c>
    </row>
    <row r="17">
      <c r="A17" t="inlineStr">
        <is>
          <t>iPad Air M2  11" 128 GB Wifi</t>
        </is>
      </c>
      <c r="B17" s="3" t="n"/>
      <c r="C17" s="25" t="n">
        <v>16490000</v>
      </c>
      <c r="D17" s="25" t="n">
        <v>16590000</v>
      </c>
      <c r="E17" s="40" t="n">
        <v>15534000</v>
      </c>
      <c r="F17" s="39" t="n">
        <v>16690000</v>
      </c>
      <c r="G17" s="34" t="n">
        <v>16590000</v>
      </c>
      <c r="J17" t="inlineStr">
        <is>
          <t>FPT</t>
        </is>
      </c>
      <c r="K17" t="inlineStr">
        <is>
          <t>Việt</t>
        </is>
      </c>
      <c r="L17" t="b">
        <v>1</v>
      </c>
    </row>
    <row r="18">
      <c r="A18" t="inlineStr">
        <is>
          <t>iPad Air M2  13" 128 GB Wifi</t>
        </is>
      </c>
      <c r="B18" s="25" t="n"/>
      <c r="C18" s="3" t="n">
        <v>20490000</v>
      </c>
      <c r="D18" s="3" t="n">
        <v>20490000</v>
      </c>
      <c r="E18" s="40" t="n">
        <v>20290000</v>
      </c>
      <c r="F18" s="34" t="n">
        <v>20490000</v>
      </c>
      <c r="G18" s="4" t="n">
        <v>20890000</v>
      </c>
      <c r="J18" t="inlineStr">
        <is>
          <t>Viettel</t>
        </is>
      </c>
      <c r="K18" t="inlineStr">
        <is>
          <t>Nghĩa</t>
        </is>
      </c>
      <c r="L18" t="b">
        <v>1</v>
      </c>
    </row>
    <row r="19">
      <c r="A19" t="inlineStr">
        <is>
          <t>iPad Pro  M4  11" 256 GB Wifi</t>
        </is>
      </c>
      <c r="B19" s="25" t="n"/>
      <c r="C19" s="25" t="n">
        <v>27890000</v>
      </c>
      <c r="D19" s="25" t="n">
        <v>27890000</v>
      </c>
      <c r="E19" s="40" t="inlineStr">
        <is>
          <t>OOS</t>
        </is>
      </c>
      <c r="F19" s="34" t="n">
        <v>27990000</v>
      </c>
      <c r="G19" s="4" t="n">
        <v>27090000</v>
      </c>
      <c r="J19" t="inlineStr">
        <is>
          <t>CPS</t>
        </is>
      </c>
      <c r="K19" t="inlineStr">
        <is>
          <t>Trang</t>
        </is>
      </c>
      <c r="L19" t="b">
        <v>1</v>
      </c>
    </row>
    <row r="20">
      <c r="A20" t="inlineStr">
        <is>
          <t>iPad Pro  M4  13" 256 GB Wifi</t>
        </is>
      </c>
      <c r="B20" s="3" t="n"/>
      <c r="C20" s="25" t="n">
        <v>36690000</v>
      </c>
      <c r="D20" s="25" t="n">
        <v>36690000</v>
      </c>
      <c r="E20" s="40" t="n">
        <v>35990000</v>
      </c>
      <c r="F20" s="39" t="n">
        <v>36990000</v>
      </c>
      <c r="G20" s="4" t="n">
        <v>36490000</v>
      </c>
      <c r="J20" t="inlineStr">
        <is>
          <t>ShopDunk</t>
        </is>
      </c>
      <c r="K20" t="inlineStr">
        <is>
          <t>Đạt</t>
        </is>
      </c>
      <c r="L20" t="b">
        <v>1</v>
      </c>
    </row>
    <row r="21">
      <c r="A21" t="inlineStr">
        <is>
          <t>AW SE 2 (40mm GPS)</t>
        </is>
      </c>
      <c r="B21" s="25" t="n"/>
      <c r="C21" s="3" t="n">
        <v>5990000</v>
      </c>
      <c r="D21" s="25" t="n">
        <v>5890000</v>
      </c>
      <c r="E21" s="40" t="n">
        <v>5336000</v>
      </c>
      <c r="F21" s="39" t="n">
        <v>5590000</v>
      </c>
      <c r="G21" s="4" t="n">
        <v>5590000</v>
      </c>
    </row>
    <row r="22">
      <c r="A22" t="inlineStr">
        <is>
          <t>AW SE 2 (40mm LTE)</t>
        </is>
      </c>
      <c r="B22" s="25" t="n"/>
      <c r="C22" s="3" t="n">
        <v>7190000</v>
      </c>
      <c r="D22" s="25" t="n">
        <v>7190000</v>
      </c>
      <c r="E22" s="40" t="n">
        <v>6524000</v>
      </c>
      <c r="F22" s="39" t="n">
        <v>6990000</v>
      </c>
      <c r="G22" s="3" t="n">
        <v>6990000</v>
      </c>
    </row>
    <row r="23">
      <c r="A23" t="inlineStr">
        <is>
          <t>AW SE 2 (44mm GPS)</t>
        </is>
      </c>
      <c r="B23" s="25" t="n"/>
      <c r="C23" s="3" t="n">
        <v>6690000</v>
      </c>
      <c r="D23" s="25" t="n">
        <v>6690000</v>
      </c>
      <c r="E23" s="40" t="n">
        <v>6425000</v>
      </c>
      <c r="F23" s="39" t="n">
        <v>6490000</v>
      </c>
      <c r="G23" s="4" t="n">
        <v>6490000</v>
      </c>
    </row>
    <row r="24">
      <c r="A24" t="inlineStr">
        <is>
          <t>AW SE 2 (44mm LTE)</t>
        </is>
      </c>
      <c r="B24" s="25" t="n"/>
      <c r="C24" s="3" t="n">
        <v>7990000</v>
      </c>
      <c r="D24" s="25" t="n">
        <v>7890000</v>
      </c>
      <c r="E24" s="40" t="n">
        <v>7415000</v>
      </c>
      <c r="F24" s="34" t="n">
        <v>7770000</v>
      </c>
      <c r="G24" s="34" t="n">
        <v>7390000</v>
      </c>
    </row>
    <row r="25">
      <c r="A25" t="inlineStr">
        <is>
          <t>AW S10 (42mm GPS)</t>
        </is>
      </c>
      <c r="B25" s="25" t="n"/>
      <c r="C25" s="25" t="n">
        <v>10190000</v>
      </c>
      <c r="D25" s="25" t="n">
        <v>10690000</v>
      </c>
      <c r="E25" s="40" t="n">
        <v>10286000</v>
      </c>
      <c r="F25" s="39" t="n">
        <v>10190000</v>
      </c>
      <c r="G25" s="3" t="n">
        <v>10190000</v>
      </c>
    </row>
    <row r="26">
      <c r="A26" t="inlineStr">
        <is>
          <t>AW S10 (42mm CEL)</t>
        </is>
      </c>
      <c r="B26" s="25" t="n"/>
      <c r="C26" s="3" t="n">
        <v>13490000</v>
      </c>
      <c r="D26" s="25" t="n">
        <v>13290000</v>
      </c>
      <c r="E26" s="40" t="n">
        <v>12860000</v>
      </c>
      <c r="F26" s="39" t="n">
        <v>12990000</v>
      </c>
      <c r="G26" s="3" t="n">
        <v>12690000</v>
      </c>
    </row>
    <row r="27">
      <c r="A27" t="inlineStr">
        <is>
          <t>AW S10 (46mm GPS)</t>
        </is>
      </c>
      <c r="B27" s="25" t="n"/>
      <c r="C27" s="3" t="n">
        <v>11690000</v>
      </c>
      <c r="D27" s="25" t="n">
        <v>11490000</v>
      </c>
      <c r="E27" s="40" t="n">
        <v>11177000</v>
      </c>
      <c r="F27" s="39" t="n">
        <v>10890000</v>
      </c>
      <c r="G27" s="3" t="n">
        <v>10890000</v>
      </c>
    </row>
    <row r="28">
      <c r="A28" t="inlineStr">
        <is>
          <t>AW S10 (46mm CEL)</t>
        </is>
      </c>
      <c r="B28" s="3" t="n"/>
      <c r="C28" s="3" t="n">
        <v>14290000</v>
      </c>
      <c r="D28" s="25" t="n">
        <v>13990000</v>
      </c>
      <c r="E28" s="40" t="n">
        <v>13256000</v>
      </c>
      <c r="F28" s="34" t="n">
        <v>13690000</v>
      </c>
      <c r="G28" s="34" t="n">
        <v>13590000</v>
      </c>
    </row>
    <row r="29">
      <c r="A29" t="inlineStr">
        <is>
          <t>AW Ultra 2 (49mm)</t>
        </is>
      </c>
      <c r="B29" s="25" t="n"/>
      <c r="C29" s="25" t="n">
        <v>22490000</v>
      </c>
      <c r="D29" s="25" t="n">
        <v>22990000</v>
      </c>
      <c r="E29" s="40" t="n">
        <v>21590000</v>
      </c>
      <c r="F29" s="40" t="n">
        <v>21990000</v>
      </c>
      <c r="G29" s="4" t="n">
        <v>22990000</v>
      </c>
    </row>
    <row r="30">
      <c r="A30" t="inlineStr">
        <is>
          <t>AirPods Pro 2 - 2023 (C-Type)</t>
        </is>
      </c>
      <c r="B30" s="3" t="n"/>
      <c r="C30" s="3" t="n">
        <v>5590000</v>
      </c>
      <c r="D30" s="39" t="n">
        <v>5390000</v>
      </c>
      <c r="E30" s="34" t="n">
        <v>5336000</v>
      </c>
      <c r="F30" s="40" t="n">
        <v>5590000</v>
      </c>
      <c r="G30" s="4" t="n">
        <v>5590000</v>
      </c>
    </row>
    <row r="31">
      <c r="A31" t="inlineStr">
        <is>
          <t>AirPods 4 ANC</t>
        </is>
      </c>
      <c r="B31" s="3" t="n"/>
      <c r="C31" s="25" t="n">
        <v>4490000</v>
      </c>
      <c r="D31" s="40" t="n">
        <v>4290000</v>
      </c>
      <c r="E31" s="34" t="n">
        <v>4247000</v>
      </c>
      <c r="F31" s="40" t="n">
        <v>4590000</v>
      </c>
      <c r="G31" s="4" t="n">
        <v>4290000</v>
      </c>
    </row>
    <row r="32">
      <c r="A32" t="inlineStr">
        <is>
          <t>AirPods 4 with charging case</t>
        </is>
      </c>
      <c r="B32" s="3" t="n"/>
      <c r="C32" s="3" t="n">
        <v>3290000</v>
      </c>
      <c r="D32" s="40" t="n">
        <v>3090000</v>
      </c>
      <c r="E32" s="34" t="n">
        <v>2960000</v>
      </c>
      <c r="F32" s="40" t="n">
        <v>3390000</v>
      </c>
      <c r="G32" s="4" t="n">
        <v>3390000</v>
      </c>
    </row>
    <row r="33">
      <c r="A33" t="inlineStr">
        <is>
          <t>MacBook Air 13" M1 8/256Gb</t>
        </is>
      </c>
      <c r="B33" s="3" t="n"/>
      <c r="C33" s="25" t="n">
        <v>17490000</v>
      </c>
      <c r="D33" s="34" t="n">
        <v>16990000</v>
      </c>
      <c r="E33" s="37" t="n"/>
      <c r="F33" s="34" t="n">
        <v>17490000</v>
      </c>
      <c r="G33" s="34" t="n">
        <v>16690000</v>
      </c>
    </row>
    <row r="34">
      <c r="A34" t="inlineStr">
        <is>
          <t>MacBook Air 13" M2 16/256GB</t>
        </is>
      </c>
      <c r="B34" s="25" t="n"/>
      <c r="C34" s="3" t="n">
        <v>22990000</v>
      </c>
      <c r="D34" s="3" t="n">
        <v>22990000</v>
      </c>
      <c r="E34" s="37" t="n"/>
      <c r="F34" s="39" t="n">
        <v>22890000</v>
      </c>
      <c r="G34" s="34" t="n">
        <v>22790000</v>
      </c>
    </row>
    <row r="35">
      <c r="A35" t="inlineStr">
        <is>
          <t>MacBook Air 13" M3 16/256GB</t>
        </is>
      </c>
      <c r="B35" s="3" t="n"/>
      <c r="C35" s="42" t="n">
        <v>25490000</v>
      </c>
      <c r="D35" s="34" t="n">
        <v>25390000</v>
      </c>
      <c r="E35" s="37" t="n"/>
      <c r="F35" s="34" t="n">
        <v>25390000</v>
      </c>
      <c r="G35" s="4" t="n">
        <v>26690000</v>
      </c>
    </row>
    <row r="36">
      <c r="A36" t="inlineStr">
        <is>
          <t>MacBook Air 15" M3 16/256GB</t>
        </is>
      </c>
      <c r="B36" s="25" t="n"/>
      <c r="C36" s="42" t="n">
        <v>29090000</v>
      </c>
      <c r="D36" s="3" t="n">
        <v>29090000</v>
      </c>
      <c r="E36" s="37" t="n"/>
      <c r="F36" s="39" t="inlineStr">
        <is>
          <t>OOS</t>
        </is>
      </c>
      <c r="G36" s="4" t="n">
        <v>32490000</v>
      </c>
    </row>
    <row r="37">
      <c r="A37" t="inlineStr">
        <is>
          <t>MacBook Pro 14" M4 16/512GB</t>
        </is>
      </c>
      <c r="B37" s="25" t="n"/>
      <c r="C37" s="25" t="n">
        <v>39990000</v>
      </c>
      <c r="D37" s="25" t="n">
        <v>39990000</v>
      </c>
      <c r="E37" s="37" t="n"/>
      <c r="F37" s="40" t="n">
        <v>39590000</v>
      </c>
      <c r="G37" s="4" t="n">
        <v>39890000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0.xml><?xml version="1.0" encoding="utf-8"?>
<worksheet xmlns="http://schemas.openxmlformats.org/spreadsheetml/2006/main">
  <sheetPr>
    <outlinePr summaryBelow="1" summaryRight="1"/>
    <pageSetUpPr/>
  </sheetPr>
  <dimension ref="A1:L37"/>
  <sheetViews>
    <sheetView topLeftCell="A11" zoomScale="130" zoomScaleNormal="130" workbookViewId="0">
      <pane xSplit="2" topLeftCell="C1" activePane="topRight" state="frozen"/>
      <selection pane="topRight" activeCell="A11" sqref="A11"/>
      <selection activeCell="A11" sqref="A1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16590000</v>
      </c>
      <c r="D2" s="49" t="n">
        <v>16390000</v>
      </c>
      <c r="E2" s="34" t="n">
        <v>16127000</v>
      </c>
      <c r="F2" s="40" t="n">
        <v>16390000</v>
      </c>
      <c r="G2" s="40" t="n">
        <v>16190000</v>
      </c>
    </row>
    <row r="3">
      <c r="A3" t="inlineStr">
        <is>
          <t>iPhone 16  128GB</t>
        </is>
      </c>
      <c r="B3" s="25" t="n"/>
      <c r="C3" s="25" t="n">
        <v>19290000</v>
      </c>
      <c r="D3" s="43" t="n">
        <v>19290000</v>
      </c>
      <c r="E3" s="40" t="n">
        <v>18990000</v>
      </c>
      <c r="F3" s="38" t="n">
        <v>18890000</v>
      </c>
      <c r="G3" s="38" t="n">
        <v>18790000</v>
      </c>
    </row>
    <row r="4">
      <c r="A4" t="inlineStr">
        <is>
          <t>iPhone 16  Plus 128GB</t>
        </is>
      </c>
      <c r="B4" s="3" t="n"/>
      <c r="C4" s="25" t="n">
        <v>22690000</v>
      </c>
      <c r="D4" s="43" t="n">
        <v>22590000</v>
      </c>
      <c r="E4" s="40" t="n">
        <v>21990000</v>
      </c>
      <c r="F4" s="40" t="n">
        <v>22290000</v>
      </c>
      <c r="G4" s="38" t="n">
        <v>21990000</v>
      </c>
    </row>
    <row r="5">
      <c r="A5" t="inlineStr">
        <is>
          <t>iPhone 16 Pro  128GB</t>
        </is>
      </c>
      <c r="B5" s="25" t="n"/>
      <c r="C5" s="25" t="n">
        <v>25490000</v>
      </c>
      <c r="D5" s="43" t="n">
        <v>25490000</v>
      </c>
      <c r="E5" s="40" t="n">
        <v>24990000</v>
      </c>
      <c r="F5" s="40" t="n">
        <v>25090000</v>
      </c>
      <c r="G5" s="38" t="n">
        <v>24590000</v>
      </c>
    </row>
    <row r="6">
      <c r="A6" t="inlineStr">
        <is>
          <t>iPhone 16 Pro Max 256GB</t>
        </is>
      </c>
      <c r="B6" s="3" t="n"/>
      <c r="C6" s="3" t="n">
        <v>31190000</v>
      </c>
      <c r="D6" s="43" t="n">
        <v>30990000</v>
      </c>
      <c r="E6" s="40" t="n">
        <v>30490000</v>
      </c>
      <c r="F6" s="38" t="n">
        <v>30690000</v>
      </c>
      <c r="G6" s="38" t="n">
        <v>30190000</v>
      </c>
    </row>
    <row r="7">
      <c r="A7" t="inlineStr">
        <is>
          <t>iPhone 15  128GB</t>
        </is>
      </c>
      <c r="B7" s="25" t="n"/>
      <c r="C7" s="25" t="n">
        <v>15990000</v>
      </c>
      <c r="D7" s="43" t="n">
        <v>15990000</v>
      </c>
      <c r="E7" s="40" t="n">
        <v>15490000</v>
      </c>
      <c r="F7" s="38" t="n">
        <v>15790000</v>
      </c>
      <c r="G7" s="40" t="n">
        <v>15490000</v>
      </c>
    </row>
    <row r="8">
      <c r="A8" t="inlineStr">
        <is>
          <t>iPhone 15  Plus 128GB</t>
        </is>
      </c>
      <c r="B8" s="25" t="n"/>
      <c r="C8" s="25" t="n">
        <v>19790000</v>
      </c>
      <c r="D8" s="43" t="n">
        <v>19790000</v>
      </c>
      <c r="E8" s="40" t="n">
        <v>18990000</v>
      </c>
      <c r="F8" s="40" t="n">
        <v>19190000</v>
      </c>
      <c r="G8" s="40" t="n">
        <v>18490000</v>
      </c>
    </row>
    <row r="9">
      <c r="A9" t="inlineStr">
        <is>
          <t>iPhone 15 Pro Max 256GB</t>
        </is>
      </c>
      <c r="B9" s="3" t="n"/>
      <c r="C9" s="25" t="n">
        <v>29990000</v>
      </c>
      <c r="D9" s="3" t="n">
        <v>27990000</v>
      </c>
      <c r="E9" s="40" t="inlineStr">
        <is>
          <t>OOS</t>
        </is>
      </c>
      <c r="F9" s="38" t="n">
        <v>28690000</v>
      </c>
      <c r="G9" s="34" t="n">
        <v>27990000</v>
      </c>
    </row>
    <row r="10">
      <c r="A10" t="inlineStr">
        <is>
          <t>iPhone 14 Plus 128GB</t>
        </is>
      </c>
      <c r="B10" s="3" t="n"/>
      <c r="C10" s="43" t="inlineStr">
        <is>
          <t>OOS</t>
        </is>
      </c>
      <c r="D10" s="25" t="n">
        <v>18990000</v>
      </c>
      <c r="E10" s="40" t="n">
        <v>18990000</v>
      </c>
      <c r="F10" s="39" t="n">
        <v>17990000</v>
      </c>
      <c r="G10" s="40" t="n">
        <v>17490000</v>
      </c>
    </row>
    <row r="11">
      <c r="A11" t="inlineStr">
        <is>
          <t>iPhone 14 128GB</t>
        </is>
      </c>
      <c r="B11" s="25" t="n"/>
      <c r="C11" s="25" t="n">
        <v>12990000</v>
      </c>
      <c r="D11" s="40" t="n">
        <v>12990000</v>
      </c>
      <c r="E11" s="40" t="n">
        <v>12990000</v>
      </c>
      <c r="F11" s="39" t="n">
        <v>12990000</v>
      </c>
      <c r="G11" s="4" t="n">
        <v>12990000</v>
      </c>
    </row>
    <row r="12">
      <c r="A12" t="inlineStr">
        <is>
          <t>iPhone 13  128GB</t>
        </is>
      </c>
      <c r="B12" s="3" t="n"/>
      <c r="C12" s="25" t="n">
        <v>11990000</v>
      </c>
      <c r="D12" s="39" t="n">
        <v>11990000</v>
      </c>
      <c r="E12" s="34" t="n">
        <v>11672000</v>
      </c>
      <c r="F12" s="39" t="n">
        <v>11590000</v>
      </c>
      <c r="G12" s="4" t="n">
        <v>11590000</v>
      </c>
    </row>
    <row r="13">
      <c r="A13" t="inlineStr">
        <is>
          <t>iPhone 12 64GB</t>
        </is>
      </c>
      <c r="B13" s="25" t="n"/>
      <c r="C13" s="25" t="n">
        <v>10590000</v>
      </c>
      <c r="D13" s="25" t="inlineStr">
        <is>
          <t>OOS</t>
        </is>
      </c>
      <c r="E13" s="40" t="n">
        <v>9990000</v>
      </c>
      <c r="F13" s="25" t="inlineStr">
        <is>
          <t>OOS</t>
        </is>
      </c>
      <c r="G13" s="4" t="inlineStr">
        <is>
          <t>OOS</t>
        </is>
      </c>
    </row>
    <row r="14">
      <c r="A14" t="inlineStr">
        <is>
          <t>iPad Mini 7 128GB Wifi</t>
        </is>
      </c>
      <c r="B14" s="25" t="n"/>
      <c r="C14" s="43" t="n">
        <v>13990000</v>
      </c>
      <c r="D14" s="25" t="n">
        <v>13890000</v>
      </c>
      <c r="E14" s="40" t="n">
        <v>13790000</v>
      </c>
      <c r="F14" s="39" t="n">
        <v>13990000</v>
      </c>
      <c r="G14" s="4" t="n">
        <v>13690000</v>
      </c>
    </row>
    <row r="15">
      <c r="A15" t="inlineStr">
        <is>
          <t>iPad Gen 10th 64GB Wifi</t>
        </is>
      </c>
      <c r="B15" s="25" t="n"/>
      <c r="C15" s="25" t="n">
        <v>8690000</v>
      </c>
      <c r="D15" s="3" t="n">
        <v>8590000</v>
      </c>
      <c r="E15" s="38" t="n">
        <v>8603000</v>
      </c>
      <c r="F15" s="39" t="n">
        <v>8690000</v>
      </c>
      <c r="G15" s="34" t="n">
        <v>8290000</v>
      </c>
    </row>
    <row r="16">
      <c r="A16" t="inlineStr">
        <is>
          <t>iPad Gen 9th  64GB Wifi</t>
        </is>
      </c>
      <c r="B16" s="3" t="n"/>
      <c r="C16" s="43" t="inlineStr">
        <is>
          <t>OOS</t>
        </is>
      </c>
      <c r="D16" s="25" t="n">
        <v>6990000</v>
      </c>
      <c r="E16" s="34" t="n">
        <v>7990000</v>
      </c>
      <c r="F16" s="39" t="n">
        <v>6590000</v>
      </c>
      <c r="G16" s="4" t="n">
        <v>6790000</v>
      </c>
      <c r="J16" t="inlineStr">
        <is>
          <t xml:space="preserve">MW </t>
        </is>
      </c>
      <c r="K16" t="inlineStr">
        <is>
          <t>Duy</t>
        </is>
      </c>
      <c r="L16" t="b">
        <v>1</v>
      </c>
    </row>
    <row r="17">
      <c r="A17" t="inlineStr">
        <is>
          <t>iPad Air M2  11" 128 GB Wifi</t>
        </is>
      </c>
      <c r="B17" s="3" t="n"/>
      <c r="C17" s="25" t="n">
        <v>16490000</v>
      </c>
      <c r="D17" s="3" t="n">
        <v>16790000</v>
      </c>
      <c r="E17" s="40" t="n">
        <v>15534000</v>
      </c>
      <c r="F17" s="39" t="n">
        <v>16690000</v>
      </c>
      <c r="G17" s="34" t="n">
        <v>16290000</v>
      </c>
      <c r="J17" t="inlineStr">
        <is>
          <t>FPT</t>
        </is>
      </c>
      <c r="K17" t="inlineStr">
        <is>
          <t>Việt</t>
        </is>
      </c>
      <c r="L17" t="b">
        <v>1</v>
      </c>
    </row>
    <row r="18">
      <c r="A18" t="inlineStr">
        <is>
          <t>iPad Air M2  13" 128 GB Wifi</t>
        </is>
      </c>
      <c r="B18" s="25" t="n"/>
      <c r="C18" s="25" t="n">
        <v>20490000</v>
      </c>
      <c r="D18" s="25" t="n">
        <v>20490000</v>
      </c>
      <c r="E18" s="40" t="n">
        <v>20290000</v>
      </c>
      <c r="F18" s="34" t="n">
        <v>19990000</v>
      </c>
      <c r="G18" s="34" t="n">
        <v>19990000</v>
      </c>
      <c r="J18" t="inlineStr">
        <is>
          <t>Viettel</t>
        </is>
      </c>
      <c r="K18" t="inlineStr">
        <is>
          <t>Nghĩa</t>
        </is>
      </c>
      <c r="L18" t="b">
        <v>1</v>
      </c>
    </row>
    <row r="19">
      <c r="A19" t="inlineStr">
        <is>
          <t>iPad Pro  M4  11" 256 GB Wifi</t>
        </is>
      </c>
      <c r="B19" s="25" t="n"/>
      <c r="C19" s="25" t="n">
        <v>27890000</v>
      </c>
      <c r="D19" s="25" t="n">
        <v>27890000</v>
      </c>
      <c r="E19" s="34" t="n">
        <v>27190000</v>
      </c>
      <c r="F19" s="39" t="n">
        <v>27990000</v>
      </c>
      <c r="G19" s="34" t="n">
        <v>27290000</v>
      </c>
      <c r="J19" t="inlineStr">
        <is>
          <t>CPS</t>
        </is>
      </c>
      <c r="K19" t="inlineStr">
        <is>
          <t>Trang</t>
        </is>
      </c>
      <c r="L19" t="b">
        <v>1</v>
      </c>
    </row>
    <row r="20">
      <c r="A20" t="inlineStr">
        <is>
          <t>iPad Pro  M4  13" 256 GB Wifi</t>
        </is>
      </c>
      <c r="B20" s="3" t="n"/>
      <c r="C20" s="25" t="n">
        <v>36690000</v>
      </c>
      <c r="D20" s="25" t="n">
        <v>36690000</v>
      </c>
      <c r="E20" s="40" t="n">
        <v>35990000</v>
      </c>
      <c r="F20" s="39" t="n">
        <v>36990000</v>
      </c>
      <c r="G20" s="34" t="n">
        <v>36090000</v>
      </c>
      <c r="J20" t="inlineStr">
        <is>
          <t>ShopDunk</t>
        </is>
      </c>
      <c r="K20" t="inlineStr">
        <is>
          <t>Đạt</t>
        </is>
      </c>
      <c r="L20" t="b">
        <v>1</v>
      </c>
    </row>
    <row r="21">
      <c r="A21" t="inlineStr">
        <is>
          <t>AW SE 2 (40mm GPS)</t>
        </is>
      </c>
      <c r="B21" s="25" t="n"/>
      <c r="C21" s="3" t="n">
        <v>5890000</v>
      </c>
      <c r="D21" s="25" t="n">
        <v>5890000</v>
      </c>
      <c r="E21" s="40" t="n">
        <v>5336000</v>
      </c>
      <c r="F21" s="34" t="n">
        <v>5790000</v>
      </c>
      <c r="G21" s="4" t="n">
        <v>5590000</v>
      </c>
    </row>
    <row r="22">
      <c r="A22" t="inlineStr">
        <is>
          <t>AW SE 2 (40mm LTE)</t>
        </is>
      </c>
      <c r="B22" s="25" t="n"/>
      <c r="C22" s="3" t="n">
        <v>7090000</v>
      </c>
      <c r="D22" s="3" t="n">
        <v>7090000</v>
      </c>
      <c r="E22" s="34" t="n">
        <v>6722000</v>
      </c>
      <c r="F22" s="39" t="n">
        <v>6990000</v>
      </c>
      <c r="G22" s="3" t="n">
        <v>6790000</v>
      </c>
    </row>
    <row r="23">
      <c r="A23" t="inlineStr">
        <is>
          <t>AW SE 2 (44mm GPS)</t>
        </is>
      </c>
      <c r="B23" s="25" t="n"/>
      <c r="C23" s="3" t="n">
        <v>6590000</v>
      </c>
      <c r="D23" s="3" t="n">
        <v>6590000</v>
      </c>
      <c r="E23" s="34" t="n">
        <v>5930000</v>
      </c>
      <c r="F23" s="39" t="n">
        <v>6590000</v>
      </c>
      <c r="G23" s="3" t="n">
        <v>6790000</v>
      </c>
    </row>
    <row r="24">
      <c r="A24" t="inlineStr">
        <is>
          <t>AW SE 2 (44mm LTE)</t>
        </is>
      </c>
      <c r="B24" s="25" t="n"/>
      <c r="C24" s="25" t="n">
        <v>7990000</v>
      </c>
      <c r="D24" s="25" t="n">
        <v>7890000</v>
      </c>
      <c r="E24" s="40" t="n">
        <v>7415000</v>
      </c>
      <c r="F24" s="39" t="n">
        <v>7770000</v>
      </c>
      <c r="G24" s="34" t="n">
        <v>7690000</v>
      </c>
    </row>
    <row r="25">
      <c r="A25" t="inlineStr">
        <is>
          <t>AW S10 (42mm GPS)</t>
        </is>
      </c>
      <c r="B25" s="25" t="n"/>
      <c r="C25" s="3" t="n">
        <v>10690000</v>
      </c>
      <c r="D25" s="3" t="n">
        <v>10490000</v>
      </c>
      <c r="E25" s="34" t="n">
        <v>10187000</v>
      </c>
      <c r="F25" s="34" t="n">
        <v>10590000</v>
      </c>
      <c r="G25" s="3" t="n">
        <v>10090000</v>
      </c>
    </row>
    <row r="26">
      <c r="A26" t="inlineStr">
        <is>
          <t>AW S10 (42mm CEL)</t>
        </is>
      </c>
      <c r="B26" s="25" t="n"/>
      <c r="C26" s="3" t="n">
        <v>12790000</v>
      </c>
      <c r="D26" s="3" t="n">
        <v>12690000</v>
      </c>
      <c r="E26" s="34" t="n">
        <v>12731000</v>
      </c>
      <c r="F26" s="34" t="n">
        <v>12690000</v>
      </c>
      <c r="G26" s="4" t="n">
        <v>12690000</v>
      </c>
    </row>
    <row r="27">
      <c r="A27" t="inlineStr">
        <is>
          <t>AW S10 (46mm GPS)</t>
        </is>
      </c>
      <c r="B27" s="25" t="n"/>
      <c r="C27" s="3" t="n">
        <v>11590000</v>
      </c>
      <c r="D27" s="3" t="n">
        <v>11190000</v>
      </c>
      <c r="E27" s="34" t="n">
        <v>10880000</v>
      </c>
      <c r="F27" s="39" t="n">
        <v>10890000</v>
      </c>
      <c r="G27" s="4" t="n">
        <v>10890000</v>
      </c>
    </row>
    <row r="28">
      <c r="A28" t="inlineStr">
        <is>
          <t>AW S10 (46mm CEL)</t>
        </is>
      </c>
      <c r="B28" s="3" t="n"/>
      <c r="C28" s="3" t="n">
        <v>14090000</v>
      </c>
      <c r="D28" s="3" t="n">
        <v>13690000</v>
      </c>
      <c r="E28" s="34" t="n">
        <v>13553000</v>
      </c>
      <c r="F28" s="34" t="n">
        <v>13690000</v>
      </c>
      <c r="G28" s="4" t="n">
        <v>13590000</v>
      </c>
    </row>
    <row r="29">
      <c r="A29" t="inlineStr">
        <is>
          <t>AW Ultra 2 (49mm)</t>
        </is>
      </c>
      <c r="B29" s="25" t="n"/>
      <c r="C29" s="25" t="n">
        <v>22490000</v>
      </c>
      <c r="D29" s="25" t="n">
        <v>22990000</v>
      </c>
      <c r="E29" s="34" t="n">
        <v>21790000</v>
      </c>
      <c r="F29" s="40" t="n">
        <v>21990000</v>
      </c>
      <c r="G29" s="4" t="n">
        <v>22990000</v>
      </c>
    </row>
    <row r="30">
      <c r="A30" t="inlineStr">
        <is>
          <t>AirPods Pro 2 - 2023 (C-Type)</t>
        </is>
      </c>
      <c r="B30" s="3" t="n"/>
      <c r="C30" s="3" t="n">
        <v>5790000</v>
      </c>
      <c r="D30" s="34" t="n">
        <v>5590000</v>
      </c>
      <c r="E30" s="34" t="n">
        <v>5690000</v>
      </c>
      <c r="F30" s="40" t="n">
        <v>5590000</v>
      </c>
      <c r="G30" s="4" t="n">
        <v>5590000</v>
      </c>
    </row>
    <row r="31">
      <c r="A31" t="inlineStr">
        <is>
          <t>AirPods 4 ANC</t>
        </is>
      </c>
      <c r="B31" s="3" t="n"/>
      <c r="C31" s="3" t="n">
        <v>4690000</v>
      </c>
      <c r="D31" s="38" t="n">
        <v>4390000</v>
      </c>
      <c r="E31" s="34" t="n">
        <v>4490000</v>
      </c>
      <c r="F31" s="40" t="n">
        <v>4590000</v>
      </c>
      <c r="G31" s="34" t="n">
        <v>4490000</v>
      </c>
    </row>
    <row r="32">
      <c r="A32" t="inlineStr">
        <is>
          <t>AirPods 4 with charging case</t>
        </is>
      </c>
      <c r="B32" s="3" t="n"/>
      <c r="C32" s="3" t="n">
        <v>3390000</v>
      </c>
      <c r="D32" s="38" t="n">
        <v>3190000</v>
      </c>
      <c r="E32" s="34" t="n">
        <v>3190000</v>
      </c>
      <c r="F32" s="40" t="n">
        <v>3390000</v>
      </c>
      <c r="G32" s="34" t="n">
        <v>3190000</v>
      </c>
    </row>
    <row r="33">
      <c r="A33" t="inlineStr">
        <is>
          <t>MacBook Air 13" M1 8/256Gb</t>
        </is>
      </c>
      <c r="B33" s="3" t="n"/>
      <c r="C33" s="3" t="n">
        <v>17690000</v>
      </c>
      <c r="D33" s="34" t="n">
        <v>17490000</v>
      </c>
      <c r="E33" s="37" t="n"/>
      <c r="F33" s="34" t="n">
        <v>17690000</v>
      </c>
      <c r="G33" s="4" t="n">
        <v>16690000</v>
      </c>
    </row>
    <row r="34">
      <c r="A34" t="inlineStr">
        <is>
          <t>MacBook Air 13" M2 16/256GB</t>
        </is>
      </c>
      <c r="B34" s="25" t="n"/>
      <c r="C34" s="3" t="n">
        <v>22090000</v>
      </c>
      <c r="D34" s="3" t="n">
        <v>21990000</v>
      </c>
      <c r="E34" s="37" t="n"/>
      <c r="F34" s="34" t="n">
        <v>21990000</v>
      </c>
      <c r="G34" s="34" t="n">
        <v>21990000</v>
      </c>
    </row>
    <row r="35">
      <c r="A35" t="inlineStr">
        <is>
          <t>MacBook Air 13" M3 16/256GB</t>
        </is>
      </c>
      <c r="B35" s="3" t="n"/>
      <c r="C35" s="43" t="n">
        <v>25490000</v>
      </c>
      <c r="D35" s="39" t="n">
        <v>25390000</v>
      </c>
      <c r="E35" s="37" t="n"/>
      <c r="F35" s="34" t="n">
        <v>24990000</v>
      </c>
      <c r="G35" s="34" t="n">
        <v>25890000</v>
      </c>
    </row>
    <row r="36">
      <c r="A36" t="inlineStr">
        <is>
          <t>MacBook Air 15" M4 16/256GB</t>
        </is>
      </c>
      <c r="B36" s="25" t="n"/>
      <c r="C36" s="43" t="n">
        <v>29090000</v>
      </c>
      <c r="D36" s="3" t="inlineStr">
        <is>
          <t>OOS</t>
        </is>
      </c>
      <c r="E36" s="37" t="n"/>
      <c r="F36" s="39" t="inlineStr">
        <is>
          <t>OOS</t>
        </is>
      </c>
      <c r="G36" s="4" t="n">
        <v>31990000</v>
      </c>
    </row>
    <row r="37">
      <c r="A37" t="inlineStr">
        <is>
          <t>MacBook Pro 14" M4 16/512GB</t>
        </is>
      </c>
      <c r="B37" s="25" t="n"/>
      <c r="C37" s="25" t="n">
        <v>39990000</v>
      </c>
      <c r="D37" s="25" t="n">
        <v>39990000</v>
      </c>
      <c r="E37" s="37" t="n"/>
      <c r="F37" s="40" t="n">
        <v>39590000</v>
      </c>
      <c r="G37"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1.xml><?xml version="1.0" encoding="utf-8"?>
<worksheet xmlns="http://schemas.openxmlformats.org/spreadsheetml/2006/main">
  <sheetPr>
    <outlinePr summaryBelow="1" summaryRight="1"/>
    <pageSetUpPr/>
  </sheetPr>
  <dimension ref="A1:L37"/>
  <sheetViews>
    <sheetView zoomScale="130" zoomScaleNormal="130" workbookViewId="0">
      <pane xSplit="2" topLeftCell="C1" activePane="topRight" state="frozen"/>
      <selection pane="topRight" activeCell="E21" sqref="E2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16590000</v>
      </c>
      <c r="D2" s="48" t="n">
        <v>16390000</v>
      </c>
      <c r="E2" s="40" t="n">
        <v>16127000</v>
      </c>
      <c r="F2" s="40" t="n">
        <v>16290000</v>
      </c>
      <c r="G2" s="38" t="n">
        <v>16290000</v>
      </c>
    </row>
    <row r="3">
      <c r="A3" t="inlineStr">
        <is>
          <t>iPhone 16  128GB</t>
        </is>
      </c>
      <c r="B3" s="25" t="n"/>
      <c r="C3" s="25" t="n">
        <v>19290000</v>
      </c>
      <c r="D3" s="43" t="n">
        <v>19290000</v>
      </c>
      <c r="E3" s="40" t="n">
        <v>18990000</v>
      </c>
      <c r="F3" s="38" t="n">
        <v>18890000</v>
      </c>
      <c r="G3" s="40" t="n">
        <v>18790000</v>
      </c>
    </row>
    <row r="4">
      <c r="A4" t="inlineStr">
        <is>
          <t>iPhone 16  Plus 128GB</t>
        </is>
      </c>
      <c r="B4" s="3" t="n"/>
      <c r="C4" s="3" t="n">
        <v>22590000</v>
      </c>
      <c r="D4" s="42" t="n">
        <v>22490000</v>
      </c>
      <c r="E4" s="40" t="n">
        <v>21990000</v>
      </c>
      <c r="F4" s="40" t="n">
        <v>22190000</v>
      </c>
      <c r="G4" s="40" t="n">
        <v>21990000</v>
      </c>
    </row>
    <row r="5">
      <c r="A5" t="inlineStr">
        <is>
          <t>iPhone 16 Pro  128GB</t>
        </is>
      </c>
      <c r="B5" s="25" t="n"/>
      <c r="C5" s="25" t="n">
        <v>25490000</v>
      </c>
      <c r="D5" s="43" t="n">
        <v>25490000</v>
      </c>
      <c r="E5" s="34" t="n">
        <v>24690000</v>
      </c>
      <c r="F5" s="40" t="n">
        <v>25090000</v>
      </c>
      <c r="G5" s="40" t="n">
        <v>24590000</v>
      </c>
    </row>
    <row r="6">
      <c r="A6" t="inlineStr">
        <is>
          <t>iPhone 16 Pro Max 256GB</t>
        </is>
      </c>
      <c r="B6" s="3" t="n"/>
      <c r="C6" s="25" t="n">
        <v>31190000</v>
      </c>
      <c r="D6" s="43" t="n">
        <v>30990000</v>
      </c>
      <c r="E6" s="34" t="n">
        <v>30190000</v>
      </c>
      <c r="F6" s="40" t="n">
        <v>30690000</v>
      </c>
      <c r="G6" s="40" t="n">
        <v>30190000</v>
      </c>
    </row>
    <row r="7">
      <c r="A7" t="inlineStr">
        <is>
          <t>iPhone 15  128GB</t>
        </is>
      </c>
      <c r="B7" s="25" t="n"/>
      <c r="C7" s="25" t="n">
        <v>15990000</v>
      </c>
      <c r="D7" s="43" t="n">
        <v>15990000</v>
      </c>
      <c r="E7" s="40" t="n">
        <v>15490000</v>
      </c>
      <c r="F7" s="40" t="n">
        <v>15790000</v>
      </c>
      <c r="G7" s="40" t="n">
        <v>15490000</v>
      </c>
    </row>
    <row r="8">
      <c r="A8" t="inlineStr">
        <is>
          <t>iPhone 15  Plus 128GB</t>
        </is>
      </c>
      <c r="B8" s="25" t="n"/>
      <c r="C8" s="3" t="n">
        <v>19690000</v>
      </c>
      <c r="D8" s="42" t="n">
        <v>19590000</v>
      </c>
      <c r="E8" s="40" t="n">
        <v>18990000</v>
      </c>
      <c r="F8" s="40" t="n">
        <v>19190000</v>
      </c>
      <c r="G8" s="40" t="n">
        <v>18490000</v>
      </c>
    </row>
    <row r="9">
      <c r="A9" t="inlineStr">
        <is>
          <t>iPhone 15 Pro Max 256GB</t>
        </is>
      </c>
      <c r="B9" s="3" t="n"/>
      <c r="C9" s="25" t="n">
        <v>29990000</v>
      </c>
      <c r="D9" s="3" t="n">
        <v>28490000</v>
      </c>
      <c r="E9" s="40" t="inlineStr">
        <is>
          <t>OOS</t>
        </is>
      </c>
      <c r="F9" s="38" t="n">
        <v>28590000</v>
      </c>
      <c r="G9" s="40" t="n">
        <v>27990000</v>
      </c>
    </row>
    <row r="10">
      <c r="A10" t="inlineStr">
        <is>
          <t>iPhone 14 Plus 128GB</t>
        </is>
      </c>
      <c r="B10" s="3" t="n"/>
      <c r="C10" s="43" t="inlineStr">
        <is>
          <t>OOS</t>
        </is>
      </c>
      <c r="D10" s="25" t="n">
        <v>18990000</v>
      </c>
      <c r="E10" s="40" t="n">
        <v>18990000</v>
      </c>
      <c r="F10" s="39" t="n">
        <v>17990000</v>
      </c>
      <c r="G10" s="40" t="n">
        <v>17490000</v>
      </c>
    </row>
    <row r="11">
      <c r="A11" t="inlineStr">
        <is>
          <t>iPhone 14 128GB</t>
        </is>
      </c>
      <c r="B11" s="25" t="n"/>
      <c r="C11" s="3" t="n">
        <v>13090000</v>
      </c>
      <c r="D11" s="40" t="n">
        <v>12990000</v>
      </c>
      <c r="E11" s="40" t="n">
        <v>12990000</v>
      </c>
      <c r="F11" s="39" t="n">
        <v>12890000</v>
      </c>
      <c r="G11" s="4" t="n">
        <v>12990000</v>
      </c>
    </row>
    <row r="12">
      <c r="A12" t="inlineStr">
        <is>
          <t>iPhone 13  128GB</t>
        </is>
      </c>
      <c r="B12" s="3" t="n"/>
      <c r="C12" s="25" t="n">
        <v>11990000</v>
      </c>
      <c r="D12" s="39" t="n">
        <v>11990000</v>
      </c>
      <c r="E12" s="40" t="n">
        <v>11672000</v>
      </c>
      <c r="F12" s="39" t="n">
        <v>11590000</v>
      </c>
      <c r="G12" s="4" t="n">
        <v>11590000</v>
      </c>
    </row>
    <row r="13">
      <c r="A13" t="inlineStr">
        <is>
          <t>iPhone 12 64GB</t>
        </is>
      </c>
      <c r="B13" s="25" t="n"/>
      <c r="C13" s="25" t="n">
        <v>10590000</v>
      </c>
      <c r="D13" s="25" t="inlineStr">
        <is>
          <t>OOS</t>
        </is>
      </c>
      <c r="E13" s="40" t="n">
        <v>9990000</v>
      </c>
      <c r="F13" s="25" t="inlineStr">
        <is>
          <t>OOS</t>
        </is>
      </c>
      <c r="G13" s="4" t="inlineStr">
        <is>
          <t>OOS</t>
        </is>
      </c>
    </row>
    <row r="14">
      <c r="A14" t="inlineStr">
        <is>
          <t>iPad Mini 7 128GB Wifi</t>
        </is>
      </c>
      <c r="B14" s="25" t="n"/>
      <c r="C14" s="43" t="n">
        <v>13990000</v>
      </c>
      <c r="D14" s="25" t="n">
        <v>13890000</v>
      </c>
      <c r="E14" s="40" t="n">
        <v>13790000</v>
      </c>
      <c r="F14" s="39" t="n">
        <v>13990000</v>
      </c>
      <c r="G14" s="4" t="n">
        <v>13690000</v>
      </c>
    </row>
    <row r="15">
      <c r="A15" t="inlineStr">
        <is>
          <t>iPad Gen 10th 64GB Wifi</t>
        </is>
      </c>
      <c r="B15" s="25" t="n"/>
      <c r="C15" s="3" t="n">
        <v>8590000</v>
      </c>
      <c r="D15" s="3" t="n">
        <v>8790000</v>
      </c>
      <c r="E15" s="40" t="n">
        <v>8603000</v>
      </c>
      <c r="F15" s="39" t="n">
        <v>8690000</v>
      </c>
      <c r="G15" s="34" t="n">
        <v>8290000</v>
      </c>
    </row>
    <row r="16">
      <c r="A16" t="inlineStr">
        <is>
          <t>iPad Gen 9th  128GB Wifi</t>
        </is>
      </c>
      <c r="B16" s="3" t="n"/>
      <c r="C16" s="43" t="inlineStr">
        <is>
          <t>OOS</t>
        </is>
      </c>
      <c r="D16" s="25" t="n">
        <v>6990000</v>
      </c>
      <c r="E16" s="40" t="n">
        <v>7990000</v>
      </c>
      <c r="F16" s="39" t="n">
        <v>6590000</v>
      </c>
      <c r="G16" s="4" t="n">
        <v>6790000</v>
      </c>
      <c r="J16" t="inlineStr">
        <is>
          <t xml:space="preserve">MW </t>
        </is>
      </c>
      <c r="K16" t="inlineStr">
        <is>
          <t>Duy</t>
        </is>
      </c>
      <c r="L16" t="b">
        <v>1</v>
      </c>
    </row>
    <row r="17">
      <c r="A17" t="inlineStr">
        <is>
          <t>iPad Air M3  11" 128 GB Wifi</t>
        </is>
      </c>
      <c r="B17" s="3" t="n"/>
      <c r="C17" s="3" t="n">
        <v>16990000</v>
      </c>
      <c r="D17" s="25" t="n">
        <v>16690000</v>
      </c>
      <c r="E17" s="40" t="inlineStr">
        <is>
          <t>OOS</t>
        </is>
      </c>
      <c r="F17" s="39" t="n">
        <v>16990000</v>
      </c>
      <c r="G17" s="4" t="n">
        <v>16990000</v>
      </c>
      <c r="J17" t="inlineStr">
        <is>
          <t>FPT</t>
        </is>
      </c>
      <c r="K17" t="inlineStr">
        <is>
          <t>Việt</t>
        </is>
      </c>
      <c r="L17" t="b">
        <v>1</v>
      </c>
    </row>
    <row r="18">
      <c r="A18" t="inlineStr">
        <is>
          <t>iPad Air M3  13" 128 GB Wifi</t>
        </is>
      </c>
      <c r="B18" s="25" t="n"/>
      <c r="C18" s="3" t="n">
        <v>20990000</v>
      </c>
      <c r="D18" s="25" t="n">
        <v>21990000</v>
      </c>
      <c r="E18" s="40" t="inlineStr">
        <is>
          <t>OOS</t>
        </is>
      </c>
      <c r="F18" s="39" t="inlineStr">
        <is>
          <t>22.490.000</t>
        </is>
      </c>
      <c r="G18" s="4" t="inlineStr">
        <is>
          <t>22.490.000</t>
        </is>
      </c>
      <c r="J18" t="inlineStr">
        <is>
          <t>Viettel</t>
        </is>
      </c>
      <c r="K18" t="inlineStr">
        <is>
          <t>Nghĩa</t>
        </is>
      </c>
      <c r="L18" t="b">
        <v>1</v>
      </c>
    </row>
    <row r="19">
      <c r="A19" t="inlineStr">
        <is>
          <t>iPad Pro  M4  11" 256 GB Wifi</t>
        </is>
      </c>
      <c r="B19" s="25" t="n"/>
      <c r="C19" s="3" t="n">
        <v>27990000</v>
      </c>
      <c r="D19" s="25" t="n">
        <v>27890000</v>
      </c>
      <c r="E19" s="40" t="n">
        <v>27190000</v>
      </c>
      <c r="F19" s="39" t="n">
        <v>27990000</v>
      </c>
      <c r="G19" s="4" t="n">
        <v>27290000</v>
      </c>
      <c r="J19" t="inlineStr">
        <is>
          <t>CPS</t>
        </is>
      </c>
      <c r="K19" t="inlineStr">
        <is>
          <t>Trang</t>
        </is>
      </c>
      <c r="L19" t="b">
        <v>1</v>
      </c>
    </row>
    <row r="20">
      <c r="A20" t="inlineStr">
        <is>
          <t>iPad Pro  M4  13" 256 GB Wifi</t>
        </is>
      </c>
      <c r="B20" s="3" t="n"/>
      <c r="C20" s="25" t="n">
        <v>36690000</v>
      </c>
      <c r="D20" s="25" t="n">
        <v>36690000</v>
      </c>
      <c r="E20" s="40" t="n">
        <v>35990000</v>
      </c>
      <c r="F20" s="39" t="n">
        <v>36990000</v>
      </c>
      <c r="G20" s="4" t="n">
        <v>36090000</v>
      </c>
      <c r="J20" t="inlineStr">
        <is>
          <t>ShopDunk</t>
        </is>
      </c>
      <c r="K20" t="inlineStr">
        <is>
          <t>Đạt</t>
        </is>
      </c>
      <c r="L20" t="b">
        <v>1</v>
      </c>
    </row>
    <row r="21">
      <c r="A21" t="inlineStr">
        <is>
          <t>AW SE 2 (40mm GPS)</t>
        </is>
      </c>
      <c r="B21" s="25" t="n"/>
      <c r="C21" s="25" t="n">
        <v>5890000</v>
      </c>
      <c r="D21" s="25" t="n">
        <v>5890000</v>
      </c>
      <c r="E21" s="34" t="n">
        <v>4490000</v>
      </c>
      <c r="F21" s="34" t="n">
        <v>5690000</v>
      </c>
      <c r="G21" s="34" t="n">
        <v>5690000</v>
      </c>
    </row>
    <row r="22">
      <c r="A22" t="inlineStr">
        <is>
          <t>AW SE 2 (40mm LTE)</t>
        </is>
      </c>
      <c r="B22" s="25" t="n"/>
      <c r="C22" s="25" t="n">
        <v>7090000</v>
      </c>
      <c r="D22" s="25" t="n">
        <v>7090000</v>
      </c>
      <c r="E22" s="40" t="n">
        <v>6722000</v>
      </c>
      <c r="F22" s="39" t="n">
        <v>6990000</v>
      </c>
      <c r="G22" s="4" t="n">
        <v>6790000</v>
      </c>
    </row>
    <row r="23">
      <c r="A23" t="inlineStr">
        <is>
          <t>AW SE 2 (44mm GPS)</t>
        </is>
      </c>
      <c r="B23" s="25" t="n"/>
      <c r="C23" s="25" t="n">
        <v>6590000</v>
      </c>
      <c r="D23" s="25" t="n">
        <v>6590000</v>
      </c>
      <c r="E23" s="34" t="n">
        <v>4990000</v>
      </c>
      <c r="F23" s="39" t="n">
        <v>6590000</v>
      </c>
      <c r="G23" s="34" t="n">
        <v>6590000</v>
      </c>
    </row>
    <row r="24">
      <c r="A24" t="inlineStr">
        <is>
          <t>AW SE 2 (44mm LTE)</t>
        </is>
      </c>
      <c r="B24" s="25" t="n"/>
      <c r="C24" s="25" t="n">
        <v>7990000</v>
      </c>
      <c r="D24" s="25" t="n">
        <v>7890000</v>
      </c>
      <c r="E24" s="40" t="n">
        <v>7415000</v>
      </c>
      <c r="F24" s="39" t="n">
        <v>7770000</v>
      </c>
      <c r="G24" s="34" t="n">
        <v>7770000</v>
      </c>
    </row>
    <row r="25">
      <c r="A25" t="inlineStr">
        <is>
          <t>AW S10 (42mm GPS)</t>
        </is>
      </c>
      <c r="B25" s="25" t="n"/>
      <c r="C25" s="3" t="n">
        <v>10290000</v>
      </c>
      <c r="D25" s="25" t="n">
        <v>10490000</v>
      </c>
      <c r="E25" s="40" t="n">
        <v>10187000</v>
      </c>
      <c r="F25" s="34" t="n">
        <v>10190000</v>
      </c>
      <c r="G25" s="3" t="n">
        <v>10190000</v>
      </c>
    </row>
    <row r="26">
      <c r="A26" t="inlineStr">
        <is>
          <t>AW S10 (42mm CEL)</t>
        </is>
      </c>
      <c r="B26" s="25" t="n"/>
      <c r="C26" s="3" t="n">
        <v>13390000</v>
      </c>
      <c r="D26" s="25" t="n">
        <v>12690000</v>
      </c>
      <c r="E26" s="34" t="n">
        <v>12860000</v>
      </c>
      <c r="F26" s="39" t="n">
        <v>12690000</v>
      </c>
      <c r="G26" s="4" t="n">
        <v>12690000</v>
      </c>
    </row>
    <row r="27">
      <c r="A27" t="inlineStr">
        <is>
          <t>AW S10 (46mm GPS)</t>
        </is>
      </c>
      <c r="B27" s="25" t="n"/>
      <c r="C27" s="25" t="n">
        <v>11590000</v>
      </c>
      <c r="D27" s="25" t="n">
        <v>11190000</v>
      </c>
      <c r="E27" s="40" t="n">
        <v>10880000</v>
      </c>
      <c r="F27" s="39" t="n">
        <v>10890000</v>
      </c>
      <c r="G27" s="4" t="n">
        <v>10890000</v>
      </c>
    </row>
    <row r="28">
      <c r="A28" t="inlineStr">
        <is>
          <t>AW S10 (46mm CEL)</t>
        </is>
      </c>
      <c r="B28" s="3" t="n"/>
      <c r="C28" s="25" t="n">
        <v>14090000</v>
      </c>
      <c r="D28" s="3" t="n">
        <v>13990000</v>
      </c>
      <c r="E28" s="40" t="n">
        <v>13553000</v>
      </c>
      <c r="F28" s="39" t="n">
        <v>13690000</v>
      </c>
      <c r="G28" s="4" t="n">
        <v>13590000</v>
      </c>
    </row>
    <row r="29">
      <c r="A29" t="inlineStr">
        <is>
          <t>AW Ultra 2 (49mm)</t>
        </is>
      </c>
      <c r="B29" s="25" t="n"/>
      <c r="C29" s="25" t="n">
        <v>22490000</v>
      </c>
      <c r="D29" s="25" t="n">
        <v>22990000</v>
      </c>
      <c r="E29" s="40" t="n">
        <v>21790000</v>
      </c>
      <c r="F29" s="40" t="n">
        <v>21990000</v>
      </c>
      <c r="G29" s="4" t="n">
        <v>22990000</v>
      </c>
    </row>
    <row r="30">
      <c r="A30" t="inlineStr">
        <is>
          <t>AirPods Pro 2 - 2023 (C-Type)</t>
        </is>
      </c>
      <c r="B30" s="3" t="n"/>
      <c r="C30" s="25" t="n">
        <v>5790000</v>
      </c>
      <c r="D30" s="34" t="n">
        <v>5690000</v>
      </c>
      <c r="E30" s="40" t="n">
        <v>5690000</v>
      </c>
      <c r="F30" s="40" t="n">
        <v>5590000</v>
      </c>
      <c r="G30" s="4" t="n">
        <v>5590000</v>
      </c>
    </row>
    <row r="31">
      <c r="A31" t="inlineStr">
        <is>
          <t>AirPods 4 ANC</t>
        </is>
      </c>
      <c r="B31" s="3" t="n"/>
      <c r="C31" s="25" t="n">
        <v>4690000</v>
      </c>
      <c r="D31" s="38" t="n">
        <v>4490000</v>
      </c>
      <c r="E31" s="40" t="n">
        <v>4490000</v>
      </c>
      <c r="F31" s="40" t="n">
        <v>4590000</v>
      </c>
      <c r="G31" s="4" t="n">
        <v>4490000</v>
      </c>
    </row>
    <row r="32">
      <c r="A32" t="inlineStr">
        <is>
          <t>AirPods 4 with charging case</t>
        </is>
      </c>
      <c r="B32" s="3" t="n"/>
      <c r="C32" s="25" t="n">
        <v>3390000</v>
      </c>
      <c r="D32" s="38" t="n">
        <v>3290000</v>
      </c>
      <c r="E32" s="40" t="n">
        <v>3190000</v>
      </c>
      <c r="F32" s="40" t="n">
        <v>3390000</v>
      </c>
      <c r="G32" s="34" t="n">
        <v>3290000</v>
      </c>
    </row>
    <row r="33">
      <c r="A33" t="inlineStr">
        <is>
          <t>MacBook Air 13" M1 8/256Gb</t>
        </is>
      </c>
      <c r="B33" s="3" t="n"/>
      <c r="C33" s="3" t="n">
        <v>17090000</v>
      </c>
      <c r="D33" s="39" t="n">
        <v>17490000</v>
      </c>
      <c r="E33" s="37" t="n"/>
      <c r="F33" s="39" t="n">
        <v>17690000</v>
      </c>
      <c r="G33" s="4" t="n">
        <v>16690000</v>
      </c>
    </row>
    <row r="34">
      <c r="A34" t="inlineStr">
        <is>
          <t>MacBook Air 13" M2 16/256GB</t>
        </is>
      </c>
      <c r="B34" s="25" t="n"/>
      <c r="C34" s="3" t="n">
        <v>21890000</v>
      </c>
      <c r="D34" s="3" t="n">
        <v>21890000</v>
      </c>
      <c r="E34" s="37" t="n"/>
      <c r="F34" s="34" t="n">
        <v>22090000</v>
      </c>
      <c r="G34" s="4" t="n">
        <v>21990000</v>
      </c>
    </row>
    <row r="35">
      <c r="A35" t="inlineStr">
        <is>
          <t>MacBook Air 13" M3 16/256GB</t>
        </is>
      </c>
      <c r="B35" s="3" t="n"/>
      <c r="C35" s="43" t="n">
        <v>25490000</v>
      </c>
      <c r="D35" s="39" t="n">
        <v>25390000</v>
      </c>
      <c r="E35" s="37" t="n"/>
      <c r="F35" s="39" t="n">
        <v>24990000</v>
      </c>
      <c r="G35" s="34" t="n">
        <v>25290000</v>
      </c>
    </row>
    <row r="36">
      <c r="A36" t="inlineStr">
        <is>
          <t>MacBook Air 15" M4 16/256GB</t>
        </is>
      </c>
      <c r="B36" s="25" t="n"/>
      <c r="C36" s="43" t="n">
        <v>29090000</v>
      </c>
      <c r="D36" s="3" t="inlineStr">
        <is>
          <t>OOS</t>
        </is>
      </c>
      <c r="E36" s="37" t="n"/>
      <c r="F36" s="39" t="inlineStr">
        <is>
          <t>OOS</t>
        </is>
      </c>
      <c r="G36" s="4" t="n">
        <v>31990000</v>
      </c>
    </row>
    <row r="37">
      <c r="A37" t="inlineStr">
        <is>
          <t>MacBook Pro 14" M4 16/512GB</t>
        </is>
      </c>
      <c r="B37" s="25" t="n"/>
      <c r="C37" s="25" t="n">
        <v>39990000</v>
      </c>
      <c r="D37" s="25" t="n">
        <v>39990000</v>
      </c>
      <c r="E37" s="37" t="n"/>
      <c r="F37" s="40" t="n">
        <v>39590000</v>
      </c>
      <c r="G37"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2.xml><?xml version="1.0" encoding="utf-8"?>
<worksheet xmlns="http://schemas.openxmlformats.org/spreadsheetml/2006/main">
  <sheetPr>
    <outlinePr summaryBelow="1" summaryRight="1"/>
    <pageSetUpPr/>
  </sheetPr>
  <dimension ref="A1:L38"/>
  <sheetViews>
    <sheetView zoomScale="120" zoomScaleNormal="120" workbookViewId="0">
      <pane xSplit="2" topLeftCell="C1" activePane="topRight" state="frozen"/>
      <selection pane="topRight" activeCell="J10" sqref="J10"/>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9" t="n">
        <v>16290000</v>
      </c>
      <c r="D2" s="49" t="n">
        <v>16290000</v>
      </c>
      <c r="E2" s="40" t="n">
        <v>16127000</v>
      </c>
      <c r="F2" s="40" t="n">
        <v>16190000</v>
      </c>
      <c r="G2" s="38" t="n">
        <v>16190000</v>
      </c>
    </row>
    <row r="3">
      <c r="A3" t="inlineStr">
        <is>
          <t>iPhone 16  128GB</t>
        </is>
      </c>
      <c r="B3" s="25" t="n"/>
      <c r="C3" s="25" t="n">
        <v>19290000</v>
      </c>
      <c r="D3" s="42" t="n">
        <v>19190000</v>
      </c>
      <c r="E3" s="40" t="n">
        <v>18990000</v>
      </c>
      <c r="F3" s="38" t="n">
        <v>19190000</v>
      </c>
      <c r="G3" s="40" t="n">
        <v>18790000</v>
      </c>
    </row>
    <row r="4">
      <c r="A4" t="inlineStr">
        <is>
          <t>iPhone 16  Plus 128GB</t>
        </is>
      </c>
      <c r="B4" s="3" t="n"/>
      <c r="C4" s="3" t="n">
        <v>22390000</v>
      </c>
      <c r="D4" s="42" t="n">
        <v>22390000</v>
      </c>
      <c r="E4" s="40" t="n">
        <v>21990000</v>
      </c>
      <c r="F4" s="40" t="n">
        <v>22290000</v>
      </c>
      <c r="G4" s="40" t="n">
        <v>21990000</v>
      </c>
    </row>
    <row r="5">
      <c r="A5" t="inlineStr">
        <is>
          <t>iPhone 16 Pro  128GB</t>
        </is>
      </c>
      <c r="B5" s="25" t="n"/>
      <c r="C5" s="3" t="n">
        <v>25390000</v>
      </c>
      <c r="D5" s="42" t="n">
        <v>25290000</v>
      </c>
      <c r="E5" s="40" t="n">
        <v>24690000</v>
      </c>
      <c r="F5" s="40" t="n">
        <v>25090000</v>
      </c>
      <c r="G5" s="40" t="n">
        <v>24590000</v>
      </c>
    </row>
    <row r="6">
      <c r="A6" t="inlineStr">
        <is>
          <t>iPhone 16 Pro Max 256GB</t>
        </is>
      </c>
      <c r="B6" s="3" t="n"/>
      <c r="C6" s="3" t="n">
        <v>31090000</v>
      </c>
      <c r="D6" s="43" t="n">
        <v>30990000</v>
      </c>
      <c r="E6" s="40" t="n">
        <v>30190000</v>
      </c>
      <c r="F6" s="38" t="n">
        <v>30990000</v>
      </c>
      <c r="G6" s="38" t="n">
        <v>30090000</v>
      </c>
    </row>
    <row r="7">
      <c r="A7" t="inlineStr">
        <is>
          <t>iPhone 15  128GB</t>
        </is>
      </c>
      <c r="B7" s="25" t="n"/>
      <c r="C7" s="25" t="n">
        <v>15990000</v>
      </c>
      <c r="D7" s="42" t="n">
        <v>15890000</v>
      </c>
      <c r="E7" s="40" t="n">
        <v>15490000</v>
      </c>
      <c r="F7" s="40" t="n">
        <v>15890000</v>
      </c>
      <c r="G7" s="40" t="n">
        <v>15490000</v>
      </c>
    </row>
    <row r="8">
      <c r="A8" t="inlineStr">
        <is>
          <t>iPhone 15  Plus 128GB</t>
        </is>
      </c>
      <c r="B8" s="25" t="n"/>
      <c r="C8" s="25" t="n">
        <v>19690000</v>
      </c>
      <c r="D8" s="42" t="n">
        <v>19490000</v>
      </c>
      <c r="E8" s="40" t="n">
        <v>18990000</v>
      </c>
      <c r="F8" s="38" t="n">
        <v>19490000</v>
      </c>
      <c r="G8" s="40" t="n">
        <v>18490000</v>
      </c>
    </row>
    <row r="9">
      <c r="A9" t="inlineStr">
        <is>
          <t>iPhone 15 Pro Max 256GB</t>
        </is>
      </c>
      <c r="B9" s="3" t="n"/>
      <c r="C9" s="3" t="n">
        <v>28590000</v>
      </c>
      <c r="D9" s="25" t="n">
        <v>28490000</v>
      </c>
      <c r="E9" s="40" t="inlineStr">
        <is>
          <t>OOS</t>
        </is>
      </c>
      <c r="F9" s="38" t="n">
        <v>27990000</v>
      </c>
      <c r="G9" s="40" t="n">
        <v>27990000</v>
      </c>
    </row>
    <row r="10">
      <c r="A10" t="inlineStr">
        <is>
          <t>iPhone 14 Plus 128GB</t>
        </is>
      </c>
      <c r="B10" s="3" t="n"/>
      <c r="C10" s="43" t="inlineStr">
        <is>
          <t>OOS</t>
        </is>
      </c>
      <c r="D10" s="3" t="n">
        <v>18490000</v>
      </c>
      <c r="E10" s="40" t="n">
        <v>18990000</v>
      </c>
      <c r="F10" s="39" t="n">
        <v>17990000</v>
      </c>
      <c r="G10" s="40" t="n">
        <v>17490000</v>
      </c>
    </row>
    <row r="11">
      <c r="A11" t="inlineStr">
        <is>
          <t>iPhone 14 128GB</t>
        </is>
      </c>
      <c r="B11" s="25" t="n"/>
      <c r="C11" s="3" t="n">
        <v>12990000</v>
      </c>
      <c r="D11" s="38" t="n">
        <v>12890000</v>
      </c>
      <c r="E11" s="40" t="n">
        <v>12990000</v>
      </c>
      <c r="F11" s="39" t="n">
        <v>12890000</v>
      </c>
      <c r="G11" s="34" t="n">
        <v>12690000</v>
      </c>
    </row>
    <row r="12">
      <c r="A12" t="inlineStr">
        <is>
          <t>iPhone 13  128GB</t>
        </is>
      </c>
      <c r="B12" s="3" t="n"/>
      <c r="C12" s="3" t="n">
        <v>11790000</v>
      </c>
      <c r="D12" s="34" t="n">
        <v>11690000</v>
      </c>
      <c r="E12" s="40" t="n">
        <v>11672000</v>
      </c>
      <c r="F12" s="39" t="n">
        <v>11690000</v>
      </c>
      <c r="G12" s="4" t="n">
        <v>11590000</v>
      </c>
    </row>
    <row r="13">
      <c r="A13" t="inlineStr">
        <is>
          <t>iPhone 12 64GB</t>
        </is>
      </c>
      <c r="B13" s="25" t="n"/>
      <c r="C13" s="25" t="n">
        <v>10590000</v>
      </c>
      <c r="D13" s="25" t="inlineStr">
        <is>
          <t>OOS</t>
        </is>
      </c>
      <c r="E13" s="40" t="n">
        <v>9990000</v>
      </c>
      <c r="F13" s="25" t="inlineStr">
        <is>
          <t>OOS</t>
        </is>
      </c>
      <c r="G13" s="4" t="inlineStr">
        <is>
          <t>OOS</t>
        </is>
      </c>
    </row>
    <row r="14">
      <c r="A14" t="inlineStr">
        <is>
          <t>iPad Mini 7 128GB Wifi</t>
        </is>
      </c>
      <c r="B14" s="25" t="n"/>
      <c r="C14" s="43" t="n">
        <v>13990000</v>
      </c>
      <c r="D14" s="25" t="n">
        <v>13890000</v>
      </c>
      <c r="E14" s="40" t="n">
        <v>13790000</v>
      </c>
      <c r="F14" s="34" t="n">
        <v>13890000</v>
      </c>
      <c r="G14" s="4" t="n">
        <v>13690000</v>
      </c>
    </row>
    <row r="15">
      <c r="A15" t="inlineStr">
        <is>
          <t>iPad Gen 10th 64GB Wifi</t>
        </is>
      </c>
      <c r="B15" s="25" t="n"/>
      <c r="C15" s="3" t="n">
        <v>8690000</v>
      </c>
      <c r="D15" s="3" t="n">
        <v>7990000</v>
      </c>
      <c r="E15" s="3" t="n">
        <v>8501000</v>
      </c>
      <c r="F15" s="39" t="n">
        <v>7990000</v>
      </c>
      <c r="G15" s="34" t="n">
        <v>8290000</v>
      </c>
    </row>
    <row r="16">
      <c r="A16" t="inlineStr">
        <is>
          <t>iPad Gen 9th  128GB Wifi</t>
        </is>
      </c>
      <c r="B16" s="3" t="n"/>
      <c r="C16" s="43" t="inlineStr">
        <is>
          <t>OOS</t>
        </is>
      </c>
      <c r="D16" s="3" t="n">
        <v>6790000</v>
      </c>
      <c r="E16" s="40" t="n">
        <v>7990000</v>
      </c>
      <c r="F16" s="39" t="n">
        <v>6590000</v>
      </c>
      <c r="G16" s="4" t="n">
        <v>6790000</v>
      </c>
      <c r="J16" t="inlineStr">
        <is>
          <t xml:space="preserve">MW </t>
        </is>
      </c>
      <c r="K16" t="inlineStr">
        <is>
          <t>Duy</t>
        </is>
      </c>
      <c r="L16" t="b">
        <v>1</v>
      </c>
    </row>
    <row r="17">
      <c r="A17" t="inlineStr">
        <is>
          <t>iPad Air M3  11" 128 GB Wifi</t>
        </is>
      </c>
      <c r="B17" s="3" t="n"/>
      <c r="C17" s="25" t="n">
        <v>16990000</v>
      </c>
      <c r="D17" s="3" t="n">
        <v>16990000</v>
      </c>
      <c r="E17" s="40" t="n">
        <v>16325000</v>
      </c>
      <c r="F17" s="34" t="n">
        <v>16690000</v>
      </c>
      <c r="G17" s="4" t="n">
        <v>16490000</v>
      </c>
      <c r="J17" t="inlineStr">
        <is>
          <t>FPT</t>
        </is>
      </c>
      <c r="K17" t="inlineStr">
        <is>
          <t>Việt</t>
        </is>
      </c>
      <c r="L17" t="b">
        <v>1</v>
      </c>
    </row>
    <row r="18">
      <c r="A18" t="inlineStr">
        <is>
          <t>iPad Air M3  13" 128 GB Wifi</t>
        </is>
      </c>
      <c r="B18" s="25" t="n"/>
      <c r="C18" s="25" t="n">
        <v>20990000</v>
      </c>
      <c r="D18" s="3" t="n">
        <v>22490000</v>
      </c>
      <c r="E18" s="40" t="n">
        <v>21790000</v>
      </c>
      <c r="F18" s="39" t="inlineStr">
        <is>
          <t>22.490.000</t>
        </is>
      </c>
      <c r="G18" s="4" t="inlineStr">
        <is>
          <t>22.490.000</t>
        </is>
      </c>
      <c r="J18" t="inlineStr">
        <is>
          <t>Viettel</t>
        </is>
      </c>
      <c r="K18" t="inlineStr">
        <is>
          <t>Nghĩa</t>
        </is>
      </c>
      <c r="L18" t="b">
        <v>1</v>
      </c>
    </row>
    <row r="19">
      <c r="A19" t="inlineStr">
        <is>
          <t>iPad Pro  M4  11" 256 GB Wifi</t>
        </is>
      </c>
      <c r="B19" s="25" t="n"/>
      <c r="C19" s="25" t="n">
        <v>27990000</v>
      </c>
      <c r="D19" s="25" t="n">
        <v>27890000</v>
      </c>
      <c r="E19" s="40" t="n">
        <v>27190000</v>
      </c>
      <c r="F19" s="39" t="n">
        <v>27890000</v>
      </c>
      <c r="G19" s="34" t="n">
        <v>27590000</v>
      </c>
      <c r="J19" t="inlineStr">
        <is>
          <t>CPS</t>
        </is>
      </c>
      <c r="K19" t="inlineStr">
        <is>
          <t>Trang</t>
        </is>
      </c>
      <c r="L19" t="b">
        <v>1</v>
      </c>
    </row>
    <row r="20">
      <c r="A20" t="inlineStr">
        <is>
          <t>iPad Pro  M4  13" 256 GB Wifi</t>
        </is>
      </c>
      <c r="B20" s="3" t="n"/>
      <c r="C20" s="25" t="n">
        <v>36690000</v>
      </c>
      <c r="D20" s="25" t="n">
        <v>36690000</v>
      </c>
      <c r="E20" s="40" t="n">
        <v>35990000</v>
      </c>
      <c r="F20" s="39" t="n">
        <v>36590000</v>
      </c>
      <c r="G20" s="4" t="n">
        <v>36090000</v>
      </c>
      <c r="J20" t="inlineStr">
        <is>
          <t>ShopDunk</t>
        </is>
      </c>
      <c r="K20" t="inlineStr">
        <is>
          <t>Đạt</t>
        </is>
      </c>
      <c r="L20" t="b">
        <v>1</v>
      </c>
    </row>
    <row r="21">
      <c r="A21" t="inlineStr">
        <is>
          <t>AW SE 2 (40mm GPS)</t>
        </is>
      </c>
      <c r="B21" s="25" t="n"/>
      <c r="C21" s="43" t="inlineStr">
        <is>
          <t>OOS</t>
        </is>
      </c>
      <c r="D21" s="25" t="n">
        <v>5890000</v>
      </c>
      <c r="E21" s="40" t="n">
        <v>4490000</v>
      </c>
      <c r="F21" s="39" t="n">
        <v>5690000</v>
      </c>
      <c r="G21" s="34" t="n">
        <v>5690000</v>
      </c>
    </row>
    <row r="22">
      <c r="A22" t="inlineStr">
        <is>
          <t>AW SE 2 (40mm LTE)</t>
        </is>
      </c>
      <c r="B22" s="25" t="n"/>
      <c r="C22" s="25" t="n">
        <v>7090000</v>
      </c>
      <c r="D22" s="25" t="n">
        <v>7090000</v>
      </c>
      <c r="E22" s="40" t="n">
        <v>6722000</v>
      </c>
      <c r="F22" s="34" t="n">
        <v>6690000</v>
      </c>
      <c r="G22" s="4" t="n">
        <v>6790000</v>
      </c>
    </row>
    <row r="23">
      <c r="A23" t="inlineStr">
        <is>
          <t>AW SE 2 (44mm GPS)</t>
        </is>
      </c>
      <c r="B23" s="25" t="n"/>
      <c r="C23" s="25" t="n">
        <v>6590000</v>
      </c>
      <c r="D23" s="25" t="n">
        <v>6590000</v>
      </c>
      <c r="E23" s="40" t="n">
        <v>4990000</v>
      </c>
      <c r="F23" s="39" t="n">
        <v>6590000</v>
      </c>
      <c r="G23" s="4" t="n">
        <v>6590000</v>
      </c>
    </row>
    <row r="24">
      <c r="A24" t="inlineStr">
        <is>
          <t>AW SE 2 (44mm LTE)</t>
        </is>
      </c>
      <c r="B24" s="25" t="n"/>
      <c r="C24" s="25" t="n">
        <v>7990000</v>
      </c>
      <c r="D24" s="25" t="n">
        <v>7890000</v>
      </c>
      <c r="E24" s="40" t="n">
        <v>7415000</v>
      </c>
      <c r="F24" s="39" t="n">
        <v>7770000</v>
      </c>
      <c r="G24" s="34" t="n">
        <v>8090000</v>
      </c>
    </row>
    <row r="25">
      <c r="A25" t="inlineStr">
        <is>
          <t>AW S10 (42mm GPS)</t>
        </is>
      </c>
      <c r="B25" s="25" t="n"/>
      <c r="C25" s="25" t="n">
        <v>10290000</v>
      </c>
      <c r="D25" s="25" t="n">
        <v>10490000</v>
      </c>
      <c r="E25" s="40" t="n">
        <v>10187000</v>
      </c>
      <c r="F25" s="39" t="n">
        <v>10190000</v>
      </c>
      <c r="G25" s="4" t="n">
        <v>10190000</v>
      </c>
    </row>
    <row r="26">
      <c r="A26" t="inlineStr">
        <is>
          <t>AW S10 (42mm CEL)</t>
        </is>
      </c>
      <c r="B26" s="25" t="n"/>
      <c r="C26" s="3" t="n">
        <v>12590000</v>
      </c>
      <c r="D26" s="25" t="n">
        <v>12690000</v>
      </c>
      <c r="E26" s="40" t="n">
        <v>12860000</v>
      </c>
      <c r="F26" s="39" t="n">
        <v>12690000</v>
      </c>
      <c r="G26" s="4" t="n">
        <v>12690000</v>
      </c>
    </row>
    <row r="27">
      <c r="A27" t="inlineStr">
        <is>
          <t>AW S10 (46mm GPS)</t>
        </is>
      </c>
      <c r="B27" s="25" t="n"/>
      <c r="C27" s="3" t="n">
        <v>11390000</v>
      </c>
      <c r="D27" s="25" t="n">
        <v>11190000</v>
      </c>
      <c r="E27" s="40" t="n">
        <v>10880000</v>
      </c>
      <c r="F27" s="34" t="n">
        <v>11390000</v>
      </c>
      <c r="G27" s="4" t="n">
        <v>10890000</v>
      </c>
    </row>
    <row r="28">
      <c r="A28" t="inlineStr">
        <is>
          <t>AW S10 (46mm CEL)</t>
        </is>
      </c>
      <c r="B28" s="3" t="n"/>
      <c r="C28" s="3" t="n">
        <v>13890000</v>
      </c>
      <c r="D28" s="3" t="n">
        <v>13690000</v>
      </c>
      <c r="E28" s="40" t="n">
        <v>13553000</v>
      </c>
      <c r="F28" s="34" t="n">
        <v>13490000</v>
      </c>
      <c r="G28" s="4" t="n">
        <v>13590000</v>
      </c>
    </row>
    <row r="29">
      <c r="A29" t="inlineStr">
        <is>
          <t>AW Ultra 2 (49mm)</t>
        </is>
      </c>
      <c r="B29" s="25" t="n"/>
      <c r="C29" s="25" t="n">
        <v>22490000</v>
      </c>
      <c r="D29" s="3" t="n">
        <v>22190000</v>
      </c>
      <c r="E29" s="40" t="n">
        <v>21790000</v>
      </c>
      <c r="F29" s="40" t="n">
        <v>21790000</v>
      </c>
      <c r="G29" s="4" t="n">
        <v>22990000</v>
      </c>
    </row>
    <row r="30">
      <c r="A30" t="inlineStr">
        <is>
          <t>AirPods Pro 2 - 2023 (C-Type)</t>
        </is>
      </c>
      <c r="B30" s="3" t="n"/>
      <c r="C30" s="3" t="n">
        <v>5590000</v>
      </c>
      <c r="D30" s="39" t="n">
        <v>5690000</v>
      </c>
      <c r="E30" s="34" t="n">
        <v>5633000</v>
      </c>
      <c r="F30" s="40" t="n">
        <v>5590000</v>
      </c>
      <c r="G30" s="4" t="n">
        <v>5590000</v>
      </c>
    </row>
    <row r="31">
      <c r="A31" t="inlineStr">
        <is>
          <t>AirPods 4 ANC</t>
        </is>
      </c>
      <c r="B31" s="3" t="n"/>
      <c r="C31" s="3" t="n">
        <v>4590000</v>
      </c>
      <c r="D31" s="40" t="n">
        <v>4490000</v>
      </c>
      <c r="E31" s="34" t="n">
        <v>4445000</v>
      </c>
      <c r="F31" s="38" t="n">
        <v>4490000</v>
      </c>
      <c r="G31" s="4" t="n">
        <v>4490000</v>
      </c>
    </row>
    <row r="32">
      <c r="A32" t="inlineStr">
        <is>
          <t>AirPods 4 with charging case</t>
        </is>
      </c>
      <c r="B32" s="3" t="n"/>
      <c r="C32" s="3" t="n">
        <v>3290000</v>
      </c>
      <c r="D32" s="40" t="n">
        <v>3290000</v>
      </c>
      <c r="E32" s="40" t="n">
        <v>3190000</v>
      </c>
      <c r="F32" s="38" t="n">
        <v>3290000</v>
      </c>
      <c r="G32" s="4" t="n">
        <v>3290000</v>
      </c>
    </row>
    <row r="33">
      <c r="A33" t="inlineStr">
        <is>
          <t>MacBook Air 13" M1 8/256Gb</t>
        </is>
      </c>
      <c r="B33" s="3" t="n"/>
      <c r="C33" s="25" t="n">
        <v>17090000</v>
      </c>
      <c r="D33" s="34" t="n">
        <v>16990000</v>
      </c>
      <c r="E33" s="37" t="n"/>
      <c r="F33" s="39" t="n">
        <v>17690000</v>
      </c>
      <c r="G33" s="4" t="n">
        <v>16690000</v>
      </c>
    </row>
    <row r="34">
      <c r="A34" t="inlineStr">
        <is>
          <t>MacBook Air 13" M2 16/256GB</t>
        </is>
      </c>
      <c r="B34" s="25" t="n"/>
      <c r="C34" s="3" t="n">
        <v>21790000</v>
      </c>
      <c r="D34" s="3" t="n">
        <v>21790000</v>
      </c>
      <c r="E34" s="37" t="n"/>
      <c r="F34" s="34" t="n">
        <v>21690000</v>
      </c>
      <c r="G34" s="4" t="n">
        <v>21990000</v>
      </c>
    </row>
    <row r="35">
      <c r="A35" t="inlineStr">
        <is>
          <t>MacBook Air 13" M3 16/256GB</t>
        </is>
      </c>
      <c r="B35" s="3" t="n"/>
      <c r="C35" s="43" t="n">
        <v>25490000</v>
      </c>
      <c r="D35" s="34" t="n">
        <v>24990000</v>
      </c>
      <c r="E35" s="37" t="n"/>
      <c r="F35" s="34" t="n">
        <v>24690000</v>
      </c>
      <c r="G35" s="34" t="n">
        <v>25290000</v>
      </c>
    </row>
    <row r="36">
      <c r="A36" t="inlineStr">
        <is>
          <t>MacBook Air 13" M4 16/256GB</t>
        </is>
      </c>
      <c r="B36" s="3" t="n"/>
      <c r="C36" s="43" t="n"/>
      <c r="D36" s="39" t="n">
        <v>26790000</v>
      </c>
      <c r="E36" s="37" t="n"/>
      <c r="F36" s="39" t="n">
        <v>26690000</v>
      </c>
      <c r="G36" s="4" t="n">
        <v>26590000</v>
      </c>
    </row>
    <row r="37">
      <c r="A37" t="inlineStr">
        <is>
          <t>MacBook Air 15" M4 16/256GB</t>
        </is>
      </c>
      <c r="B37" s="25" t="n"/>
      <c r="C37" s="43" t="n">
        <v>29090000</v>
      </c>
      <c r="D37" s="25" t="n">
        <v>31690000</v>
      </c>
      <c r="E37" s="37" t="n"/>
      <c r="F37" s="39" t="n">
        <v>31990000</v>
      </c>
      <c r="G37" s="4" t="n">
        <v>31990000</v>
      </c>
    </row>
    <row r="38">
      <c r="A38" t="inlineStr">
        <is>
          <t>MacBook Pro 14" M4 16/512GB</t>
        </is>
      </c>
      <c r="B38" s="25" t="n"/>
      <c r="C38" s="25" t="n">
        <v>39990000</v>
      </c>
      <c r="D38" s="25" t="n">
        <v>39990000</v>
      </c>
      <c r="E38" s="37" t="n"/>
      <c r="F38" s="40" t="n">
        <v>39590000</v>
      </c>
      <c r="G38" s="39" t="inlineStr">
        <is>
          <t>OOS</t>
        </is>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3.xml><?xml version="1.0" encoding="utf-8"?>
<worksheet xmlns="http://schemas.openxmlformats.org/spreadsheetml/2006/main">
  <sheetPr>
    <outlinePr summaryBelow="1" summaryRight="1"/>
    <pageSetUpPr/>
  </sheetPr>
  <dimension ref="A1:L38"/>
  <sheetViews>
    <sheetView zoomScale="117" zoomScaleNormal="120" workbookViewId="0">
      <pane xSplit="2" topLeftCell="C1" activePane="topRight" state="frozen"/>
      <selection pane="topRight" activeCell="K23" sqref="K23"/>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16290000</v>
      </c>
      <c r="D2" s="48" t="n">
        <v>16290000</v>
      </c>
      <c r="E2" s="40" t="n">
        <v>16127000</v>
      </c>
      <c r="F2" s="40" t="n">
        <v>16190000</v>
      </c>
      <c r="G2" s="38" t="n">
        <v>15990000</v>
      </c>
    </row>
    <row r="3">
      <c r="A3" t="inlineStr">
        <is>
          <t>iPhone 16  128GB</t>
        </is>
      </c>
      <c r="B3" s="25" t="n"/>
      <c r="C3" s="25" t="n">
        <v>19290000</v>
      </c>
      <c r="D3" s="43" t="n">
        <v>19190000</v>
      </c>
      <c r="E3" s="40" t="n">
        <v>18990000</v>
      </c>
      <c r="F3" s="38" t="n">
        <v>18990000</v>
      </c>
      <c r="G3" s="40" t="n">
        <v>18790000</v>
      </c>
    </row>
    <row r="4">
      <c r="A4" t="inlineStr">
        <is>
          <t>iPhone 16  Plus 128GB</t>
        </is>
      </c>
      <c r="B4" s="3" t="n"/>
      <c r="C4" s="25" t="n">
        <v>22390000</v>
      </c>
      <c r="D4" s="43" t="n">
        <v>22390000</v>
      </c>
      <c r="E4" s="40" t="n">
        <v>21990000</v>
      </c>
      <c r="F4" s="40" t="n">
        <v>22190000</v>
      </c>
      <c r="G4" s="40" t="n">
        <v>21990000</v>
      </c>
    </row>
    <row r="5">
      <c r="A5" t="inlineStr">
        <is>
          <t>iPhone 16 Pro  128GB</t>
        </is>
      </c>
      <c r="B5" s="25" t="n"/>
      <c r="C5" s="3" t="n">
        <v>25290000</v>
      </c>
      <c r="D5" s="42" t="n">
        <v>25190000</v>
      </c>
      <c r="E5" s="40" t="n">
        <v>24690000</v>
      </c>
      <c r="F5" s="38" t="n">
        <v>24990000</v>
      </c>
      <c r="G5" s="38" t="n">
        <v>24690000</v>
      </c>
    </row>
    <row r="6">
      <c r="A6" t="inlineStr">
        <is>
          <t>iPhone 16 Pro Max 256GB</t>
        </is>
      </c>
      <c r="B6" s="3" t="n"/>
      <c r="C6" s="25" t="n">
        <v>31090000</v>
      </c>
      <c r="D6" s="43" t="n">
        <v>30990000</v>
      </c>
      <c r="E6" s="40" t="n">
        <v>30190000</v>
      </c>
      <c r="F6" s="38" t="n">
        <v>30390000</v>
      </c>
      <c r="G6" s="40" t="n">
        <v>30090000</v>
      </c>
    </row>
    <row r="7">
      <c r="A7" t="inlineStr">
        <is>
          <t>iPhone 15  128GB</t>
        </is>
      </c>
      <c r="B7" s="25" t="n"/>
      <c r="C7" s="25" t="n">
        <v>15990000</v>
      </c>
      <c r="D7" s="43" t="n">
        <v>15890000</v>
      </c>
      <c r="E7" s="40" t="n">
        <v>15490000</v>
      </c>
      <c r="F7" s="38" t="n">
        <v>15690000</v>
      </c>
      <c r="G7" s="38" t="n">
        <v>15290000</v>
      </c>
    </row>
    <row r="8">
      <c r="A8" t="inlineStr">
        <is>
          <t>iPhone 15  Plus 128GB</t>
        </is>
      </c>
      <c r="B8" s="25" t="n"/>
      <c r="C8" s="3" t="n">
        <v>19590000</v>
      </c>
      <c r="D8" s="43" t="n">
        <v>19490000</v>
      </c>
      <c r="E8" s="40" t="n">
        <v>18990000</v>
      </c>
      <c r="F8" s="38" t="n">
        <v>19290000</v>
      </c>
      <c r="G8" s="40" t="n">
        <v>18490000</v>
      </c>
    </row>
    <row r="9">
      <c r="A9" t="inlineStr">
        <is>
          <t>iPhone 15 Pro Max 256GB</t>
        </is>
      </c>
      <c r="B9" s="3" t="n"/>
      <c r="C9" s="3" t="n">
        <v>29990000</v>
      </c>
      <c r="D9" s="25" t="n">
        <v>28490000</v>
      </c>
      <c r="E9" s="40" t="inlineStr">
        <is>
          <t>OOS</t>
        </is>
      </c>
      <c r="F9" s="38" t="n">
        <v>28590000</v>
      </c>
      <c r="G9" s="40" t="n">
        <v>27990000</v>
      </c>
    </row>
    <row r="10">
      <c r="A10" t="inlineStr">
        <is>
          <t>iPhone 14 Plus 128GB</t>
        </is>
      </c>
      <c r="B10" s="3" t="n"/>
      <c r="C10" s="43" t="inlineStr">
        <is>
          <t>OOS</t>
        </is>
      </c>
      <c r="D10" s="25" t="n">
        <v>18490000</v>
      </c>
      <c r="E10" s="40" t="n">
        <v>18990000</v>
      </c>
      <c r="F10" s="34" t="n">
        <v>17490000</v>
      </c>
      <c r="G10" s="38" t="n">
        <v>17290000</v>
      </c>
    </row>
    <row r="11">
      <c r="A11" t="inlineStr">
        <is>
          <t>iPhone 14 128GB</t>
        </is>
      </c>
      <c r="B11" s="25" t="n"/>
      <c r="C11" s="25" t="n">
        <v>12990000</v>
      </c>
      <c r="D11" s="40" t="n">
        <v>12890000</v>
      </c>
      <c r="E11" s="3" t="n">
        <v>12690000</v>
      </c>
      <c r="F11" s="34" t="n">
        <v>12590000</v>
      </c>
      <c r="G11" s="34" t="n">
        <v>12290000</v>
      </c>
    </row>
    <row r="12">
      <c r="A12" t="inlineStr">
        <is>
          <t>iPhone 13  128GB</t>
        </is>
      </c>
      <c r="B12" s="3" t="n"/>
      <c r="C12" s="25" t="n">
        <v>11790000</v>
      </c>
      <c r="D12" s="39" t="n">
        <v>11690000</v>
      </c>
      <c r="E12" s="40" t="n">
        <v>11672000</v>
      </c>
      <c r="F12" s="39" t="n">
        <v>11690000</v>
      </c>
      <c r="G12" s="4" t="n">
        <v>11590000</v>
      </c>
    </row>
    <row r="13">
      <c r="A13" t="inlineStr">
        <is>
          <t>iPhone 12 64GB</t>
        </is>
      </c>
      <c r="B13" s="25" t="n"/>
      <c r="C13" s="3" t="n">
        <v>9990000</v>
      </c>
      <c r="D13" s="25" t="inlineStr">
        <is>
          <t>OOS</t>
        </is>
      </c>
      <c r="E13" s="40" t="n">
        <v>9990000</v>
      </c>
      <c r="F13" s="25" t="inlineStr">
        <is>
          <t>OOS</t>
        </is>
      </c>
      <c r="G13" s="4" t="inlineStr">
        <is>
          <t>OOS</t>
        </is>
      </c>
    </row>
    <row r="14">
      <c r="A14" t="inlineStr">
        <is>
          <t>iPad Mini 7 128GB Wifi</t>
        </is>
      </c>
      <c r="B14" s="25" t="n"/>
      <c r="C14" s="42" t="n">
        <v>13890000</v>
      </c>
      <c r="D14" s="25" t="n">
        <v>13890000</v>
      </c>
      <c r="E14" s="3" t="n">
        <v>13652000</v>
      </c>
      <c r="F14" s="39" t="n">
        <v>13890000</v>
      </c>
      <c r="G14" s="4" t="n">
        <v>13690000</v>
      </c>
    </row>
    <row r="15">
      <c r="A15" t="inlineStr">
        <is>
          <t>iPad Gen 10th 64GB Wifi</t>
        </is>
      </c>
      <c r="B15" s="25" t="n"/>
      <c r="C15" s="25" t="n">
        <v>8690000</v>
      </c>
      <c r="D15" s="25" t="n">
        <v>7990000</v>
      </c>
      <c r="E15" s="40" t="n">
        <v>8501000</v>
      </c>
      <c r="F15" s="39" t="n">
        <v>7990000</v>
      </c>
      <c r="G15" s="34" t="n">
        <v>7890000</v>
      </c>
    </row>
    <row r="16">
      <c r="A16" t="inlineStr">
        <is>
          <t>iPad Gen 11th  128GB Wifi</t>
        </is>
      </c>
      <c r="B16" s="3" t="n"/>
      <c r="C16" s="43" t="n">
        <v>9990000</v>
      </c>
      <c r="D16" s="25" t="n">
        <v>9690000</v>
      </c>
      <c r="E16" s="40" t="n">
        <v>9593000</v>
      </c>
      <c r="F16" s="34" t="n">
        <v>9490000</v>
      </c>
      <c r="G16" s="4" t="n">
        <v>9390000</v>
      </c>
      <c r="J16" t="inlineStr">
        <is>
          <t xml:space="preserve">MW </t>
        </is>
      </c>
      <c r="K16" t="inlineStr">
        <is>
          <t>Duy</t>
        </is>
      </c>
      <c r="L16" t="b">
        <v>1</v>
      </c>
    </row>
    <row r="17">
      <c r="A17" t="inlineStr">
        <is>
          <t>iPad Air M3  11" 128 GB Wifi</t>
        </is>
      </c>
      <c r="B17" s="3" t="n"/>
      <c r="C17" s="25" t="n">
        <v>16990000</v>
      </c>
      <c r="D17" s="25" t="n">
        <v>16990000</v>
      </c>
      <c r="E17" s="40" t="n">
        <v>16325000</v>
      </c>
      <c r="F17" s="39" t="n">
        <v>16690000</v>
      </c>
      <c r="G17" s="4" t="n">
        <v>16490000</v>
      </c>
      <c r="J17" t="inlineStr">
        <is>
          <t>FPT</t>
        </is>
      </c>
      <c r="K17" t="inlineStr">
        <is>
          <t>Việt</t>
        </is>
      </c>
      <c r="L17" t="b">
        <v>1</v>
      </c>
    </row>
    <row r="18">
      <c r="A18" t="inlineStr">
        <is>
          <t>iPad Air M3  13" 128 GB Wifi</t>
        </is>
      </c>
      <c r="B18" s="25" t="n"/>
      <c r="C18" s="25" t="n">
        <v>20990000</v>
      </c>
      <c r="D18" s="25" t="n">
        <v>22490000</v>
      </c>
      <c r="E18" s="40" t="n">
        <v>21790000</v>
      </c>
      <c r="F18" s="34" t="n">
        <v>19290000</v>
      </c>
      <c r="G18" s="4" t="inlineStr">
        <is>
          <t>22.490.000</t>
        </is>
      </c>
      <c r="J18" t="inlineStr">
        <is>
          <t>Viettel</t>
        </is>
      </c>
      <c r="K18" t="inlineStr">
        <is>
          <t>Nghĩa</t>
        </is>
      </c>
      <c r="L18" t="b">
        <v>1</v>
      </c>
    </row>
    <row r="19">
      <c r="A19" t="inlineStr">
        <is>
          <t>iPad Pro  M4  11" 256 GB Wifi</t>
        </is>
      </c>
      <c r="B19" s="25" t="n"/>
      <c r="C19" s="3" t="n">
        <v>27890000</v>
      </c>
      <c r="D19" s="25" t="n">
        <v>27890000</v>
      </c>
      <c r="E19" s="40" t="n">
        <v>27190000</v>
      </c>
      <c r="F19" s="39" t="n">
        <v>27990000</v>
      </c>
      <c r="G19" s="4" t="n">
        <v>27590000</v>
      </c>
      <c r="J19" t="inlineStr">
        <is>
          <t>CPS</t>
        </is>
      </c>
      <c r="K19" t="inlineStr">
        <is>
          <t>Trang</t>
        </is>
      </c>
      <c r="L19" t="b">
        <v>1</v>
      </c>
    </row>
    <row r="20">
      <c r="A20" t="inlineStr">
        <is>
          <t>iPad Pro  M4  13" 256 GB Wifi</t>
        </is>
      </c>
      <c r="B20" s="3" t="n"/>
      <c r="C20" s="25" t="n">
        <v>36690000</v>
      </c>
      <c r="D20" s="25" t="n">
        <v>36690000</v>
      </c>
      <c r="E20" s="40" t="n">
        <v>35990000</v>
      </c>
      <c r="F20" s="34" t="n">
        <v>36990000</v>
      </c>
      <c r="G20" s="4" t="n">
        <v>36090000</v>
      </c>
      <c r="J20" t="inlineStr">
        <is>
          <t>ShopDunk</t>
        </is>
      </c>
      <c r="K20" t="inlineStr">
        <is>
          <t>Đạt</t>
        </is>
      </c>
      <c r="L20" t="b">
        <v>1</v>
      </c>
    </row>
    <row r="21">
      <c r="A21" t="inlineStr">
        <is>
          <t>AW SE 2 (40mm GPS)</t>
        </is>
      </c>
      <c r="B21" s="25" t="n"/>
      <c r="C21" s="43" t="n">
        <v>5220000</v>
      </c>
      <c r="D21" s="3" t="n">
        <v>5190000</v>
      </c>
      <c r="E21" s="40" t="n">
        <v>4490000</v>
      </c>
      <c r="F21" s="39" t="n">
        <v>5690000</v>
      </c>
      <c r="G21" s="34" t="n">
        <v>5190000</v>
      </c>
    </row>
    <row r="22">
      <c r="A22" t="inlineStr">
        <is>
          <t>AW SE 2 (40mm LTE)</t>
        </is>
      </c>
      <c r="B22" s="25" t="n"/>
      <c r="C22" s="25" t="n">
        <v>7090000</v>
      </c>
      <c r="D22" s="25" t="n">
        <v>7090000</v>
      </c>
      <c r="E22" s="3" t="n">
        <v>6227000</v>
      </c>
      <c r="F22" s="34" t="n">
        <v>6690000</v>
      </c>
      <c r="G22" s="3" t="n">
        <v>6490000</v>
      </c>
    </row>
    <row r="23">
      <c r="A23" t="inlineStr">
        <is>
          <t>AW SE 2 (44mm GPS)</t>
        </is>
      </c>
      <c r="B23" s="25" t="n"/>
      <c r="C23" s="3" t="n">
        <v>5820000</v>
      </c>
      <c r="D23" s="3" t="n">
        <v>5790000</v>
      </c>
      <c r="E23" s="40" t="n">
        <v>4990000</v>
      </c>
      <c r="F23" s="39" t="n">
        <v>6590000</v>
      </c>
      <c r="G23" s="3" t="n">
        <v>5890000</v>
      </c>
    </row>
    <row r="24">
      <c r="A24" t="inlineStr">
        <is>
          <t>AW SE 2 (44mm LTE)</t>
        </is>
      </c>
      <c r="B24" s="25" t="n"/>
      <c r="C24" s="3" t="n">
        <v>7890000</v>
      </c>
      <c r="D24" s="25" t="n">
        <v>7890000</v>
      </c>
      <c r="E24" s="3" t="n">
        <v>6920000</v>
      </c>
      <c r="F24" s="34" t="n">
        <v>7290000</v>
      </c>
      <c r="G24" s="34" t="n">
        <v>7690000</v>
      </c>
    </row>
    <row r="25">
      <c r="A25" t="inlineStr">
        <is>
          <t>AW S10 (42mm GPS)</t>
        </is>
      </c>
      <c r="B25" s="25" t="n"/>
      <c r="C25" s="3" t="n">
        <v>8380000</v>
      </c>
      <c r="D25" s="3" t="n">
        <v>8490000</v>
      </c>
      <c r="E25" s="3" t="n">
        <v>8405000</v>
      </c>
      <c r="F25" s="39" t="n">
        <v>8490000</v>
      </c>
      <c r="G25" s="3" t="n">
        <v>8490000</v>
      </c>
    </row>
    <row r="26">
      <c r="A26" t="inlineStr">
        <is>
          <t>AW S10 (42mm CEL)</t>
        </is>
      </c>
      <c r="B26" s="25" t="n"/>
      <c r="C26" s="3" t="n">
        <v>13390000</v>
      </c>
      <c r="D26" s="25" t="n">
        <v>12690000</v>
      </c>
      <c r="E26" s="3" t="n">
        <v>11870000</v>
      </c>
      <c r="F26" s="39" t="n">
        <v>12690000</v>
      </c>
      <c r="G26" s="4" t="n">
        <v>12690000</v>
      </c>
    </row>
    <row r="27">
      <c r="A27" t="inlineStr">
        <is>
          <t>AW S10 (46mm GPS)</t>
        </is>
      </c>
      <c r="B27" s="25" t="n"/>
      <c r="C27" s="3" t="n">
        <v>9380000</v>
      </c>
      <c r="D27" s="3" t="n">
        <v>9490000</v>
      </c>
      <c r="E27" s="3" t="n">
        <v>8900000</v>
      </c>
      <c r="F27" s="34" t="n">
        <v>9990000</v>
      </c>
      <c r="G27" s="3" t="n">
        <v>9490000</v>
      </c>
    </row>
    <row r="28">
      <c r="A28" t="inlineStr">
        <is>
          <t>AW S10 (46mm CEL)</t>
        </is>
      </c>
      <c r="B28" s="3" t="n"/>
      <c r="C28" s="3" t="n">
        <v>13790000</v>
      </c>
      <c r="D28" s="25" t="n">
        <v>13690000</v>
      </c>
      <c r="E28" s="3" t="n">
        <v>12583000</v>
      </c>
      <c r="F28" s="34" t="n">
        <v>13890000</v>
      </c>
      <c r="G28" s="4" t="n">
        <v>13590000</v>
      </c>
    </row>
    <row r="29">
      <c r="A29" t="inlineStr">
        <is>
          <t>AW Ultra 2 (49mm)</t>
        </is>
      </c>
      <c r="B29" s="25" t="n"/>
      <c r="C29" s="25" t="n">
        <v>22090000</v>
      </c>
      <c r="D29" s="25" t="n">
        <v>22190000</v>
      </c>
      <c r="E29" s="40" t="n">
        <v>21790000</v>
      </c>
      <c r="F29" s="40" t="n">
        <v>21990000</v>
      </c>
      <c r="G29" s="4" t="n">
        <v>22990000</v>
      </c>
    </row>
    <row r="30">
      <c r="A30" t="inlineStr">
        <is>
          <t>AirPods Pro 2 - 2023 (C-Type)</t>
        </is>
      </c>
      <c r="B30" s="3" t="n"/>
      <c r="C30" s="3" t="n">
        <v>5390000</v>
      </c>
      <c r="D30" s="34" t="n">
        <v>5390000</v>
      </c>
      <c r="E30" s="34" t="n">
        <v>5138000</v>
      </c>
      <c r="F30" s="38" t="n">
        <v>5350000</v>
      </c>
      <c r="G30" s="3" t="n">
        <v>5250000</v>
      </c>
    </row>
    <row r="31">
      <c r="A31" t="inlineStr">
        <is>
          <t>AirPods 4 ANC</t>
        </is>
      </c>
      <c r="B31" s="3" t="n"/>
      <c r="C31" s="3" t="n">
        <v>4290000</v>
      </c>
      <c r="D31" s="38" t="n">
        <v>4290000</v>
      </c>
      <c r="E31" s="34" t="n">
        <v>4247000</v>
      </c>
      <c r="F31" s="38" t="n">
        <v>4290000</v>
      </c>
      <c r="G31" s="3" t="n">
        <v>4250000</v>
      </c>
    </row>
    <row r="32">
      <c r="A32" t="inlineStr">
        <is>
          <t>AirPods 4 with charging case</t>
        </is>
      </c>
      <c r="B32" s="3" t="n"/>
      <c r="C32" s="3" t="n">
        <v>3090000</v>
      </c>
      <c r="D32" s="38" t="n">
        <v>3090000</v>
      </c>
      <c r="E32" s="3" t="n">
        <v>2990000</v>
      </c>
      <c r="F32" s="38" t="n">
        <v>3090000</v>
      </c>
      <c r="G32" s="3" t="n">
        <v>3090000</v>
      </c>
    </row>
    <row r="33">
      <c r="A33" t="inlineStr">
        <is>
          <t>MacBook Air 13" M1 8/256Gb</t>
        </is>
      </c>
      <c r="B33" s="3" t="n"/>
      <c r="C33" s="3" t="n">
        <v>17590000</v>
      </c>
      <c r="D33" s="39" t="n">
        <v>16990000</v>
      </c>
      <c r="E33" s="37" t="n"/>
      <c r="F33" s="39" t="n">
        <v>16890000</v>
      </c>
      <c r="G33" s="3" t="n">
        <v>16350000</v>
      </c>
    </row>
    <row r="34">
      <c r="A34" t="inlineStr">
        <is>
          <t>MacBook Air 13" M2 16/256GB</t>
        </is>
      </c>
      <c r="B34" s="25" t="n"/>
      <c r="C34" s="3" t="n">
        <v>21690000</v>
      </c>
      <c r="D34" s="25" t="n">
        <v>21790000</v>
      </c>
      <c r="E34" s="37" t="n"/>
      <c r="F34" s="34" t="n">
        <v>21590000</v>
      </c>
      <c r="G34" s="3" t="n">
        <v>20990000</v>
      </c>
    </row>
    <row r="35">
      <c r="A35" t="inlineStr">
        <is>
          <t>MacBook Air 13" M3 16/256GB</t>
        </is>
      </c>
      <c r="B35" s="3" t="n"/>
      <c r="C35" s="43" t="n">
        <v>25490000</v>
      </c>
      <c r="D35" s="39" t="n">
        <v>24990000</v>
      </c>
      <c r="E35" s="37" t="n"/>
      <c r="F35" s="34" t="n">
        <v>24690000</v>
      </c>
      <c r="G35" s="4" t="n">
        <v>25290000</v>
      </c>
    </row>
    <row r="36">
      <c r="A36" t="inlineStr">
        <is>
          <t>MacBook Air 13" M4 16/256GB</t>
        </is>
      </c>
      <c r="B36" s="3" t="n"/>
      <c r="C36" s="43" t="n">
        <v>26990000</v>
      </c>
      <c r="D36" s="34" t="n">
        <v>26890000</v>
      </c>
      <c r="E36" s="37" t="n"/>
      <c r="F36" s="39" t="n">
        <v>26590000</v>
      </c>
      <c r="G36" s="4" t="n">
        <v>26590000</v>
      </c>
    </row>
    <row r="37">
      <c r="A37" t="inlineStr">
        <is>
          <t>MacBook Air 15" M4 16/256GB</t>
        </is>
      </c>
      <c r="B37" s="25" t="n"/>
      <c r="C37" s="43" t="n">
        <v>29090000</v>
      </c>
      <c r="D37" s="3" t="n">
        <v>31890000</v>
      </c>
      <c r="E37" s="37" t="n"/>
      <c r="F37" s="39" t="n">
        <v>31990000</v>
      </c>
      <c r="G37" s="4" t="n">
        <v>31990000</v>
      </c>
    </row>
    <row r="38">
      <c r="A38" t="inlineStr">
        <is>
          <t>MacBook Pro 14" M4 16/512GB</t>
        </is>
      </c>
      <c r="B38" s="25" t="n"/>
      <c r="C38" s="25" t="n">
        <v>39990000</v>
      </c>
      <c r="D38" s="3" t="n">
        <v>39590000</v>
      </c>
      <c r="E38" s="37" t="n"/>
      <c r="F38" s="40" t="n">
        <v>39390000</v>
      </c>
      <c r="G38"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4.xml><?xml version="1.0" encoding="utf-8"?>
<worksheet xmlns="http://schemas.openxmlformats.org/spreadsheetml/2006/main">
  <sheetPr>
    <outlinePr summaryBelow="1" summaryRight="1"/>
    <pageSetUpPr/>
  </sheetPr>
  <dimension ref="A1:L38"/>
  <sheetViews>
    <sheetView zoomScale="110" zoomScaleNormal="110" workbookViewId="0">
      <pane xSplit="2" ySplit="1" topLeftCell="F33"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16290000</v>
      </c>
      <c r="D2" s="48" t="n">
        <v>16290000</v>
      </c>
      <c r="E2" s="40" t="n">
        <v>16127000</v>
      </c>
      <c r="F2" s="40" t="n">
        <v>16190000</v>
      </c>
      <c r="G2" s="40" t="n">
        <v>15990000</v>
      </c>
    </row>
    <row r="3">
      <c r="A3" t="inlineStr">
        <is>
          <t>iPhone 16  128GB</t>
        </is>
      </c>
      <c r="B3" s="25" t="n"/>
      <c r="C3" s="25" t="n">
        <v>19290000</v>
      </c>
      <c r="D3" s="43" t="n">
        <v>19190000</v>
      </c>
      <c r="E3" s="40" t="n">
        <v>18990000</v>
      </c>
      <c r="F3" s="40" t="n">
        <v>18990000</v>
      </c>
      <c r="G3" s="40" t="n">
        <v>18790000</v>
      </c>
    </row>
    <row r="4">
      <c r="A4" t="inlineStr">
        <is>
          <t>iPhone 16  Plus 128GB</t>
        </is>
      </c>
      <c r="B4" s="3" t="n"/>
      <c r="C4" s="25" t="n">
        <v>22390000</v>
      </c>
      <c r="D4" s="43" t="n">
        <v>22390000</v>
      </c>
      <c r="E4" s="40" t="n">
        <v>21990000</v>
      </c>
      <c r="F4" s="40" t="n">
        <v>22190000</v>
      </c>
      <c r="G4" s="40" t="n">
        <v>21990000</v>
      </c>
    </row>
    <row r="5">
      <c r="A5" t="inlineStr">
        <is>
          <t>iPhone 16 Pro  128GB</t>
        </is>
      </c>
      <c r="B5" s="25" t="n"/>
      <c r="C5" s="25" t="n">
        <v>25290000</v>
      </c>
      <c r="D5" s="43" t="n">
        <v>25190000</v>
      </c>
      <c r="E5" s="40" t="n">
        <v>24690000</v>
      </c>
      <c r="F5" s="40" t="n">
        <v>24990000</v>
      </c>
      <c r="G5" s="40" t="n">
        <v>24690000</v>
      </c>
    </row>
    <row r="6">
      <c r="A6" t="inlineStr">
        <is>
          <t>iPhone 16 Pro Max 256GB</t>
        </is>
      </c>
      <c r="B6" s="3" t="n"/>
      <c r="C6" s="25" t="n">
        <v>31090000</v>
      </c>
      <c r="D6" s="43" t="n">
        <v>30990000</v>
      </c>
      <c r="E6" s="40" t="n">
        <v>30190000</v>
      </c>
      <c r="F6" s="40" t="n">
        <v>30390000</v>
      </c>
      <c r="G6" s="40" t="n">
        <v>30090000</v>
      </c>
    </row>
    <row r="7">
      <c r="A7" t="inlineStr">
        <is>
          <t>iPhone 15  128GB</t>
        </is>
      </c>
      <c r="B7" s="25" t="n"/>
      <c r="C7" s="25" t="n">
        <v>15990000</v>
      </c>
      <c r="D7" s="43" t="n">
        <v>15890000</v>
      </c>
      <c r="E7" s="40" t="n">
        <v>15490000</v>
      </c>
      <c r="F7" s="38" t="n">
        <v>15790000</v>
      </c>
      <c r="G7" s="38" t="n">
        <v>15290000</v>
      </c>
    </row>
    <row r="8">
      <c r="A8" t="inlineStr">
        <is>
          <t>iPhone 15  Plus 128GB</t>
        </is>
      </c>
      <c r="B8" s="25" t="n"/>
      <c r="C8" s="25" t="n">
        <v>19590000</v>
      </c>
      <c r="D8" s="43" t="n">
        <v>19490000</v>
      </c>
      <c r="E8" s="40" t="n">
        <v>18990000</v>
      </c>
      <c r="F8" s="40" t="n">
        <v>19290000</v>
      </c>
      <c r="G8" s="38" t="n">
        <v>18990000</v>
      </c>
    </row>
    <row r="9">
      <c r="A9" t="inlineStr">
        <is>
          <t>iPhone 15 Pro Max 256GB</t>
        </is>
      </c>
      <c r="B9" s="3" t="n"/>
      <c r="C9" s="25" t="n">
        <v>29990000</v>
      </c>
      <c r="D9" s="25" t="n">
        <v>28490000</v>
      </c>
      <c r="E9" s="40" t="inlineStr">
        <is>
          <t>OOS</t>
        </is>
      </c>
      <c r="F9" s="40" t="n">
        <v>28590000</v>
      </c>
      <c r="G9" s="40" t="n">
        <v>27990000</v>
      </c>
    </row>
    <row r="10">
      <c r="A10" t="inlineStr">
        <is>
          <t>iPhone 14 Plus 128GB</t>
        </is>
      </c>
      <c r="B10" s="3" t="n"/>
      <c r="C10" s="43" t="inlineStr">
        <is>
          <t>OOS</t>
        </is>
      </c>
      <c r="D10" s="25" t="n">
        <v>18490000</v>
      </c>
      <c r="E10" s="40" t="n">
        <v>18990000</v>
      </c>
      <c r="F10" s="43" t="inlineStr">
        <is>
          <t>OOS</t>
        </is>
      </c>
      <c r="G10" s="4" t="n">
        <v>17290000</v>
      </c>
    </row>
    <row r="11">
      <c r="A11" t="inlineStr">
        <is>
          <t>iPhone 14 128GB</t>
        </is>
      </c>
      <c r="B11" s="25" t="n"/>
      <c r="C11" s="25" t="n">
        <v>12990000</v>
      </c>
      <c r="D11" s="38" t="n">
        <v>12790000</v>
      </c>
      <c r="E11" s="40" t="n">
        <v>12690000</v>
      </c>
      <c r="F11" s="39" t="n">
        <v>12590000</v>
      </c>
      <c r="G11" s="4" t="n">
        <v>12290000</v>
      </c>
    </row>
    <row r="12">
      <c r="A12" t="inlineStr">
        <is>
          <t>iPhone 13  128GB</t>
        </is>
      </c>
      <c r="B12" s="3" t="n"/>
      <c r="C12" s="25" t="n">
        <v>11790000</v>
      </c>
      <c r="D12" s="39" t="n">
        <v>11690000</v>
      </c>
      <c r="E12" s="40" t="n">
        <v>11672000</v>
      </c>
      <c r="F12" s="39" t="n">
        <v>11690000</v>
      </c>
      <c r="G12" s="4" t="n">
        <v>11590000</v>
      </c>
    </row>
    <row r="13">
      <c r="A13" t="inlineStr">
        <is>
          <t>iPhone 12 64GB</t>
        </is>
      </c>
      <c r="B13" s="25" t="n"/>
      <c r="C13" s="25" t="n">
        <v>9990000</v>
      </c>
      <c r="D13" s="25" t="inlineStr">
        <is>
          <t>OOS</t>
        </is>
      </c>
      <c r="E13" s="40" t="n">
        <v>9990000</v>
      </c>
      <c r="F13" s="25" t="inlineStr">
        <is>
          <t>OOS</t>
        </is>
      </c>
      <c r="G13" s="4" t="inlineStr">
        <is>
          <t>OOS</t>
        </is>
      </c>
    </row>
    <row r="14">
      <c r="A14" t="inlineStr">
        <is>
          <t>iPad Mini 7 128GB Wifi</t>
        </is>
      </c>
      <c r="B14" s="25" t="n"/>
      <c r="C14" s="42" t="n">
        <v>11790000</v>
      </c>
      <c r="D14" s="25" t="n">
        <v>13890000</v>
      </c>
      <c r="E14" s="40" t="n">
        <v>13652000</v>
      </c>
      <c r="F14" s="39" t="n">
        <v>13850000</v>
      </c>
      <c r="G14" s="4" t="n">
        <v>13690000</v>
      </c>
    </row>
    <row r="15">
      <c r="A15" t="inlineStr">
        <is>
          <t>iPad Gen 10th 64GB Wifi</t>
        </is>
      </c>
      <c r="B15" s="25" t="n"/>
      <c r="C15" s="25" t="n">
        <v>8690000</v>
      </c>
      <c r="D15" s="25" t="n">
        <v>7990000</v>
      </c>
      <c r="E15" s="40" t="n">
        <v>8501000</v>
      </c>
      <c r="F15" s="39" t="n">
        <v>7990000</v>
      </c>
      <c r="G15" s="4" t="n">
        <v>7890000</v>
      </c>
    </row>
    <row r="16">
      <c r="A16" t="inlineStr">
        <is>
          <t>iPad Gen 11th  128GB Wifi</t>
        </is>
      </c>
      <c r="B16" s="3" t="n"/>
      <c r="C16" s="43" t="n">
        <v>9990000</v>
      </c>
      <c r="D16" s="3" t="n">
        <v>8490000</v>
      </c>
      <c r="E16" s="3" t="n">
        <v>8405000</v>
      </c>
      <c r="F16" s="34" t="n">
        <v>8690000</v>
      </c>
      <c r="G16" s="34" t="n">
        <v>8590000</v>
      </c>
      <c r="J16" t="inlineStr">
        <is>
          <t xml:space="preserve">MW </t>
        </is>
      </c>
      <c r="K16" t="inlineStr">
        <is>
          <t>Duy</t>
        </is>
      </c>
      <c r="L16" t="b">
        <v>1</v>
      </c>
    </row>
    <row r="17">
      <c r="A17" t="inlineStr">
        <is>
          <t>iPad Air M3  11" 128 GB Wifi</t>
        </is>
      </c>
      <c r="B17" s="3" t="n"/>
      <c r="C17" s="25" t="n">
        <v>16990000</v>
      </c>
      <c r="D17" s="3" t="n">
        <v>16690000</v>
      </c>
      <c r="E17" s="40" t="n">
        <v>16325000</v>
      </c>
      <c r="F17" s="39" t="n">
        <v>16690000</v>
      </c>
      <c r="G17" s="4" t="n">
        <v>16490000</v>
      </c>
      <c r="J17" t="inlineStr">
        <is>
          <t>FPT</t>
        </is>
      </c>
      <c r="K17" t="inlineStr">
        <is>
          <t>Việt</t>
        </is>
      </c>
      <c r="L17" t="b">
        <v>1</v>
      </c>
    </row>
    <row r="18">
      <c r="A18" t="inlineStr">
        <is>
          <t>iPad Air M3  13" 128 GB Wifi</t>
        </is>
      </c>
      <c r="B18" s="25" t="n"/>
      <c r="C18" s="25" t="n">
        <v>20990000</v>
      </c>
      <c r="D18" s="3" t="n">
        <v>22390000</v>
      </c>
      <c r="E18" s="3" t="n">
        <v>21290000</v>
      </c>
      <c r="F18" s="39" t="n">
        <v>21990000</v>
      </c>
      <c r="G18" s="34" t="n">
        <v>21790000</v>
      </c>
      <c r="J18" t="inlineStr">
        <is>
          <t>Viettel</t>
        </is>
      </c>
      <c r="K18" t="inlineStr">
        <is>
          <t>Nghĩa</t>
        </is>
      </c>
      <c r="L18" t="b">
        <v>1</v>
      </c>
    </row>
    <row r="19">
      <c r="A19" t="inlineStr">
        <is>
          <t>iPad Pro  M4  11" 256 GB Wifi</t>
        </is>
      </c>
      <c r="B19" s="25" t="n"/>
      <c r="C19" s="3" t="n">
        <v>26490000</v>
      </c>
      <c r="D19" s="3" t="n">
        <v>27490000</v>
      </c>
      <c r="E19" s="40" t="n">
        <v>27190000</v>
      </c>
      <c r="F19" s="34" t="n">
        <v>26490000</v>
      </c>
      <c r="G19" s="4" t="n">
        <v>27490000</v>
      </c>
      <c r="J19" t="inlineStr">
        <is>
          <t>CPS</t>
        </is>
      </c>
      <c r="K19" t="inlineStr">
        <is>
          <t>Trang</t>
        </is>
      </c>
      <c r="L19" t="b">
        <v>1</v>
      </c>
    </row>
    <row r="20">
      <c r="A20" t="inlineStr">
        <is>
          <t>iPad Pro  M4  13" 256 GB Wifi</t>
        </is>
      </c>
      <c r="B20" s="3" t="n"/>
      <c r="C20" s="25" t="n">
        <v>36690000</v>
      </c>
      <c r="D20" s="3" t="n">
        <v>36590000</v>
      </c>
      <c r="E20" s="40" t="n">
        <v>35990000</v>
      </c>
      <c r="F20" s="39" t="n">
        <v>36990000</v>
      </c>
      <c r="G20" s="4" t="n">
        <v>36590000</v>
      </c>
      <c r="J20" t="inlineStr">
        <is>
          <t>ShopDunk</t>
        </is>
      </c>
      <c r="K20" t="inlineStr">
        <is>
          <t>Đạt</t>
        </is>
      </c>
      <c r="L20" t="b">
        <v>1</v>
      </c>
    </row>
    <row r="21">
      <c r="A21" t="inlineStr">
        <is>
          <t>AW SE 2 (40mm GPS)</t>
        </is>
      </c>
      <c r="B21" s="25" t="n"/>
      <c r="C21" s="43" t="n">
        <v>5220000</v>
      </c>
      <c r="D21" s="25" t="n">
        <v>5190000</v>
      </c>
      <c r="E21" s="40" t="n">
        <v>4490000</v>
      </c>
      <c r="F21" s="34" t="n">
        <v>5290000</v>
      </c>
      <c r="G21" s="4" t="n">
        <v>5190000</v>
      </c>
    </row>
    <row r="22">
      <c r="A22" t="inlineStr">
        <is>
          <t>AW SE 2 (40mm LTE)</t>
        </is>
      </c>
      <c r="B22" s="25" t="n"/>
      <c r="C22" s="25" t="n">
        <v>7090000</v>
      </c>
      <c r="D22" s="25" t="n">
        <v>7090000</v>
      </c>
      <c r="E22" s="40" t="n">
        <v>6227000</v>
      </c>
      <c r="F22" s="39" t="n">
        <v>6690000</v>
      </c>
      <c r="G22" s="4" t="n">
        <v>6490000</v>
      </c>
    </row>
    <row r="23">
      <c r="A23" t="inlineStr">
        <is>
          <t>AW SE 2 (44mm GPS)</t>
        </is>
      </c>
      <c r="B23" s="25" t="n"/>
      <c r="C23" s="25" t="n">
        <v>5820000</v>
      </c>
      <c r="D23" s="25" t="n">
        <v>5790000</v>
      </c>
      <c r="E23" s="40" t="n">
        <v>4990000</v>
      </c>
      <c r="F23" s="34" t="n">
        <v>5990000</v>
      </c>
      <c r="G23" s="4" t="n">
        <v>5890000</v>
      </c>
    </row>
    <row r="24">
      <c r="A24" t="inlineStr">
        <is>
          <t>AW SE 2 (44mm LTE)</t>
        </is>
      </c>
      <c r="B24" s="25" t="n"/>
      <c r="C24" s="25" t="n">
        <v>7890000</v>
      </c>
      <c r="D24" s="25" t="n">
        <v>7890000</v>
      </c>
      <c r="E24" s="40" t="n">
        <v>6920000</v>
      </c>
      <c r="F24" s="34" t="n">
        <v>7290000</v>
      </c>
      <c r="G24" s="4" t="n">
        <v>7690000</v>
      </c>
    </row>
    <row r="25">
      <c r="A25" t="inlineStr">
        <is>
          <t>AW S10 (42mm GPS)</t>
        </is>
      </c>
      <c r="B25" s="25" t="n"/>
      <c r="C25" s="25" t="n">
        <v>8380000</v>
      </c>
      <c r="D25" s="3" t="n">
        <v>8390000</v>
      </c>
      <c r="E25" s="40" t="n">
        <v>8405000</v>
      </c>
      <c r="F25" s="39" t="n">
        <v>8350000</v>
      </c>
      <c r="G25" s="3" t="n">
        <v>8390000</v>
      </c>
    </row>
    <row r="26">
      <c r="A26" t="inlineStr">
        <is>
          <t>AW S10 (42mm CEL)</t>
        </is>
      </c>
      <c r="B26" s="25" t="n"/>
      <c r="C26" s="25" t="n">
        <v>13390000</v>
      </c>
      <c r="D26" s="25" t="n">
        <v>12690000</v>
      </c>
      <c r="E26" s="40" t="n">
        <v>11870000</v>
      </c>
      <c r="F26" s="34" t="n">
        <v>12990000</v>
      </c>
      <c r="G26" s="4" t="n">
        <v>12690000</v>
      </c>
    </row>
    <row r="27">
      <c r="A27" t="inlineStr">
        <is>
          <t>AW S10 (46mm GPS)</t>
        </is>
      </c>
      <c r="B27" s="25" t="n"/>
      <c r="C27" s="25" t="n">
        <v>9380000</v>
      </c>
      <c r="D27" s="3" t="n">
        <v>9390000</v>
      </c>
      <c r="E27" s="40" t="n">
        <v>8900000</v>
      </c>
      <c r="F27" s="34" t="n">
        <v>9350000</v>
      </c>
      <c r="G27" s="4" t="n">
        <v>9490000</v>
      </c>
    </row>
    <row r="28">
      <c r="A28" t="inlineStr">
        <is>
          <t>AW S10 (46mm CEL)</t>
        </is>
      </c>
      <c r="B28" s="3" t="n"/>
      <c r="C28" s="25" t="n">
        <v>13790000</v>
      </c>
      <c r="D28" s="25" t="n">
        <v>13690000</v>
      </c>
      <c r="E28" s="40" t="n">
        <v>12583000</v>
      </c>
      <c r="F28" s="34" t="n">
        <v>13890000</v>
      </c>
      <c r="G28" s="4" t="n">
        <v>13590000</v>
      </c>
    </row>
    <row r="29">
      <c r="A29" t="inlineStr">
        <is>
          <t>AW Ultra 2 (49mm)</t>
        </is>
      </c>
      <c r="B29" s="25" t="n"/>
      <c r="C29" s="25" t="n">
        <v>22090000</v>
      </c>
      <c r="D29" s="25" t="n">
        <v>22190000</v>
      </c>
      <c r="E29" s="40" t="n">
        <v>21790000</v>
      </c>
      <c r="F29" s="40" t="n">
        <v>21990000</v>
      </c>
      <c r="G29" s="4" t="n">
        <v>22990000</v>
      </c>
    </row>
    <row r="30">
      <c r="A30" t="inlineStr">
        <is>
          <t>AirPods Pro 2 - 2023 (C-Type)</t>
        </is>
      </c>
      <c r="B30" s="3" t="n"/>
      <c r="C30" s="25" t="n">
        <v>5390000</v>
      </c>
      <c r="D30" s="39" t="n">
        <v>5390000</v>
      </c>
      <c r="E30" s="40" t="n">
        <v>5138000</v>
      </c>
      <c r="F30" s="40" t="n">
        <v>5350000</v>
      </c>
      <c r="G30" s="4" t="n">
        <v>5250000</v>
      </c>
    </row>
    <row r="31">
      <c r="A31" t="inlineStr">
        <is>
          <t>AirPods 4 ANC</t>
        </is>
      </c>
      <c r="B31" s="3" t="n"/>
      <c r="C31" s="25" t="n">
        <v>4290000</v>
      </c>
      <c r="D31" s="40" t="n">
        <v>4290000</v>
      </c>
      <c r="E31" s="40" t="n">
        <v>4247000</v>
      </c>
      <c r="F31" s="40" t="n">
        <v>4290000</v>
      </c>
      <c r="G31" s="4" t="n">
        <v>4250000</v>
      </c>
    </row>
    <row r="32">
      <c r="A32" t="inlineStr">
        <is>
          <t>AirPods 4 with charging case</t>
        </is>
      </c>
      <c r="B32" s="3" t="n"/>
      <c r="C32" s="25" t="n">
        <v>3090000</v>
      </c>
      <c r="D32" s="40" t="n">
        <v>3090000</v>
      </c>
      <c r="E32" s="40" t="n">
        <v>2990000</v>
      </c>
      <c r="F32" s="40" t="n">
        <v>3090000</v>
      </c>
      <c r="G32" s="4" t="n">
        <v>3090000</v>
      </c>
    </row>
    <row r="33">
      <c r="A33" t="inlineStr">
        <is>
          <t>MacBook Air 13" M1 8/256Gb</t>
        </is>
      </c>
      <c r="B33" s="3" t="n"/>
      <c r="C33" s="3" t="n">
        <v>17490000</v>
      </c>
      <c r="D33" s="39" t="n">
        <v>16990000</v>
      </c>
      <c r="E33" s="37" t="n"/>
      <c r="F33" s="34" t="n">
        <v>17190000</v>
      </c>
      <c r="G33" s="3" t="n">
        <v>16690000</v>
      </c>
    </row>
    <row r="34">
      <c r="A34" t="inlineStr">
        <is>
          <t>MacBook Air 13" M2 16/256GB</t>
        </is>
      </c>
      <c r="B34" s="25" t="n"/>
      <c r="C34" s="3" t="n">
        <v>21490000</v>
      </c>
      <c r="D34" s="25" t="n">
        <v>21790000</v>
      </c>
      <c r="E34" s="37" t="n"/>
      <c r="F34" s="34" t="n">
        <v>21390000</v>
      </c>
      <c r="G34" s="4" t="n">
        <v>20990000</v>
      </c>
    </row>
    <row r="35">
      <c r="A35" t="inlineStr">
        <is>
          <t>MacBook Air 13" M3 16/256GB</t>
        </is>
      </c>
      <c r="B35" s="3" t="n"/>
      <c r="C35" s="43" t="n">
        <v>25490000</v>
      </c>
      <c r="D35" s="39" t="n">
        <v>24990000</v>
      </c>
      <c r="E35" s="37" t="n"/>
      <c r="F35" s="39" t="n">
        <v>24690000</v>
      </c>
      <c r="G35" s="4" t="n">
        <v>25290000</v>
      </c>
    </row>
    <row r="36">
      <c r="A36" t="inlineStr">
        <is>
          <t>MacBook Air 13" M4 16/256GB</t>
        </is>
      </c>
      <c r="B36" s="3" t="n"/>
      <c r="C36" s="43" t="n">
        <v>26990000</v>
      </c>
      <c r="D36" s="34" t="n">
        <v>26690000</v>
      </c>
      <c r="E36" s="37" t="n"/>
      <c r="F36" s="39" t="n">
        <v>26490000</v>
      </c>
      <c r="G36" s="4" t="n">
        <v>26590000</v>
      </c>
    </row>
    <row r="37">
      <c r="A37" t="inlineStr">
        <is>
          <t>MacBook Air 15" M4 16/256GB</t>
        </is>
      </c>
      <c r="B37" s="25" t="n"/>
      <c r="C37" s="43" t="n">
        <v>29090000</v>
      </c>
      <c r="D37" s="25" t="n">
        <v>31890000</v>
      </c>
      <c r="E37" s="37" t="n"/>
      <c r="F37" s="39" t="n">
        <v>31990000</v>
      </c>
      <c r="G37" s="4" t="n">
        <v>31990000</v>
      </c>
    </row>
    <row r="38">
      <c r="A38" t="inlineStr">
        <is>
          <t>MacBook Pro 14" M4 16/512GB</t>
        </is>
      </c>
      <c r="B38" s="25" t="n"/>
      <c r="C38" s="25" t="n">
        <v>39990000</v>
      </c>
      <c r="D38" s="25" t="n">
        <v>39590000</v>
      </c>
      <c r="E38" s="37" t="n"/>
      <c r="F38" s="40" t="n">
        <v>39390000</v>
      </c>
      <c r="G38"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5.xml><?xml version="1.0" encoding="utf-8"?>
<worksheet xmlns="http://schemas.openxmlformats.org/spreadsheetml/2006/main">
  <sheetPr>
    <outlinePr summaryBelow="1" summaryRight="1"/>
    <pageSetUpPr/>
  </sheetPr>
  <dimension ref="A1:L37"/>
  <sheetViews>
    <sheetView zoomScale="130"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9" t="n">
        <v>16190000</v>
      </c>
      <c r="D2" s="49" t="n">
        <v>16190000</v>
      </c>
      <c r="E2" s="40" t="n">
        <v>16127000</v>
      </c>
      <c r="F2" s="40" t="n">
        <v>16190000</v>
      </c>
      <c r="G2" s="40" t="n">
        <v>15990000</v>
      </c>
    </row>
    <row r="3">
      <c r="A3" t="inlineStr">
        <is>
          <t>iPhone 16  128GB</t>
        </is>
      </c>
      <c r="B3" s="25" t="n"/>
      <c r="C3" s="3" t="n">
        <v>19090000</v>
      </c>
      <c r="D3" s="42" t="n">
        <v>19090000</v>
      </c>
      <c r="E3" s="40" t="n">
        <v>18990000</v>
      </c>
      <c r="F3" s="40" t="n">
        <v>18990000</v>
      </c>
      <c r="G3" s="40" t="n">
        <v>18790000</v>
      </c>
    </row>
    <row r="4">
      <c r="A4" t="inlineStr">
        <is>
          <t>iPhone 16  Plus 128GB</t>
        </is>
      </c>
      <c r="B4" s="3" t="n"/>
      <c r="C4" s="3" t="n">
        <v>22290000</v>
      </c>
      <c r="D4" s="42" t="n">
        <v>22290000</v>
      </c>
      <c r="E4" s="40" t="n">
        <v>21990000</v>
      </c>
      <c r="F4" s="40" t="n">
        <v>22190000</v>
      </c>
      <c r="G4" s="40" t="n">
        <v>21990000</v>
      </c>
    </row>
    <row r="5">
      <c r="A5" t="inlineStr">
        <is>
          <t>iPhone 16 Pro  128GB</t>
        </is>
      </c>
      <c r="B5" s="25" t="n"/>
      <c r="C5" s="25" t="n">
        <v>25290000</v>
      </c>
      <c r="D5" s="43" t="n">
        <v>25190000</v>
      </c>
      <c r="E5" s="40" t="n">
        <v>24690000</v>
      </c>
      <c r="F5" s="40" t="n">
        <v>24990000</v>
      </c>
      <c r="G5" s="40" t="n">
        <v>24690000</v>
      </c>
    </row>
    <row r="6">
      <c r="A6" t="inlineStr">
        <is>
          <t>iPhone 16 Pro Max 256GB</t>
        </is>
      </c>
      <c r="B6" s="3" t="n"/>
      <c r="C6" s="3" t="n">
        <v>30890000</v>
      </c>
      <c r="D6" s="42" t="n">
        <v>30790000</v>
      </c>
      <c r="E6" s="40" t="n">
        <v>30190000</v>
      </c>
      <c r="F6" s="40" t="n">
        <v>30390000</v>
      </c>
      <c r="G6" s="40" t="n">
        <v>30090000</v>
      </c>
    </row>
    <row r="7">
      <c r="A7" t="inlineStr">
        <is>
          <t>iPhone 15  128GB</t>
        </is>
      </c>
      <c r="B7" s="25" t="n"/>
      <c r="C7" s="25" t="n">
        <v>15990000</v>
      </c>
      <c r="D7" s="43" t="n">
        <v>15890000</v>
      </c>
      <c r="E7" s="40" t="n">
        <v>15490000</v>
      </c>
      <c r="F7" s="40" t="n">
        <v>15790000</v>
      </c>
      <c r="G7" s="38" t="n">
        <v>15490000</v>
      </c>
    </row>
    <row r="8">
      <c r="A8" t="inlineStr">
        <is>
          <t>iPhone 15  Plus 128GB</t>
        </is>
      </c>
      <c r="B8" s="25" t="n"/>
      <c r="C8" s="25" t="n">
        <v>19590000</v>
      </c>
      <c r="D8" s="43" t="n">
        <v>19490000</v>
      </c>
      <c r="E8" s="40" t="n">
        <v>18990000</v>
      </c>
      <c r="F8" s="40" t="n">
        <v>19290000</v>
      </c>
      <c r="G8" s="38" t="n">
        <v>18990000</v>
      </c>
    </row>
    <row r="9">
      <c r="A9" t="inlineStr">
        <is>
          <t>iPhone 15 Pro Max 256GB</t>
        </is>
      </c>
      <c r="B9" s="3" t="n"/>
      <c r="C9" s="25" t="n">
        <v>29990000</v>
      </c>
      <c r="D9" s="25" t="n">
        <v>28490000</v>
      </c>
      <c r="E9" s="40" t="inlineStr">
        <is>
          <t>OOS</t>
        </is>
      </c>
      <c r="F9" s="40" t="n">
        <v>28590000</v>
      </c>
      <c r="G9" s="40" t="n">
        <v>27990000</v>
      </c>
    </row>
    <row r="10">
      <c r="A10" t="inlineStr">
        <is>
          <t>iPhone 14 Plus 128GB</t>
        </is>
      </c>
      <c r="B10" s="3" t="n"/>
      <c r="C10" s="43" t="inlineStr">
        <is>
          <t>OOS</t>
        </is>
      </c>
      <c r="D10" s="25" t="n">
        <v>18490000</v>
      </c>
      <c r="E10" s="40" t="n">
        <v>18990000</v>
      </c>
      <c r="F10" s="43" t="inlineStr">
        <is>
          <t>OOS</t>
        </is>
      </c>
      <c r="G10" s="4" t="n">
        <v>17290000</v>
      </c>
    </row>
    <row r="11">
      <c r="A11" t="inlineStr">
        <is>
          <t>iPhone 14 128GB</t>
        </is>
      </c>
      <c r="B11" s="25" t="n"/>
      <c r="C11" s="3" t="n">
        <v>12790000</v>
      </c>
      <c r="D11" s="40" t="n">
        <v>12790000</v>
      </c>
      <c r="E11" s="40" t="n">
        <v>12690000</v>
      </c>
      <c r="F11" s="39" t="n">
        <v>12590000</v>
      </c>
      <c r="G11" s="4" t="n">
        <v>12290000</v>
      </c>
    </row>
    <row r="12">
      <c r="A12" t="inlineStr">
        <is>
          <t>iPhone 13  128GB</t>
        </is>
      </c>
      <c r="B12" s="3" t="n"/>
      <c r="C12" s="25" t="n">
        <v>11790000</v>
      </c>
      <c r="D12" s="39" t="n">
        <v>11690000</v>
      </c>
      <c r="E12" s="40" t="n">
        <v>11672000</v>
      </c>
      <c r="F12" s="39" t="n">
        <v>11650000</v>
      </c>
      <c r="G12" s="4" t="n">
        <v>11590000</v>
      </c>
    </row>
    <row r="13">
      <c r="A13" t="inlineStr">
        <is>
          <t>iPhone 12 64GB</t>
        </is>
      </c>
      <c r="B13" s="25" t="n"/>
      <c r="C13" s="25" t="n">
        <v>9990000</v>
      </c>
      <c r="D13" s="25" t="inlineStr">
        <is>
          <t>OOS</t>
        </is>
      </c>
      <c r="E13" s="40" t="n">
        <v>9990000</v>
      </c>
      <c r="F13" s="25" t="inlineStr">
        <is>
          <t>OOS</t>
        </is>
      </c>
      <c r="G13" s="4" t="inlineStr">
        <is>
          <t>OOS</t>
        </is>
      </c>
    </row>
    <row r="14">
      <c r="A14" t="inlineStr">
        <is>
          <t>iPad Mini 7 128GB Wifi</t>
        </is>
      </c>
      <c r="B14" s="25" t="n"/>
      <c r="C14" s="43" t="n">
        <v>11790000</v>
      </c>
      <c r="D14" s="25" t="n">
        <v>13890000</v>
      </c>
      <c r="E14" s="40" t="n">
        <v>13652000</v>
      </c>
      <c r="F14" s="39" t="n">
        <v>13850000</v>
      </c>
      <c r="G14" s="4" t="n">
        <v>13690000</v>
      </c>
    </row>
    <row r="15">
      <c r="A15" t="inlineStr">
        <is>
          <t>iPad Gen 11th  128GB Wifi</t>
        </is>
      </c>
      <c r="B15" s="3" t="n"/>
      <c r="C15" s="43" t="n">
        <v>9990000</v>
      </c>
      <c r="D15" s="25" t="n">
        <v>8490000</v>
      </c>
      <c r="E15" s="40" t="n">
        <v>8405000</v>
      </c>
      <c r="F15" s="34" t="n">
        <v>8890000</v>
      </c>
      <c r="G15" s="34" t="n">
        <v>8390000</v>
      </c>
      <c r="J15" t="inlineStr">
        <is>
          <t xml:space="preserve">MW </t>
        </is>
      </c>
      <c r="K15" t="inlineStr">
        <is>
          <t>Duy</t>
        </is>
      </c>
      <c r="L15" t="b">
        <v>1</v>
      </c>
    </row>
    <row r="16">
      <c r="A16" t="inlineStr">
        <is>
          <t>iPad Air M3  11" 128 GB Wifi</t>
        </is>
      </c>
      <c r="B16" s="3" t="n"/>
      <c r="C16" s="25" t="n">
        <v>16990000</v>
      </c>
      <c r="D16" s="25" t="n">
        <v>16690000</v>
      </c>
      <c r="E16" s="40" t="n">
        <v>16325000</v>
      </c>
      <c r="F16" s="34" t="n">
        <v>16590000</v>
      </c>
      <c r="G16" s="4" t="n">
        <v>16490000</v>
      </c>
      <c r="J16" t="inlineStr">
        <is>
          <t>FPT</t>
        </is>
      </c>
      <c r="K16" t="inlineStr">
        <is>
          <t>Việt</t>
        </is>
      </c>
      <c r="L16" t="b">
        <v>1</v>
      </c>
    </row>
    <row r="17">
      <c r="A17" t="inlineStr">
        <is>
          <t>iPad Air M3  13" 128 GB Wifi</t>
        </is>
      </c>
      <c r="B17" s="25" t="n"/>
      <c r="C17" s="25" t="n">
        <v>20990000</v>
      </c>
      <c r="D17" s="25" t="n">
        <v>22390000</v>
      </c>
      <c r="E17" s="40" t="n">
        <v>21290000</v>
      </c>
      <c r="F17" s="39" t="n">
        <v>21990000</v>
      </c>
      <c r="G17" s="4" t="n">
        <v>21790000</v>
      </c>
      <c r="J17" t="inlineStr">
        <is>
          <t>Viettel</t>
        </is>
      </c>
      <c r="K17" t="inlineStr">
        <is>
          <t>Nghĩa</t>
        </is>
      </c>
      <c r="L17" t="b">
        <v>1</v>
      </c>
    </row>
    <row r="18">
      <c r="A18" t="inlineStr">
        <is>
          <t>iPad Pro  M4  11" 256 GB Wifi</t>
        </is>
      </c>
      <c r="B18" s="25" t="n"/>
      <c r="C18" s="3" t="n">
        <v>25990000</v>
      </c>
      <c r="D18" s="25" t="n">
        <v>27490000</v>
      </c>
      <c r="E18" s="3" t="n">
        <v>26490000</v>
      </c>
      <c r="F18" s="34" t="n">
        <v>26690000</v>
      </c>
      <c r="G18" s="4" t="n">
        <v>27490000</v>
      </c>
      <c r="J18" t="inlineStr">
        <is>
          <t>CPS</t>
        </is>
      </c>
      <c r="K18" t="inlineStr">
        <is>
          <t>Trang</t>
        </is>
      </c>
      <c r="L18" t="b">
        <v>1</v>
      </c>
    </row>
    <row r="19">
      <c r="A19" t="inlineStr">
        <is>
          <t>iPad Pro  M4  13" 256 GB Wifi</t>
        </is>
      </c>
      <c r="B19" s="3" t="n"/>
      <c r="C19" s="3" t="n">
        <v>33990000</v>
      </c>
      <c r="D19" s="25" t="n">
        <v>36590000</v>
      </c>
      <c r="E19" s="40" t="n">
        <v>35990000</v>
      </c>
      <c r="F19" s="39" t="n">
        <v>36990000</v>
      </c>
      <c r="G19" s="4" t="n">
        <v>36590000</v>
      </c>
      <c r="J19" t="inlineStr">
        <is>
          <t>ShopDunk</t>
        </is>
      </c>
      <c r="K19" t="inlineStr">
        <is>
          <t>Đạt</t>
        </is>
      </c>
      <c r="L19" t="b">
        <v>1</v>
      </c>
    </row>
    <row r="20">
      <c r="A20" t="inlineStr">
        <is>
          <t>AW SE 2 (40mm GPS)</t>
        </is>
      </c>
      <c r="B20" s="25" t="n"/>
      <c r="C20" s="42" t="n">
        <v>5990000</v>
      </c>
      <c r="D20" s="3" t="n">
        <v>5790000</v>
      </c>
      <c r="E20" s="3" t="n">
        <v>5336000</v>
      </c>
      <c r="F20" s="34" t="n">
        <v>5790000</v>
      </c>
      <c r="G20" s="34" t="n">
        <v>5690000</v>
      </c>
    </row>
    <row r="21">
      <c r="A21" t="inlineStr">
        <is>
          <t>AW SE 2 (40mm LTE)</t>
        </is>
      </c>
      <c r="B21" s="25" t="n"/>
      <c r="C21" s="25" t="n">
        <v>7090000</v>
      </c>
      <c r="D21" s="25" t="n">
        <v>7090000</v>
      </c>
      <c r="E21" s="3" t="n">
        <v>6722000</v>
      </c>
      <c r="F21" s="39" t="n">
        <v>6690000</v>
      </c>
      <c r="G21" s="4" t="n">
        <v>6490000</v>
      </c>
    </row>
    <row r="22">
      <c r="A22" t="inlineStr">
        <is>
          <t>AW SE 2 (44mm GPS)</t>
        </is>
      </c>
      <c r="B22" s="25" t="n"/>
      <c r="C22" s="3" t="n">
        <v>6590000</v>
      </c>
      <c r="D22" s="3" t="n">
        <v>6590000</v>
      </c>
      <c r="E22" s="3" t="n">
        <v>5930000</v>
      </c>
      <c r="F22" s="34" t="n">
        <v>6590000</v>
      </c>
      <c r="G22" s="34" t="n">
        <v>6590000</v>
      </c>
    </row>
    <row r="23">
      <c r="A23" t="inlineStr">
        <is>
          <t>AW SE 2 (44mm LTE)</t>
        </is>
      </c>
      <c r="B23" s="25" t="n"/>
      <c r="C23" s="25" t="n">
        <v>7890000</v>
      </c>
      <c r="D23" s="25" t="n">
        <v>7890000</v>
      </c>
      <c r="E23" s="3" t="n">
        <v>7415000</v>
      </c>
      <c r="F23" s="34" t="n">
        <v>7290000</v>
      </c>
      <c r="G23" s="4" t="n">
        <v>7690000</v>
      </c>
    </row>
    <row r="24">
      <c r="A24" t="inlineStr">
        <is>
          <t>AW S10 (42mm GPS)</t>
        </is>
      </c>
      <c r="B24" s="25" t="n"/>
      <c r="C24" s="3" t="n">
        <v>10790000</v>
      </c>
      <c r="D24" s="3" t="n">
        <v>10690000</v>
      </c>
      <c r="E24" s="3" t="n">
        <v>10187000</v>
      </c>
      <c r="F24" s="34" t="n">
        <v>10590000</v>
      </c>
      <c r="G24" s="3" t="n">
        <v>10590000</v>
      </c>
    </row>
    <row r="25">
      <c r="A25" t="inlineStr">
        <is>
          <t>AW S10 (42mm CEL)</t>
        </is>
      </c>
      <c r="B25" s="25" t="n"/>
      <c r="C25" s="25" t="n">
        <v>13390000</v>
      </c>
      <c r="D25" s="25" t="n">
        <v>12690000</v>
      </c>
      <c r="E25" s="3" t="n">
        <v>12860000</v>
      </c>
      <c r="F25" s="34" t="n">
        <v>12990000</v>
      </c>
      <c r="G25" s="34" t="n">
        <v>12890000</v>
      </c>
    </row>
    <row r="26">
      <c r="A26" t="inlineStr">
        <is>
          <t>AW S10 (46mm GPS)</t>
        </is>
      </c>
      <c r="B26" s="25" t="n"/>
      <c r="C26" s="3" t="n">
        <v>11390000</v>
      </c>
      <c r="D26" s="3" t="n">
        <v>11490000</v>
      </c>
      <c r="E26" s="3" t="n">
        <v>10880000</v>
      </c>
      <c r="F26" s="39" t="n">
        <v>9350000</v>
      </c>
      <c r="G26" s="34" t="n">
        <v>11290000</v>
      </c>
    </row>
    <row r="27">
      <c r="A27" t="inlineStr">
        <is>
          <t>AW S10 (46mm CEL)</t>
        </is>
      </c>
      <c r="B27" s="3" t="n"/>
      <c r="C27" s="3" t="n">
        <v>13990000</v>
      </c>
      <c r="D27" s="25" t="n">
        <v>13690000</v>
      </c>
      <c r="E27" s="3" t="n">
        <v>13553000</v>
      </c>
      <c r="F27" s="39" t="n">
        <v>13890000</v>
      </c>
      <c r="G27" s="4" t="n">
        <v>13590000</v>
      </c>
    </row>
    <row r="28">
      <c r="A28" t="inlineStr">
        <is>
          <t>AW Ultra 2 (49mm)</t>
        </is>
      </c>
      <c r="B28" s="25" t="n"/>
      <c r="C28" s="25" t="n">
        <v>22490000</v>
      </c>
      <c r="D28" s="25" t="n">
        <v>22190000</v>
      </c>
      <c r="E28" s="40" t="n">
        <v>21790000</v>
      </c>
      <c r="F28" s="40" t="n">
        <v>21990000</v>
      </c>
      <c r="G28" s="4" t="n">
        <v>22990000</v>
      </c>
    </row>
    <row r="29">
      <c r="A29" t="inlineStr">
        <is>
          <t>AirPods Pro 2 - 2023 (C-Type)</t>
        </is>
      </c>
      <c r="B29" s="3" t="n"/>
      <c r="C29" s="3" t="n">
        <v>5690000</v>
      </c>
      <c r="D29" s="39" t="n">
        <v>5390000</v>
      </c>
      <c r="E29" s="3" t="n">
        <v>5633000</v>
      </c>
      <c r="F29" s="38" t="n">
        <v>5650000</v>
      </c>
      <c r="G29" s="4" t="n">
        <v>5250000</v>
      </c>
    </row>
    <row r="30">
      <c r="A30" t="inlineStr">
        <is>
          <t>AirPods 4 ANC</t>
        </is>
      </c>
      <c r="B30" s="3" t="n"/>
      <c r="C30" s="3" t="n">
        <v>4690000</v>
      </c>
      <c r="D30" s="38" t="n">
        <v>4590000</v>
      </c>
      <c r="E30" s="3" t="n">
        <v>4445000</v>
      </c>
      <c r="F30" s="38" t="n">
        <v>4590000</v>
      </c>
      <c r="G30" s="34" t="n">
        <v>4550000</v>
      </c>
    </row>
    <row r="31">
      <c r="A31" t="inlineStr">
        <is>
          <t>AirPods 4 with charging case</t>
        </is>
      </c>
      <c r="B31" s="3" t="n"/>
      <c r="C31" s="3" t="n">
        <v>3390000</v>
      </c>
      <c r="D31" s="38" t="n">
        <v>3290000</v>
      </c>
      <c r="E31" s="3" t="n">
        <v>3190000</v>
      </c>
      <c r="F31" s="38" t="n">
        <v>3290000</v>
      </c>
      <c r="G31" s="34" t="n">
        <v>3290000</v>
      </c>
    </row>
    <row r="32">
      <c r="A32" t="inlineStr">
        <is>
          <t>MacBook Air 13" M1 8/256Gb</t>
        </is>
      </c>
      <c r="B32" s="3" t="n"/>
      <c r="C32" s="25" t="n">
        <v>17490000</v>
      </c>
      <c r="D32" s="39" t="n">
        <v>16990000</v>
      </c>
      <c r="E32" s="37" t="n"/>
      <c r="F32" s="39" t="n">
        <v>17190000</v>
      </c>
      <c r="G32" s="3" t="n">
        <v>16490000</v>
      </c>
    </row>
    <row r="33">
      <c r="A33" t="inlineStr">
        <is>
          <t>MacBook Air 13" M2 16/256GB</t>
        </is>
      </c>
      <c r="B33" s="25" t="n"/>
      <c r="C33" s="3" t="n">
        <v>21290000</v>
      </c>
      <c r="D33" s="3" t="n">
        <v>21490000</v>
      </c>
      <c r="E33" s="37" t="n"/>
      <c r="F33" s="34" t="n">
        <v>21190000</v>
      </c>
      <c r="G33" s="4" t="n">
        <v>20990000</v>
      </c>
    </row>
    <row r="34">
      <c r="A34" t="inlineStr">
        <is>
          <t>MacBook Air 13" M3 16/256GB</t>
        </is>
      </c>
      <c r="B34" s="3" t="n"/>
      <c r="C34" s="42" t="n">
        <v>24690000</v>
      </c>
      <c r="D34" s="39" t="n">
        <v>24990000</v>
      </c>
      <c r="E34" s="37" t="n"/>
      <c r="F34" s="39" t="n">
        <v>24690000</v>
      </c>
      <c r="G34" s="4" t="n">
        <v>25290000</v>
      </c>
    </row>
    <row r="35">
      <c r="A35" t="inlineStr">
        <is>
          <t>MacBook Air 13" M4 16/256GB</t>
        </is>
      </c>
      <c r="B35" s="3" t="n"/>
      <c r="C35" s="43" t="n">
        <v>26990000</v>
      </c>
      <c r="D35" s="39" t="n">
        <v>26690000</v>
      </c>
      <c r="E35" s="37" t="n"/>
      <c r="F35" s="39" t="n">
        <v>26290000</v>
      </c>
      <c r="G35" s="34" t="n">
        <v>26290000</v>
      </c>
    </row>
    <row r="36">
      <c r="A36" t="inlineStr">
        <is>
          <t>MacBook Air 15" M4 16/256GB</t>
        </is>
      </c>
      <c r="B36" s="25" t="n"/>
      <c r="C36" s="43" t="n">
        <v>29090000</v>
      </c>
      <c r="D36" s="25" t="n">
        <v>31890000</v>
      </c>
      <c r="E36" s="37" t="n"/>
      <c r="F36" s="39" t="n">
        <v>31990000</v>
      </c>
      <c r="G36" s="4" t="n">
        <v>31990000</v>
      </c>
    </row>
    <row r="37">
      <c r="A37" t="inlineStr">
        <is>
          <t>MacBook Pro 14" M4 16/512GB</t>
        </is>
      </c>
      <c r="B37" s="25" t="n"/>
      <c r="C37" s="25" t="n">
        <v>39990000</v>
      </c>
      <c r="D37" s="25" t="n">
        <v>39590000</v>
      </c>
      <c r="E37" s="37" t="n"/>
      <c r="F37" s="40" t="n">
        <v>39390000</v>
      </c>
      <c r="G37"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6.xml><?xml version="1.0" encoding="utf-8"?>
<worksheet xmlns="http://schemas.openxmlformats.org/spreadsheetml/2006/main">
  <sheetPr>
    <outlinePr summaryBelow="1" summaryRight="1"/>
    <pageSetUpPr/>
  </sheetPr>
  <dimension ref="A1:L37"/>
  <sheetViews>
    <sheetView zoomScale="120" zoomScaleNormal="120" workbookViewId="0">
      <pane xSplit="2" ySplit="1" topLeftCell="C16"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3" customWidth="1" style="35" min="7" max="7"/>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16127000</v>
      </c>
      <c r="F2" s="40" t="n">
        <v>16190000</v>
      </c>
      <c r="G2" s="40" t="n">
        <v>15990000</v>
      </c>
    </row>
    <row r="3">
      <c r="A3" t="inlineStr">
        <is>
          <t>iPhone 16  128GB</t>
        </is>
      </c>
      <c r="B3" s="25" t="n"/>
      <c r="C3" s="25" t="n">
        <v>19090000</v>
      </c>
      <c r="D3" s="42" t="n">
        <v>18990000</v>
      </c>
      <c r="E3" s="40" t="n">
        <v>18490000</v>
      </c>
      <c r="F3" s="40" t="n">
        <v>18890000</v>
      </c>
      <c r="G3" s="40" t="n">
        <v>18790000</v>
      </c>
    </row>
    <row r="4">
      <c r="A4" t="inlineStr">
        <is>
          <t>iPhone 16  Plus 128GB</t>
        </is>
      </c>
      <c r="B4" s="3" t="n"/>
      <c r="C4" s="25" t="n">
        <v>22290000</v>
      </c>
      <c r="D4" s="42" t="n">
        <v>22190000</v>
      </c>
      <c r="E4" s="40" t="n">
        <v>21690000</v>
      </c>
      <c r="F4" s="40" t="n">
        <v>22190000</v>
      </c>
      <c r="G4" s="40" t="n">
        <v>21990000</v>
      </c>
    </row>
    <row r="5">
      <c r="A5" t="inlineStr">
        <is>
          <t>iPhone 16 Pro  128GB</t>
        </is>
      </c>
      <c r="B5" s="25" t="n"/>
      <c r="C5" s="25" t="n">
        <v>25290000</v>
      </c>
      <c r="D5" s="43" t="n">
        <v>25190000</v>
      </c>
      <c r="E5" s="40" t="n">
        <v>24290000</v>
      </c>
      <c r="F5" s="40" t="n">
        <v>24990000</v>
      </c>
      <c r="G5" s="40" t="n">
        <v>24690000</v>
      </c>
    </row>
    <row r="6">
      <c r="A6" t="inlineStr">
        <is>
          <t>iPhone 16 Pro Max 256GB</t>
        </is>
      </c>
      <c r="B6" s="3" t="n"/>
      <c r="C6" s="3" t="n">
        <v>30590000</v>
      </c>
      <c r="D6" s="42" t="n">
        <v>30490000</v>
      </c>
      <c r="E6" s="40" t="n">
        <v>29990000</v>
      </c>
      <c r="F6" s="38" t="n">
        <v>30490000</v>
      </c>
      <c r="G6" s="40" t="n">
        <v>30090000</v>
      </c>
    </row>
    <row r="7">
      <c r="A7" t="inlineStr">
        <is>
          <t>iPhone 15  128GB</t>
        </is>
      </c>
      <c r="B7" s="25" t="n"/>
      <c r="C7" s="3" t="n">
        <v>15890000</v>
      </c>
      <c r="D7" s="42" t="n">
        <v>15790000</v>
      </c>
      <c r="E7" s="40" t="n">
        <v>15490000</v>
      </c>
      <c r="F7" s="38" t="n">
        <v>15590000</v>
      </c>
      <c r="G7" s="40" t="n">
        <v>15490000</v>
      </c>
    </row>
    <row r="8">
      <c r="A8" t="inlineStr">
        <is>
          <t>iPhone 15  Plus 128GB</t>
        </is>
      </c>
      <c r="B8" s="25" t="n"/>
      <c r="C8" s="3" t="n">
        <v>19390000</v>
      </c>
      <c r="D8" s="43" t="n">
        <v>19490000</v>
      </c>
      <c r="E8" s="40" t="n">
        <v>18990000</v>
      </c>
      <c r="F8" s="38" t="n">
        <v>19390000</v>
      </c>
      <c r="G8" s="40" t="n">
        <v>18990000</v>
      </c>
    </row>
    <row r="9">
      <c r="A9" t="inlineStr">
        <is>
          <t>iPhone 15 Pro Max 256GB</t>
        </is>
      </c>
      <c r="B9" s="3" t="n"/>
      <c r="C9" s="25" t="n">
        <v>29990000</v>
      </c>
      <c r="D9" s="25" t="n">
        <v>28490000</v>
      </c>
      <c r="E9" s="40" t="inlineStr">
        <is>
          <t>OOS</t>
        </is>
      </c>
      <c r="F9" s="40" t="n">
        <v>28450000</v>
      </c>
      <c r="G9" s="40" t="n">
        <v>27990000</v>
      </c>
    </row>
    <row r="10">
      <c r="A10" t="inlineStr">
        <is>
          <t>iPhone 14 Plus 128GB</t>
        </is>
      </c>
      <c r="B10" s="3" t="n"/>
      <c r="C10" s="43" t="inlineStr">
        <is>
          <t>OOS</t>
        </is>
      </c>
      <c r="D10" s="25" t="n">
        <v>18490000</v>
      </c>
      <c r="E10" s="40" t="n">
        <v>18990000</v>
      </c>
      <c r="F10" s="43" t="inlineStr">
        <is>
          <t>OOS</t>
        </is>
      </c>
      <c r="G10" s="4" t="n">
        <v>17290000</v>
      </c>
    </row>
    <row r="11">
      <c r="A11" t="inlineStr">
        <is>
          <t>iPhone 14 128GB</t>
        </is>
      </c>
      <c r="B11" s="25" t="n"/>
      <c r="C11" s="3" t="n">
        <v>12790000</v>
      </c>
      <c r="D11" s="40" t="n">
        <v>12790000</v>
      </c>
      <c r="E11" s="40" t="n">
        <v>12690000</v>
      </c>
      <c r="F11" s="34" t="n">
        <v>12790000</v>
      </c>
      <c r="G11" s="4" t="n">
        <v>12290000</v>
      </c>
    </row>
    <row r="12">
      <c r="A12" t="inlineStr">
        <is>
          <t>iPhone 13  128GB</t>
        </is>
      </c>
      <c r="B12" s="3" t="n"/>
      <c r="C12" s="25" t="n">
        <v>11790000</v>
      </c>
      <c r="D12" s="39" t="n">
        <v>11690000</v>
      </c>
      <c r="E12" s="3" t="n">
        <v>11390000</v>
      </c>
      <c r="F12" s="39"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3" t="n">
        <v>11790000</v>
      </c>
      <c r="D14" s="25" t="n">
        <v>13890000</v>
      </c>
      <c r="E14" s="40" t="n">
        <v>13652000</v>
      </c>
      <c r="F14" s="34" t="n">
        <v>13290000</v>
      </c>
      <c r="G14" s="4" t="n">
        <v>13690000</v>
      </c>
    </row>
    <row r="15">
      <c r="A15" t="inlineStr">
        <is>
          <t>iPad Gen 11th  128GB Wifi</t>
        </is>
      </c>
      <c r="B15" s="3" t="n"/>
      <c r="C15" s="43" t="inlineStr">
        <is>
          <t>OOS</t>
        </is>
      </c>
      <c r="D15" s="25" t="n">
        <v>8490000</v>
      </c>
      <c r="E15" s="40" t="n">
        <v>8405000</v>
      </c>
      <c r="F15" s="39" t="n">
        <v>8890000</v>
      </c>
      <c r="G15" s="4" t="n">
        <v>8390000</v>
      </c>
      <c r="J15" t="inlineStr">
        <is>
          <t xml:space="preserve">MW </t>
        </is>
      </c>
      <c r="K15" t="inlineStr">
        <is>
          <t>Duy</t>
        </is>
      </c>
      <c r="L15" t="b">
        <v>1</v>
      </c>
    </row>
    <row r="16">
      <c r="A16" t="inlineStr">
        <is>
          <t>iPad Air M3  11" 128 GB Wifi</t>
        </is>
      </c>
      <c r="B16" s="3" t="n"/>
      <c r="C16" s="3" t="n">
        <v>16490000</v>
      </c>
      <c r="D16" s="25" t="n">
        <v>16690000</v>
      </c>
      <c r="E16" s="40" t="n">
        <v>16325000</v>
      </c>
      <c r="F16" s="34" t="n">
        <v>16490000</v>
      </c>
      <c r="G16" s="4" t="n">
        <v>16490000</v>
      </c>
      <c r="J16" t="inlineStr">
        <is>
          <t>FPT</t>
        </is>
      </c>
      <c r="K16" t="inlineStr">
        <is>
          <t>Việt</t>
        </is>
      </c>
      <c r="L16" t="b">
        <v>1</v>
      </c>
    </row>
    <row r="17">
      <c r="A17" t="inlineStr">
        <is>
          <t>iPad Air M3  13" 128 GB Wifi</t>
        </is>
      </c>
      <c r="B17" s="25" t="n"/>
      <c r="C17" s="25" t="n">
        <v>22490000</v>
      </c>
      <c r="D17" s="25" t="n">
        <v>22390000</v>
      </c>
      <c r="E17" s="40" t="n">
        <v>21290000</v>
      </c>
      <c r="F17" s="39" t="n">
        <v>21990000</v>
      </c>
      <c r="G17" s="4" t="n">
        <v>21790000</v>
      </c>
      <c r="J17" t="inlineStr">
        <is>
          <t>Viettel</t>
        </is>
      </c>
      <c r="K17" t="inlineStr">
        <is>
          <t>Nghĩa</t>
        </is>
      </c>
      <c r="L17" t="b">
        <v>1</v>
      </c>
    </row>
    <row r="18">
      <c r="A18" t="inlineStr">
        <is>
          <t>iPad Pro  M4  11" 256 GB Wifi</t>
        </is>
      </c>
      <c r="B18" s="25" t="n"/>
      <c r="C18" s="25" t="n">
        <v>25990000</v>
      </c>
      <c r="D18" s="25" t="n">
        <v>27490000</v>
      </c>
      <c r="E18" s="40" t="n">
        <v>26490000</v>
      </c>
      <c r="F18" s="39" t="n">
        <v>26690000</v>
      </c>
      <c r="G18" s="34" t="n">
        <v>26390000</v>
      </c>
      <c r="J18" t="inlineStr">
        <is>
          <t>CPS</t>
        </is>
      </c>
      <c r="K18" t="inlineStr">
        <is>
          <t>Trang</t>
        </is>
      </c>
      <c r="L18" t="b">
        <v>1</v>
      </c>
    </row>
    <row r="19">
      <c r="A19" t="inlineStr">
        <is>
          <t>iPad Pro  M4  13" 256 GB Wifi</t>
        </is>
      </c>
      <c r="B19" s="3" t="n"/>
      <c r="C19" s="25" t="n">
        <v>33990000</v>
      </c>
      <c r="D19" s="25" t="n">
        <v>36590000</v>
      </c>
      <c r="E19" s="40" t="n">
        <v>35990000</v>
      </c>
      <c r="F19" s="39" t="n">
        <v>36990000</v>
      </c>
      <c r="G19" s="4" t="n">
        <v>36390000</v>
      </c>
      <c r="J19" t="inlineStr">
        <is>
          <t>ShopDunk</t>
        </is>
      </c>
      <c r="K19" t="inlineStr">
        <is>
          <t>Đạt</t>
        </is>
      </c>
      <c r="L19" t="b">
        <v>1</v>
      </c>
    </row>
    <row r="20">
      <c r="A20" t="inlineStr">
        <is>
          <t>AW SE 2 (40mm GPS)</t>
        </is>
      </c>
      <c r="B20" s="25" t="n"/>
      <c r="C20" s="42" t="n">
        <v>5220000</v>
      </c>
      <c r="D20" s="3" t="n">
        <v>5090000</v>
      </c>
      <c r="E20" s="3" t="n">
        <v>4445000</v>
      </c>
      <c r="F20" s="34" t="n">
        <v>5190000</v>
      </c>
      <c r="G20" s="34" t="n">
        <v>5190000</v>
      </c>
    </row>
    <row r="21">
      <c r="A21" t="inlineStr">
        <is>
          <t>AW SE 2 (40mm LTE)</t>
        </is>
      </c>
      <c r="B21" s="25" t="n"/>
      <c r="C21" s="25" t="n">
        <v>7090000</v>
      </c>
      <c r="D21" s="25" t="n">
        <v>7090000</v>
      </c>
      <c r="E21" s="3" t="n">
        <v>6227000</v>
      </c>
      <c r="F21" s="39" t="n">
        <v>6690000</v>
      </c>
      <c r="G21" s="4" t="n">
        <v>6490000</v>
      </c>
    </row>
    <row r="22">
      <c r="A22" t="inlineStr">
        <is>
          <t>AW SE 2 (44mm GPS)</t>
        </is>
      </c>
      <c r="B22" s="25" t="n"/>
      <c r="C22" s="3" t="n">
        <v>5820000</v>
      </c>
      <c r="D22" s="3" t="n">
        <v>5790000</v>
      </c>
      <c r="E22" s="3" t="n">
        <v>5435000</v>
      </c>
      <c r="F22" s="34" t="n">
        <v>5890000</v>
      </c>
      <c r="G22" s="4" t="n">
        <v>5890000</v>
      </c>
    </row>
    <row r="23">
      <c r="A23" t="inlineStr">
        <is>
          <t>AW SE 2 (44mm LTE)</t>
        </is>
      </c>
      <c r="B23" s="25" t="n"/>
      <c r="C23" s="25" t="n">
        <v>7890000</v>
      </c>
      <c r="D23" s="25" t="n">
        <v>7890000</v>
      </c>
      <c r="E23" s="3" t="n">
        <v>6920000</v>
      </c>
      <c r="F23" s="34" t="n">
        <v>7690000</v>
      </c>
      <c r="G23" s="4" t="n">
        <v>7690000</v>
      </c>
    </row>
    <row r="24">
      <c r="A24" t="inlineStr">
        <is>
          <t>AW S10 (42mm GPS)</t>
        </is>
      </c>
      <c r="B24" s="25" t="n"/>
      <c r="C24" s="3" t="n">
        <v>8480000</v>
      </c>
      <c r="D24" s="3" t="n">
        <v>8390000</v>
      </c>
      <c r="E24" s="3" t="n">
        <v>8405000</v>
      </c>
      <c r="F24" s="34" t="n">
        <v>8450000</v>
      </c>
      <c r="G24" s="3" t="n">
        <v>8450000</v>
      </c>
    </row>
    <row r="25">
      <c r="A25" t="inlineStr">
        <is>
          <t>AW S10 (42mm CEL)</t>
        </is>
      </c>
      <c r="B25" s="25" t="n"/>
      <c r="C25" s="25" t="n">
        <v>13390000</v>
      </c>
      <c r="D25" s="25" t="n">
        <v>12690000</v>
      </c>
      <c r="E25" s="3" t="n">
        <v>11870000</v>
      </c>
      <c r="F25" s="34" t="n">
        <v>12890000</v>
      </c>
      <c r="G25" s="4" t="n">
        <v>12890000</v>
      </c>
    </row>
    <row r="26">
      <c r="A26" t="inlineStr">
        <is>
          <t>AW S10 (46mm GPS)</t>
        </is>
      </c>
      <c r="B26" s="25" t="n"/>
      <c r="C26" s="3" t="n">
        <v>9280000</v>
      </c>
      <c r="D26" s="3" t="n">
        <v>9490000</v>
      </c>
      <c r="E26" s="3" t="n">
        <v>8900000</v>
      </c>
      <c r="F26" s="39" t="n">
        <v>9490000</v>
      </c>
      <c r="G26" s="34" t="n">
        <v>9350000</v>
      </c>
    </row>
    <row r="27">
      <c r="A27" t="inlineStr">
        <is>
          <t>AW S10 (46mm CEL)</t>
        </is>
      </c>
      <c r="B27" s="3" t="n"/>
      <c r="C27" s="25" t="n">
        <v>13990000</v>
      </c>
      <c r="D27" s="25" t="n">
        <v>13690000</v>
      </c>
      <c r="E27" s="3" t="n">
        <v>12583000</v>
      </c>
      <c r="F27" s="39" t="n">
        <v>13890000</v>
      </c>
      <c r="G27" s="4" t="n">
        <v>13590000</v>
      </c>
    </row>
    <row r="28">
      <c r="A28" t="inlineStr">
        <is>
          <t>AW Ultra 2 (49mm)</t>
        </is>
      </c>
      <c r="B28" s="25" t="n"/>
      <c r="C28" s="25" t="n">
        <v>22490000</v>
      </c>
      <c r="D28" s="3" t="n">
        <v>21990000</v>
      </c>
      <c r="E28" s="40" t="n">
        <v>21790000</v>
      </c>
      <c r="F28" s="40" t="n">
        <v>21990000</v>
      </c>
      <c r="G28" s="4" t="n">
        <v>22990000</v>
      </c>
    </row>
    <row r="29">
      <c r="A29" t="inlineStr">
        <is>
          <t>AirPods Pro 2 - 2023 (C-Type)</t>
        </is>
      </c>
      <c r="B29" s="3" t="n"/>
      <c r="C29" s="3" t="n">
        <v>5690000</v>
      </c>
      <c r="D29" s="39" t="n">
        <v>5390000</v>
      </c>
      <c r="E29" s="3" t="n">
        <v>5138000</v>
      </c>
      <c r="F29" s="38" t="n">
        <v>5390000</v>
      </c>
      <c r="G29" s="34" t="n">
        <v>5350000</v>
      </c>
    </row>
    <row r="30">
      <c r="A30" t="inlineStr">
        <is>
          <t>AirPods 4 ANC</t>
        </is>
      </c>
      <c r="B30" s="3" t="n"/>
      <c r="C30" s="43" t="inlineStr">
        <is>
          <t>OOS</t>
        </is>
      </c>
      <c r="D30" s="38" t="n">
        <v>4390000</v>
      </c>
      <c r="E30" s="3" t="n">
        <v>4247000</v>
      </c>
      <c r="F30" s="38" t="n">
        <v>4390000</v>
      </c>
      <c r="G30" s="34" t="n">
        <v>4350000</v>
      </c>
    </row>
    <row r="31">
      <c r="A31" t="inlineStr">
        <is>
          <t>AirPods 4 with charging case</t>
        </is>
      </c>
      <c r="B31" s="3" t="n"/>
      <c r="C31" s="3" t="n">
        <v>3090000</v>
      </c>
      <c r="D31" s="38" t="n">
        <v>3090000</v>
      </c>
      <c r="E31" s="3" t="n">
        <v>2990000</v>
      </c>
      <c r="F31" s="38" t="n">
        <v>3090000</v>
      </c>
      <c r="G31" s="34" t="n">
        <v>3090000</v>
      </c>
    </row>
    <row r="32">
      <c r="A32" t="inlineStr">
        <is>
          <t>MacBook Air 13" M1 8/256Gb</t>
        </is>
      </c>
      <c r="B32" s="3" t="n"/>
      <c r="C32" s="25" t="n">
        <v>17490000</v>
      </c>
      <c r="D32" s="39" t="n">
        <v>16990000</v>
      </c>
      <c r="E32" s="37" t="n"/>
      <c r="F32" s="39" t="n">
        <v>17190000</v>
      </c>
      <c r="G32" s="4" t="n">
        <v>16490000</v>
      </c>
    </row>
    <row r="33">
      <c r="A33" t="inlineStr">
        <is>
          <t>MacBook Air 13" M2 16/256GB</t>
        </is>
      </c>
      <c r="B33" s="25" t="n"/>
      <c r="C33" s="25" t="n">
        <v>21290000</v>
      </c>
      <c r="D33" s="25" t="n">
        <v>21490000</v>
      </c>
      <c r="E33" s="37" t="n"/>
      <c r="F33" s="34" t="n">
        <v>20190000</v>
      </c>
      <c r="G33" s="4" t="n">
        <v>20990000</v>
      </c>
    </row>
    <row r="34">
      <c r="A34" t="inlineStr">
        <is>
          <t>MacBook Air 13" M3 16/256GB</t>
        </is>
      </c>
      <c r="B34" s="3" t="n"/>
      <c r="C34" s="3" t="n">
        <v>24190000</v>
      </c>
      <c r="D34" s="34" t="n">
        <v>23990000</v>
      </c>
      <c r="E34" s="37" t="n"/>
      <c r="F34" s="39" t="n">
        <v>24690000</v>
      </c>
      <c r="G34" s="4" t="n">
        <v>25290000</v>
      </c>
    </row>
    <row r="35">
      <c r="A35" t="inlineStr">
        <is>
          <t>MacBook Air 13" M4 16/256GB</t>
        </is>
      </c>
      <c r="B35" s="3" t="n"/>
      <c r="C35" s="43" t="n">
        <v>26990000</v>
      </c>
      <c r="D35" s="39" t="n">
        <v>26690000</v>
      </c>
      <c r="E35" s="37" t="n"/>
      <c r="F35" s="39" t="n">
        <v>26290000</v>
      </c>
      <c r="G35" s="4" t="n">
        <v>26290000</v>
      </c>
    </row>
    <row r="36">
      <c r="A36" t="inlineStr">
        <is>
          <t>MacBook Air 15" M4 16/256GB</t>
        </is>
      </c>
      <c r="B36" s="25" t="n"/>
      <c r="C36" s="43" t="n">
        <v>29090000</v>
      </c>
      <c r="D36" s="25" t="n">
        <v>31890000</v>
      </c>
      <c r="E36" s="37" t="n"/>
      <c r="F36" s="39" t="n">
        <v>31890000</v>
      </c>
      <c r="G36" s="4" t="n">
        <v>31990000</v>
      </c>
    </row>
    <row r="37">
      <c r="A37" t="inlineStr">
        <is>
          <t>MacBook Pro 14" M4 16/512GB</t>
        </is>
      </c>
      <c r="B37" s="25" t="n"/>
      <c r="C37" s="25" t="n">
        <v>39990000</v>
      </c>
      <c r="D37" s="25" t="n">
        <v>39590000</v>
      </c>
      <c r="E37" s="37" t="n"/>
      <c r="F37" s="40" t="n">
        <v>39290000</v>
      </c>
      <c r="G37"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7.xml><?xml version="1.0" encoding="utf-8"?>
<worksheet xmlns="http://schemas.openxmlformats.org/spreadsheetml/2006/main">
  <sheetPr>
    <outlinePr summaryBelow="1" summaryRight="1"/>
    <pageSetUpPr/>
  </sheetPr>
  <dimension ref="A1:L37"/>
  <sheetViews>
    <sheetView zoomScale="120" zoomScaleNormal="120" workbookViewId="0">
      <pane xSplit="2" ySplit="1" topLeftCell="C8"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16127000</v>
      </c>
      <c r="F2" s="40" t="n">
        <v>16190000</v>
      </c>
      <c r="G2" s="40" t="n">
        <v>15990000</v>
      </c>
    </row>
    <row r="3">
      <c r="A3" t="inlineStr">
        <is>
          <t>iPhone 16  128GB</t>
        </is>
      </c>
      <c r="B3" s="25" t="n"/>
      <c r="C3" s="25" t="n">
        <v>19090000</v>
      </c>
      <c r="D3" s="43" t="n">
        <v>18990000</v>
      </c>
      <c r="E3" s="40" t="n">
        <v>18490000</v>
      </c>
      <c r="F3" s="40" t="n">
        <v>18990000</v>
      </c>
      <c r="G3" s="40" t="n">
        <v>18790000</v>
      </c>
    </row>
    <row r="4">
      <c r="A4" t="inlineStr">
        <is>
          <t>iPhone 16  Plus 128GB</t>
        </is>
      </c>
      <c r="B4" s="3" t="n"/>
      <c r="C4" s="3" t="n">
        <v>22190000</v>
      </c>
      <c r="D4" s="43" t="n">
        <v>22190000</v>
      </c>
      <c r="E4" s="40" t="n">
        <v>21690000</v>
      </c>
      <c r="F4" s="40" t="n">
        <v>22190000</v>
      </c>
      <c r="G4" s="40" t="n">
        <v>21990000</v>
      </c>
    </row>
    <row r="5">
      <c r="A5" t="inlineStr">
        <is>
          <t>iPhone 16 Pro  128GB</t>
        </is>
      </c>
      <c r="B5" s="25" t="n"/>
      <c r="C5" s="3" t="n">
        <v>25090000</v>
      </c>
      <c r="D5" s="42" t="n">
        <v>25090000</v>
      </c>
      <c r="E5" s="40" t="n">
        <v>24290000</v>
      </c>
      <c r="F5" s="40" t="n">
        <v>24990000</v>
      </c>
      <c r="G5" s="40" t="n">
        <v>24690000</v>
      </c>
    </row>
    <row r="6">
      <c r="A6" t="inlineStr">
        <is>
          <t>iPhone 16 Pro Max 256GB</t>
        </is>
      </c>
      <c r="B6" s="3" t="n"/>
      <c r="C6" s="25" t="n">
        <v>30590000</v>
      </c>
      <c r="D6" s="43" t="n">
        <v>30490000</v>
      </c>
      <c r="E6" s="40" t="n">
        <v>29990000</v>
      </c>
      <c r="F6" s="40" t="n">
        <v>30490000</v>
      </c>
      <c r="G6" s="40" t="n">
        <v>30090000</v>
      </c>
    </row>
    <row r="7">
      <c r="A7" t="inlineStr">
        <is>
          <t>iPhone 15  128GB</t>
        </is>
      </c>
      <c r="B7" s="25" t="n"/>
      <c r="C7" s="25" t="n">
        <v>15890000</v>
      </c>
      <c r="D7" s="43" t="n">
        <v>15790000</v>
      </c>
      <c r="E7" s="40" t="n">
        <v>15490000</v>
      </c>
      <c r="F7" s="38" t="n">
        <v>15650000</v>
      </c>
      <c r="G7" s="40" t="n">
        <v>15490000</v>
      </c>
    </row>
    <row r="8">
      <c r="A8" t="inlineStr">
        <is>
          <t>iPhone 15  Plus 128GB</t>
        </is>
      </c>
      <c r="B8" s="25" t="n"/>
      <c r="C8" s="25" t="n">
        <v>19390000</v>
      </c>
      <c r="D8" s="42" t="n">
        <v>19390000</v>
      </c>
      <c r="E8" s="40" t="n">
        <v>18990000</v>
      </c>
      <c r="F8" s="38" t="n">
        <v>19290000</v>
      </c>
      <c r="G8" s="40" t="n">
        <v>18990000</v>
      </c>
    </row>
    <row r="9">
      <c r="A9" t="inlineStr">
        <is>
          <t>iPhone 15 Pro Max 256GB</t>
        </is>
      </c>
      <c r="B9" s="3" t="n"/>
      <c r="C9" s="25" t="n">
        <v>29990000</v>
      </c>
      <c r="D9" s="25" t="n">
        <v>28490000</v>
      </c>
      <c r="E9" s="40" t="inlineStr">
        <is>
          <t>OOS</t>
        </is>
      </c>
      <c r="F9" s="40" t="n">
        <v>28450000</v>
      </c>
      <c r="G9" s="40" t="n">
        <v>27990000</v>
      </c>
    </row>
    <row r="10">
      <c r="A10" t="inlineStr">
        <is>
          <t>iPhone 14 Plus 128GB</t>
        </is>
      </c>
      <c r="B10" s="3" t="n"/>
      <c r="C10" s="43" t="inlineStr">
        <is>
          <t>OOS</t>
        </is>
      </c>
      <c r="D10" s="25" t="n">
        <v>18490000</v>
      </c>
      <c r="E10" s="40" t="n">
        <v>18990000</v>
      </c>
      <c r="F10" s="43" t="inlineStr">
        <is>
          <t>OOS</t>
        </is>
      </c>
      <c r="G10" s="4" t="n">
        <v>17290000</v>
      </c>
    </row>
    <row r="11">
      <c r="A11" t="inlineStr">
        <is>
          <t>iPhone 14 128GB</t>
        </is>
      </c>
      <c r="B11" s="25" t="n"/>
      <c r="C11" s="3" t="n">
        <v>12690000</v>
      </c>
      <c r="D11" s="38" t="n">
        <v>12690000</v>
      </c>
      <c r="E11" s="40" t="n">
        <v>12690000</v>
      </c>
      <c r="F11" s="34" t="n">
        <v>12690000</v>
      </c>
      <c r="G11" s="4" t="n">
        <v>12290000</v>
      </c>
    </row>
    <row r="12">
      <c r="A12" t="inlineStr">
        <is>
          <t>iPhone 13  128GB</t>
        </is>
      </c>
      <c r="B12" s="3" t="n"/>
      <c r="C12" s="3" t="n">
        <v>11690000</v>
      </c>
      <c r="D12" s="39" t="n">
        <v>11690000</v>
      </c>
      <c r="E12" s="40" t="n">
        <v>11390000</v>
      </c>
      <c r="F12" s="39"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2" t="n">
        <v>13790000</v>
      </c>
      <c r="D14" s="3" t="n">
        <v>13790000</v>
      </c>
      <c r="E14" s="40" t="n">
        <v>13652000</v>
      </c>
      <c r="F14" s="34" t="n">
        <v>13790000</v>
      </c>
      <c r="G14" s="4" t="n">
        <v>13690000</v>
      </c>
    </row>
    <row r="15">
      <c r="A15" t="inlineStr">
        <is>
          <t>iPad Gen 11th  128GB Wifi</t>
        </is>
      </c>
      <c r="B15" s="3" t="n"/>
      <c r="C15" s="43" t="n">
        <v>9990000</v>
      </c>
      <c r="D15" s="3" t="n">
        <v>9890000</v>
      </c>
      <c r="E15" s="34" t="n">
        <v>9395000</v>
      </c>
      <c r="F15" s="34" t="n">
        <v>9790000</v>
      </c>
      <c r="G15" s="34" t="n">
        <v>9590000</v>
      </c>
      <c r="J15" t="inlineStr">
        <is>
          <t xml:space="preserve">MW </t>
        </is>
      </c>
      <c r="K15" t="inlineStr">
        <is>
          <t>Duy</t>
        </is>
      </c>
      <c r="L15" t="b">
        <v>1</v>
      </c>
    </row>
    <row r="16">
      <c r="A16" t="inlineStr">
        <is>
          <t>iPad Air M3  11" 128 GB Wifi</t>
        </is>
      </c>
      <c r="B16" s="3" t="n"/>
      <c r="C16" s="25" t="n">
        <v>16490000</v>
      </c>
      <c r="D16" s="3" t="n">
        <v>16590000</v>
      </c>
      <c r="E16" s="40" t="n">
        <v>16325000</v>
      </c>
      <c r="F16" s="34" t="n">
        <v>16390000</v>
      </c>
      <c r="G16" s="4" t="n">
        <v>16490000</v>
      </c>
      <c r="J16" t="inlineStr">
        <is>
          <t>FPT</t>
        </is>
      </c>
      <c r="K16" t="inlineStr">
        <is>
          <t>Việt</t>
        </is>
      </c>
      <c r="L16" t="b">
        <v>1</v>
      </c>
    </row>
    <row r="17">
      <c r="A17" t="inlineStr">
        <is>
          <t>iPad Air M3  13" 128 GB Wifi</t>
        </is>
      </c>
      <c r="B17" s="25" t="n"/>
      <c r="C17" s="25" t="n">
        <v>22490000</v>
      </c>
      <c r="D17" s="25" t="n">
        <v>22390000</v>
      </c>
      <c r="E17" s="40" t="n">
        <v>21290000</v>
      </c>
      <c r="F17" s="39" t="n">
        <v>21990000</v>
      </c>
      <c r="G17" s="4" t="n">
        <v>21790000</v>
      </c>
      <c r="J17" t="inlineStr">
        <is>
          <t>Viettel</t>
        </is>
      </c>
      <c r="K17" t="inlineStr">
        <is>
          <t>Nghĩa</t>
        </is>
      </c>
      <c r="L17" t="b">
        <v>1</v>
      </c>
    </row>
    <row r="18">
      <c r="A18" t="inlineStr">
        <is>
          <t>iPad Pro  M4  11" 256 GB Wifi</t>
        </is>
      </c>
      <c r="B18" s="25" t="n"/>
      <c r="C18" s="3" t="n">
        <v>27090000</v>
      </c>
      <c r="D18" s="3" t="n">
        <v>26990000</v>
      </c>
      <c r="E18" s="34" t="n">
        <v>26990000</v>
      </c>
      <c r="F18" s="34" t="n">
        <v>26890000</v>
      </c>
      <c r="G18" s="34" t="n">
        <v>26490000</v>
      </c>
      <c r="J18" t="inlineStr">
        <is>
          <t>CPS</t>
        </is>
      </c>
      <c r="K18" t="inlineStr">
        <is>
          <t>Trang</t>
        </is>
      </c>
      <c r="L18" t="b">
        <v>1</v>
      </c>
    </row>
    <row r="19">
      <c r="A19" t="inlineStr">
        <is>
          <t>iPad Pro  M4  13" 256 GB Wifi</t>
        </is>
      </c>
      <c r="B19" s="3" t="n"/>
      <c r="C19" s="3" t="n">
        <v>36590000</v>
      </c>
      <c r="D19" s="25" t="n">
        <v>36590000</v>
      </c>
      <c r="E19" s="40" t="n">
        <v>35990000</v>
      </c>
      <c r="F19" s="39" t="n">
        <v>36990000</v>
      </c>
      <c r="G19" s="4" t="n">
        <v>36390000</v>
      </c>
      <c r="J19" t="inlineStr">
        <is>
          <t>ShopDunk</t>
        </is>
      </c>
      <c r="K19" t="inlineStr">
        <is>
          <t>Đạt</t>
        </is>
      </c>
      <c r="L19" t="b">
        <v>1</v>
      </c>
    </row>
    <row r="20">
      <c r="A20" t="inlineStr">
        <is>
          <t>AW SE 2 (40mm GPS)</t>
        </is>
      </c>
      <c r="B20" s="25" t="n"/>
      <c r="C20" s="43" t="n">
        <v>5220000</v>
      </c>
      <c r="D20" s="25" t="n">
        <v>5090000</v>
      </c>
      <c r="E20" s="40" t="n">
        <v>4445000</v>
      </c>
      <c r="F20" s="39" t="n">
        <v>5190000</v>
      </c>
      <c r="G20" s="34" t="n">
        <v>5090000</v>
      </c>
    </row>
    <row r="21">
      <c r="A21" t="inlineStr">
        <is>
          <t>AW SE 2 (40mm LTE)</t>
        </is>
      </c>
      <c r="B21" s="25" t="n"/>
      <c r="C21" s="25" t="n">
        <v>7090000</v>
      </c>
      <c r="D21" s="25" t="n">
        <v>7090000</v>
      </c>
      <c r="E21" s="40" t="n">
        <v>6227000</v>
      </c>
      <c r="F21" s="39" t="n">
        <v>6690000</v>
      </c>
      <c r="G21" s="34" t="n">
        <v>6590000</v>
      </c>
    </row>
    <row r="22">
      <c r="A22" t="inlineStr">
        <is>
          <t>AW SE 2 (44mm GPS)</t>
        </is>
      </c>
      <c r="B22" s="25" t="n"/>
      <c r="C22" s="25" t="n">
        <v>5820000</v>
      </c>
      <c r="D22" s="25" t="n">
        <v>5790000</v>
      </c>
      <c r="E22" s="40" t="n">
        <v>5435000</v>
      </c>
      <c r="F22" s="39" t="n">
        <v>5890000</v>
      </c>
      <c r="G22" s="4" t="n">
        <v>5890000</v>
      </c>
    </row>
    <row r="23">
      <c r="A23" t="inlineStr">
        <is>
          <t>AW SE 2 (44mm LTE)</t>
        </is>
      </c>
      <c r="B23" s="25" t="n"/>
      <c r="C23" s="25" t="n">
        <v>7890000</v>
      </c>
      <c r="D23" s="25" t="n">
        <v>7890000</v>
      </c>
      <c r="E23" s="40" t="n">
        <v>6920000</v>
      </c>
      <c r="F23" s="39" t="n">
        <v>7690000</v>
      </c>
      <c r="G23" s="4" t="n">
        <v>7690000</v>
      </c>
    </row>
    <row r="24">
      <c r="A24" t="inlineStr">
        <is>
          <t>AW S10 (42mm GPS)</t>
        </is>
      </c>
      <c r="B24" s="25" t="n"/>
      <c r="C24" s="25" t="n">
        <v>8480000</v>
      </c>
      <c r="D24" s="25" t="n">
        <v>8390000</v>
      </c>
      <c r="E24" s="40" t="n">
        <v>8405000</v>
      </c>
      <c r="F24" s="39" t="n">
        <v>8450000</v>
      </c>
      <c r="G24" s="34" t="n">
        <v>8390000</v>
      </c>
    </row>
    <row r="25">
      <c r="A25" t="inlineStr">
        <is>
          <t>AW S10 (42mm CEL)</t>
        </is>
      </c>
      <c r="B25" s="25" t="n"/>
      <c r="C25" s="25" t="n">
        <v>13390000</v>
      </c>
      <c r="D25" s="25" t="n">
        <v>12690000</v>
      </c>
      <c r="E25" s="40" t="n">
        <v>11870000</v>
      </c>
      <c r="F25" s="39" t="n">
        <v>12990000</v>
      </c>
      <c r="G25" s="34" t="n">
        <v>12690000</v>
      </c>
    </row>
    <row r="26">
      <c r="A26" t="inlineStr">
        <is>
          <t>AW S10 (46mm GPS)</t>
        </is>
      </c>
      <c r="B26" s="25" t="n"/>
      <c r="C26" s="25" t="n">
        <v>9280000</v>
      </c>
      <c r="D26" s="25" t="n">
        <v>9490000</v>
      </c>
      <c r="E26" s="40" t="n">
        <v>8900000</v>
      </c>
      <c r="F26" s="39" t="n">
        <v>9490000</v>
      </c>
      <c r="G26" s="34" t="n">
        <v>9080000</v>
      </c>
    </row>
    <row r="27">
      <c r="A27" t="inlineStr">
        <is>
          <t>AW S10 (46mm CEL)</t>
        </is>
      </c>
      <c r="B27" s="3" t="n"/>
      <c r="C27" s="25" t="n">
        <v>13990000</v>
      </c>
      <c r="D27" s="25" t="n">
        <v>13690000</v>
      </c>
      <c r="E27" s="40" t="n">
        <v>12583000</v>
      </c>
      <c r="F27" s="39" t="n">
        <v>13890000</v>
      </c>
      <c r="G27" s="4" t="n">
        <v>13590000</v>
      </c>
    </row>
    <row r="28">
      <c r="A28" t="inlineStr">
        <is>
          <t>AW Ultra 2 (49mm)</t>
        </is>
      </c>
      <c r="B28" s="25" t="n"/>
      <c r="C28" s="25" t="n">
        <v>22490000</v>
      </c>
      <c r="D28" s="25" t="n">
        <v>21990000</v>
      </c>
      <c r="E28" s="40" t="n">
        <v>21790000</v>
      </c>
      <c r="F28" s="40" t="n">
        <v>21990000</v>
      </c>
      <c r="G28" s="4" t="n">
        <v>22990000</v>
      </c>
    </row>
    <row r="29">
      <c r="A29" t="inlineStr">
        <is>
          <t>AirPods Pro 2 - 2023 (C-Type)</t>
        </is>
      </c>
      <c r="B29" s="3" t="n"/>
      <c r="C29" s="25" t="n">
        <v>5390000</v>
      </c>
      <c r="D29" s="39" t="n">
        <v>5390000</v>
      </c>
      <c r="E29" s="40" t="n">
        <v>5138000</v>
      </c>
      <c r="F29" s="40" t="n">
        <v>5390000</v>
      </c>
      <c r="G29" s="4" t="n">
        <v>5250000</v>
      </c>
    </row>
    <row r="30">
      <c r="A30" t="inlineStr">
        <is>
          <t>AirPods 4 ANC</t>
        </is>
      </c>
      <c r="B30" s="3" t="n"/>
      <c r="C30" s="43" t="n">
        <v>4590000</v>
      </c>
      <c r="D30" s="40" t="n">
        <v>4390000</v>
      </c>
      <c r="E30" s="40" t="n">
        <v>4247000</v>
      </c>
      <c r="F30" s="40" t="n">
        <v>4390000</v>
      </c>
      <c r="G30" s="4" t="n">
        <v>4350000</v>
      </c>
    </row>
    <row r="31">
      <c r="A31" t="inlineStr">
        <is>
          <t>AirPods 4 with charging case</t>
        </is>
      </c>
      <c r="B31" s="3" t="n"/>
      <c r="C31" s="25" t="n">
        <v>3090000</v>
      </c>
      <c r="D31" s="40" t="n">
        <v>3090000</v>
      </c>
      <c r="E31" s="40" t="n">
        <v>2990000</v>
      </c>
      <c r="F31" s="40" t="n">
        <v>3090000</v>
      </c>
      <c r="G31" s="4" t="n">
        <v>3050000</v>
      </c>
    </row>
    <row r="32">
      <c r="A32" t="inlineStr">
        <is>
          <t>MacBook Air 13" M1 8/256Gb</t>
        </is>
      </c>
      <c r="B32" s="3" t="n"/>
      <c r="C32" s="25" t="n">
        <v>17490000</v>
      </c>
      <c r="D32" s="39" t="n">
        <v>16990000</v>
      </c>
      <c r="E32" s="37" t="n"/>
      <c r="F32" s="39" t="n">
        <v>17190000</v>
      </c>
      <c r="G32" s="4" t="n">
        <v>16490000</v>
      </c>
    </row>
    <row r="33">
      <c r="A33" t="inlineStr">
        <is>
          <t>MacBook Air 13" M2 16/256GB</t>
        </is>
      </c>
      <c r="B33" s="25" t="n"/>
      <c r="C33" s="3" t="n">
        <v>21090000</v>
      </c>
      <c r="D33" s="3" t="n">
        <v>21190000</v>
      </c>
      <c r="E33" s="37" t="n"/>
      <c r="F33" s="34" t="n">
        <v>20890000</v>
      </c>
      <c r="G33" s="34" t="n">
        <v>20590000</v>
      </c>
    </row>
    <row r="34">
      <c r="A34" t="inlineStr">
        <is>
          <t>MacBook Air 13" M3 16/256GB</t>
        </is>
      </c>
      <c r="B34" s="3" t="n"/>
      <c r="C34" s="25" t="n">
        <v>24190000</v>
      </c>
      <c r="D34" s="39" t="n">
        <v>23990000</v>
      </c>
      <c r="E34" s="37" t="n"/>
      <c r="F34" s="39" t="n">
        <v>24690000</v>
      </c>
      <c r="G34" s="4" t="n">
        <v>25290000</v>
      </c>
    </row>
    <row r="35">
      <c r="A35" t="inlineStr">
        <is>
          <t>MacBook Air 13" M4 16/256GB</t>
        </is>
      </c>
      <c r="B35" s="3" t="n"/>
      <c r="C35" s="43" t="n">
        <v>26990000</v>
      </c>
      <c r="D35" s="39" t="n">
        <v>26690000</v>
      </c>
      <c r="E35" s="37" t="n"/>
      <c r="F35" s="34" t="n">
        <v>25990000</v>
      </c>
      <c r="G35" s="34" t="n">
        <v>25890000</v>
      </c>
    </row>
    <row r="36">
      <c r="A36" t="inlineStr">
        <is>
          <t>MacBook Air 15" M4 16/256GB</t>
        </is>
      </c>
      <c r="B36" s="25" t="n"/>
      <c r="C36" s="39" t="n">
        <v>31990000</v>
      </c>
      <c r="D36" s="25" t="n">
        <v>31890000</v>
      </c>
      <c r="E36" s="37" t="n"/>
      <c r="F36" s="39" t="n">
        <v>31990000</v>
      </c>
      <c r="G36" s="4" t="n">
        <v>31990000</v>
      </c>
    </row>
    <row r="37">
      <c r="A37" t="inlineStr">
        <is>
          <t>MacBook Pro 14" M4 16/512GB</t>
        </is>
      </c>
      <c r="B37" s="25" t="n"/>
      <c r="C37" s="25" t="n">
        <v>39590000</v>
      </c>
      <c r="D37" s="25" t="n">
        <v>39590000</v>
      </c>
      <c r="E37" s="37" t="n"/>
      <c r="F37" s="40" t="n">
        <v>39290000</v>
      </c>
      <c r="G37"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8.xml><?xml version="1.0" encoding="utf-8"?>
<worksheet xmlns="http://schemas.openxmlformats.org/spreadsheetml/2006/main">
  <sheetPr>
    <outlinePr summaryBelow="1" summaryRight="1"/>
    <pageSetUpPr/>
  </sheetPr>
  <dimension ref="A1:L37"/>
  <sheetViews>
    <sheetView zoomScale="125" zoomScaleNormal="12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16127000</v>
      </c>
      <c r="F2" s="40" t="n">
        <v>16190000</v>
      </c>
      <c r="G2" s="40" t="n">
        <v>15990000</v>
      </c>
    </row>
    <row r="3">
      <c r="A3" t="inlineStr">
        <is>
          <t>iPhone 16  128GB</t>
        </is>
      </c>
      <c r="B3" s="25" t="n"/>
      <c r="C3" s="25" t="n">
        <v>19090000</v>
      </c>
      <c r="D3" s="43" t="n">
        <v>18990000</v>
      </c>
      <c r="E3" s="40" t="n">
        <v>18490000</v>
      </c>
      <c r="F3" s="38" t="n">
        <v>18890000</v>
      </c>
      <c r="G3" s="38" t="n">
        <v>18690000</v>
      </c>
    </row>
    <row r="4">
      <c r="A4" t="inlineStr">
        <is>
          <t>iPhone 16  Plus 128GB</t>
        </is>
      </c>
      <c r="B4" s="3" t="n"/>
      <c r="C4" s="25" t="n">
        <v>22190000</v>
      </c>
      <c r="D4" s="42" t="n">
        <v>22090000</v>
      </c>
      <c r="E4" s="40" t="n">
        <v>21690000</v>
      </c>
      <c r="F4" s="40" t="n">
        <v>22190000</v>
      </c>
      <c r="G4" s="38" t="n">
        <v>21890000</v>
      </c>
    </row>
    <row r="5">
      <c r="A5" t="inlineStr">
        <is>
          <t>iPhone 16 Pro  128GB</t>
        </is>
      </c>
      <c r="B5" s="25" t="n"/>
      <c r="C5" s="25" t="n">
        <v>25090000</v>
      </c>
      <c r="D5" s="42" t="n">
        <v>24990000</v>
      </c>
      <c r="E5" s="40" t="n">
        <v>24290000</v>
      </c>
      <c r="F5" s="40" t="n">
        <v>24990000</v>
      </c>
      <c r="G5" s="40" t="n">
        <v>24690000</v>
      </c>
    </row>
    <row r="6">
      <c r="A6" t="inlineStr">
        <is>
          <t>iPhone 16 Pro Max 256GB</t>
        </is>
      </c>
      <c r="B6" s="3" t="n"/>
      <c r="C6" s="25" t="n">
        <v>30590000</v>
      </c>
      <c r="D6" s="43" t="n">
        <v>30490000</v>
      </c>
      <c r="E6" s="40" t="n">
        <v>29990000</v>
      </c>
      <c r="F6" s="38" t="n">
        <v>30290000</v>
      </c>
      <c r="G6" s="38" t="n">
        <v>29990000</v>
      </c>
    </row>
    <row r="7">
      <c r="A7" t="inlineStr">
        <is>
          <t>iPhone 15  128GB</t>
        </is>
      </c>
      <c r="B7" s="25" t="n"/>
      <c r="C7" s="25" t="n">
        <v>15890000</v>
      </c>
      <c r="D7" s="43" t="n">
        <v>15790000</v>
      </c>
      <c r="E7" s="40" t="n">
        <v>15490000</v>
      </c>
      <c r="F7" s="38" t="n">
        <v>15590000</v>
      </c>
      <c r="G7" s="38" t="n">
        <v>15390000</v>
      </c>
    </row>
    <row r="8">
      <c r="A8" t="inlineStr">
        <is>
          <t>iPhone 15  Plus 128GB</t>
        </is>
      </c>
      <c r="B8" s="25" t="n"/>
      <c r="C8" s="25" t="n">
        <v>19390000</v>
      </c>
      <c r="D8" s="43" t="n">
        <v>19390000</v>
      </c>
      <c r="E8" s="40" t="n">
        <v>18990000</v>
      </c>
      <c r="F8" s="38" t="n">
        <v>19090000</v>
      </c>
      <c r="G8" s="40" t="n">
        <v>18990000</v>
      </c>
    </row>
    <row r="9">
      <c r="A9" t="inlineStr">
        <is>
          <t>iPhone 15 Pro Max 256GB</t>
        </is>
      </c>
      <c r="B9" s="3" t="n"/>
      <c r="C9" s="25" t="n">
        <v>29990000</v>
      </c>
      <c r="D9" s="25" t="n">
        <v>28490000</v>
      </c>
      <c r="E9" s="40" t="inlineStr">
        <is>
          <t>OOS</t>
        </is>
      </c>
      <c r="F9" s="40" t="n">
        <v>28690000</v>
      </c>
      <c r="G9" s="40" t="n">
        <v>27990000</v>
      </c>
    </row>
    <row r="10">
      <c r="A10" t="inlineStr">
        <is>
          <t>iPhone 14 Plus 128GB</t>
        </is>
      </c>
      <c r="B10" s="3" t="n"/>
      <c r="C10" s="43" t="n">
        <v>17990000</v>
      </c>
      <c r="D10" s="25" t="n">
        <v>18490000</v>
      </c>
      <c r="E10" s="40" t="n">
        <v>18990000</v>
      </c>
      <c r="F10" s="43" t="inlineStr">
        <is>
          <t>OOS</t>
        </is>
      </c>
      <c r="G10" s="4" t="n">
        <v>17490000</v>
      </c>
    </row>
    <row r="11">
      <c r="A11" t="inlineStr">
        <is>
          <t>iPhone 14 128GB</t>
        </is>
      </c>
      <c r="B11" s="25" t="n"/>
      <c r="C11" s="25" t="n">
        <v>12690000</v>
      </c>
      <c r="D11" s="40" t="n">
        <v>12690000</v>
      </c>
      <c r="E11" s="40" t="n">
        <v>12690000</v>
      </c>
      <c r="F11" s="34" t="n">
        <v>12490000</v>
      </c>
      <c r="G11" s="4" t="n">
        <v>12490000</v>
      </c>
    </row>
    <row r="12">
      <c r="A12" t="inlineStr">
        <is>
          <t>iPhone 13  128GB</t>
        </is>
      </c>
      <c r="B12" s="3" t="n"/>
      <c r="C12" s="25" t="n">
        <v>11690000</v>
      </c>
      <c r="D12" s="39" t="n">
        <v>11690000</v>
      </c>
      <c r="E12" s="40" t="n">
        <v>11390000</v>
      </c>
      <c r="F12" s="39"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3" t="n">
        <v>13790000</v>
      </c>
      <c r="D14" s="25" t="n">
        <v>13790000</v>
      </c>
      <c r="E14" s="40" t="n">
        <v>13652000</v>
      </c>
      <c r="F14" s="39" t="n">
        <v>13790000</v>
      </c>
      <c r="G14" s="4" t="n">
        <v>13690000</v>
      </c>
    </row>
    <row r="15">
      <c r="A15" t="inlineStr">
        <is>
          <t>iPad Gen 11th  128GB Wifi</t>
        </is>
      </c>
      <c r="B15" s="3" t="n"/>
      <c r="C15" s="43" t="n">
        <v>9990000</v>
      </c>
      <c r="D15" s="25" t="n">
        <v>9890000</v>
      </c>
      <c r="E15" s="39" t="n">
        <v>9395000</v>
      </c>
      <c r="F15" s="34" t="n">
        <v>9590000</v>
      </c>
      <c r="G15" s="4" t="n">
        <v>9590000</v>
      </c>
      <c r="J15" t="inlineStr">
        <is>
          <t xml:space="preserve">MW </t>
        </is>
      </c>
      <c r="K15" t="inlineStr">
        <is>
          <t>Duy</t>
        </is>
      </c>
      <c r="L15" t="b">
        <v>1</v>
      </c>
    </row>
    <row r="16">
      <c r="A16" t="inlineStr">
        <is>
          <t>iPad Air M3  11" 128 GB Wifi</t>
        </is>
      </c>
      <c r="B16" s="3" t="n"/>
      <c r="C16" s="25" t="n">
        <v>16490000</v>
      </c>
      <c r="D16" s="25" t="n">
        <v>16590000</v>
      </c>
      <c r="E16" s="40" t="n">
        <v>16325000</v>
      </c>
      <c r="F16" s="34" t="n">
        <v>16290000</v>
      </c>
      <c r="G16" s="3" t="n">
        <v>16290000</v>
      </c>
      <c r="J16" t="inlineStr">
        <is>
          <t>FPT</t>
        </is>
      </c>
      <c r="K16" t="inlineStr">
        <is>
          <t>Việt</t>
        </is>
      </c>
      <c r="L16" t="b">
        <v>1</v>
      </c>
    </row>
    <row r="17">
      <c r="A17" t="inlineStr">
        <is>
          <t>iPad Air M3  13" 128 GB Wifi</t>
        </is>
      </c>
      <c r="B17" s="25" t="n"/>
      <c r="C17" s="25" t="n">
        <v>22490000</v>
      </c>
      <c r="D17" s="25" t="n">
        <v>22390000</v>
      </c>
      <c r="E17" s="40" t="n">
        <v>21290000</v>
      </c>
      <c r="F17" s="39" t="n">
        <v>21990000</v>
      </c>
      <c r="G17" s="4" t="n">
        <v>21790000</v>
      </c>
      <c r="J17" t="inlineStr">
        <is>
          <t>Viettel</t>
        </is>
      </c>
      <c r="K17" t="inlineStr">
        <is>
          <t>Nghĩa</t>
        </is>
      </c>
      <c r="L17" t="b">
        <v>1</v>
      </c>
    </row>
    <row r="18">
      <c r="A18" t="inlineStr">
        <is>
          <t>iPad Pro  M4  11" 256 GB Wifi</t>
        </is>
      </c>
      <c r="B18" s="25" t="n"/>
      <c r="C18" s="25" t="n">
        <v>27090000</v>
      </c>
      <c r="D18" s="25" t="n">
        <v>26990000</v>
      </c>
      <c r="E18" s="39" t="n">
        <v>26990000</v>
      </c>
      <c r="F18" s="39" t="n">
        <v>26890000</v>
      </c>
      <c r="G18" s="4" t="n">
        <v>26490000</v>
      </c>
      <c r="J18" t="inlineStr">
        <is>
          <t>CPS</t>
        </is>
      </c>
      <c r="K18" t="inlineStr">
        <is>
          <t>Trang</t>
        </is>
      </c>
      <c r="L18" t="b">
        <v>1</v>
      </c>
    </row>
    <row r="19">
      <c r="A19" t="inlineStr">
        <is>
          <t>iPad Pro  M4  13" 256 GB Wifi</t>
        </is>
      </c>
      <c r="B19" s="3" t="n"/>
      <c r="C19" s="25" t="n">
        <v>36590000</v>
      </c>
      <c r="D19" s="25" t="n">
        <v>36590000</v>
      </c>
      <c r="E19" s="40" t="n">
        <v>35990000</v>
      </c>
      <c r="F19" s="39" t="n">
        <v>36990000</v>
      </c>
      <c r="G19" s="4" t="n">
        <v>36390000</v>
      </c>
      <c r="J19" t="inlineStr">
        <is>
          <t>ShopDunk</t>
        </is>
      </c>
      <c r="K19" t="inlineStr">
        <is>
          <t>Đạt</t>
        </is>
      </c>
      <c r="L19" t="b">
        <v>1</v>
      </c>
    </row>
    <row r="20">
      <c r="A20" t="inlineStr">
        <is>
          <t>AW SE 2 (40mm GPS)</t>
        </is>
      </c>
      <c r="B20" s="25" t="n"/>
      <c r="C20" s="42" t="n">
        <v>5990000</v>
      </c>
      <c r="D20" s="3" t="n">
        <v>5790000</v>
      </c>
      <c r="E20" s="40" t="n">
        <v>5732000</v>
      </c>
      <c r="F20" s="34" t="n">
        <v>5790000</v>
      </c>
      <c r="G20" s="4" t="n">
        <v>5090000</v>
      </c>
    </row>
    <row r="21">
      <c r="A21" t="inlineStr">
        <is>
          <t>AW SE 2 (40mm LTE)</t>
        </is>
      </c>
      <c r="B21" s="25" t="n"/>
      <c r="C21" s="25" t="n">
        <v>7090000</v>
      </c>
      <c r="D21" s="25" t="n">
        <v>7090000</v>
      </c>
      <c r="E21" s="40" t="n">
        <v>5490000</v>
      </c>
      <c r="F21" s="39" t="n">
        <v>6690000</v>
      </c>
      <c r="G21" s="4" t="n">
        <v>6590000</v>
      </c>
    </row>
    <row r="22">
      <c r="A22" t="inlineStr">
        <is>
          <t>AW SE 2 (44mm GPS)</t>
        </is>
      </c>
      <c r="B22" s="25" t="n"/>
      <c r="C22" s="3" t="n">
        <v>6590000</v>
      </c>
      <c r="D22" s="3" t="n">
        <v>6590000</v>
      </c>
      <c r="E22" s="40" t="n">
        <v>6495000</v>
      </c>
      <c r="F22" s="39" t="n">
        <v>5890000</v>
      </c>
      <c r="G22" s="4" t="n">
        <v>5890000</v>
      </c>
    </row>
    <row r="23">
      <c r="A23" t="inlineStr">
        <is>
          <t>AW SE 2 (44mm LTE)</t>
        </is>
      </c>
      <c r="B23" s="25" t="n"/>
      <c r="C23" s="25" t="n">
        <v>7890000</v>
      </c>
      <c r="D23" s="25" t="n">
        <v>7890000</v>
      </c>
      <c r="E23" s="38" t="n">
        <v>7712000</v>
      </c>
      <c r="F23" s="39" t="n">
        <v>7690000</v>
      </c>
      <c r="G23" s="4" t="n">
        <v>7690000</v>
      </c>
    </row>
    <row r="24">
      <c r="A24" t="inlineStr">
        <is>
          <t>AW S10 (42mm GPS)</t>
        </is>
      </c>
      <c r="B24" s="25" t="n"/>
      <c r="C24" s="3" t="n">
        <v>10790000</v>
      </c>
      <c r="D24" s="3" t="n">
        <v>10690000</v>
      </c>
      <c r="E24" s="38" t="n">
        <v>10187000</v>
      </c>
      <c r="F24" s="34" t="n">
        <v>10390000</v>
      </c>
      <c r="G24" s="4" t="n">
        <v>8390000</v>
      </c>
    </row>
    <row r="25">
      <c r="A25" t="inlineStr">
        <is>
          <t>AW S10 (42mm CEL)</t>
        </is>
      </c>
      <c r="B25" s="25" t="n"/>
      <c r="C25" s="25" t="n">
        <v>13390000</v>
      </c>
      <c r="D25" s="25" t="n">
        <v>12690000</v>
      </c>
      <c r="E25" s="38" t="n">
        <v>12860000</v>
      </c>
      <c r="F25" s="39" t="n">
        <v>12990000</v>
      </c>
      <c r="G25" s="34" t="n">
        <v>12890000</v>
      </c>
    </row>
    <row r="26">
      <c r="A26" t="inlineStr">
        <is>
          <t>AW S10 (46mm GPS)</t>
        </is>
      </c>
      <c r="B26" s="25" t="n"/>
      <c r="C26" s="3" t="n">
        <v>11590000</v>
      </c>
      <c r="D26" s="3" t="n">
        <v>11490000</v>
      </c>
      <c r="E26" s="38" t="n">
        <v>10880000</v>
      </c>
      <c r="F26" s="34" t="n">
        <v>11590000</v>
      </c>
      <c r="G26" s="34" t="n">
        <v>9350000</v>
      </c>
    </row>
    <row r="27">
      <c r="A27" t="inlineStr">
        <is>
          <t>AW S10 (46mm CEL)</t>
        </is>
      </c>
      <c r="B27" s="3" t="n"/>
      <c r="C27" s="25" t="n">
        <v>13990000</v>
      </c>
      <c r="D27" s="25" t="n">
        <v>13690000</v>
      </c>
      <c r="E27" s="38" t="n">
        <v>13553000</v>
      </c>
      <c r="F27" s="39" t="n">
        <v>13890000</v>
      </c>
      <c r="G27" s="4" t="n">
        <v>13590000</v>
      </c>
    </row>
    <row r="28">
      <c r="A28" t="inlineStr">
        <is>
          <t>AW Ultra 2 (49mm)</t>
        </is>
      </c>
      <c r="B28" s="25" t="n"/>
      <c r="C28" s="25" t="n">
        <v>22490000</v>
      </c>
      <c r="D28" s="25" t="n">
        <v>21990000</v>
      </c>
      <c r="E28" s="38" t="n">
        <v>21990000</v>
      </c>
      <c r="F28" s="40" t="n">
        <v>21990000</v>
      </c>
      <c r="G28" s="4" t="n">
        <v>22990000</v>
      </c>
    </row>
    <row r="29">
      <c r="A29" t="inlineStr">
        <is>
          <t>AirPods Pro 2 - 2023 (C-Type)</t>
        </is>
      </c>
      <c r="B29" s="3" t="n"/>
      <c r="C29" s="3" t="n">
        <v>5690000</v>
      </c>
      <c r="D29" s="34" t="n">
        <v>5590000</v>
      </c>
      <c r="E29" s="38" t="n">
        <v>5633000</v>
      </c>
      <c r="F29" s="38" t="n">
        <v>5690000</v>
      </c>
      <c r="G29" s="3" t="n">
        <v>5590000</v>
      </c>
    </row>
    <row r="30">
      <c r="A30" t="inlineStr">
        <is>
          <t>AirPods 4 ANC</t>
        </is>
      </c>
      <c r="B30" s="3" t="n"/>
      <c r="C30" s="42" t="n">
        <v>4690000</v>
      </c>
      <c r="D30" s="38" t="n">
        <v>4490000</v>
      </c>
      <c r="E30" s="38" t="n">
        <v>4445000</v>
      </c>
      <c r="F30" s="38" t="n">
        <v>4590000</v>
      </c>
      <c r="G30" s="34" t="n">
        <v>4590000</v>
      </c>
    </row>
    <row r="31">
      <c r="A31" t="inlineStr">
        <is>
          <t>AirPods 4 with charging case</t>
        </is>
      </c>
      <c r="B31" s="3" t="n"/>
      <c r="C31" s="3" t="n">
        <v>3390000</v>
      </c>
      <c r="D31" s="38" t="n">
        <v>3190000</v>
      </c>
      <c r="E31" s="38" t="n">
        <v>3190000</v>
      </c>
      <c r="F31" s="38" t="n">
        <v>3290000</v>
      </c>
      <c r="G31" s="34" t="n">
        <v>3290000</v>
      </c>
    </row>
    <row r="32">
      <c r="A32" t="inlineStr">
        <is>
          <t>MacBook Air 13" M1 8/256Gb</t>
        </is>
      </c>
      <c r="B32" s="3" t="n"/>
      <c r="C32" s="3" t="n">
        <v>17190000</v>
      </c>
      <c r="D32" s="39" t="n">
        <v>16990000</v>
      </c>
      <c r="E32" s="37" t="n"/>
      <c r="F32" s="39" t="n">
        <v>17190000</v>
      </c>
      <c r="G32" s="4" t="n">
        <v>16490000</v>
      </c>
    </row>
    <row r="33">
      <c r="A33" t="inlineStr">
        <is>
          <t>MacBook Air 13" M2 16/256GB</t>
        </is>
      </c>
      <c r="B33" s="25" t="n"/>
      <c r="C33" s="25" t="n">
        <v>21090000</v>
      </c>
      <c r="D33" s="3" t="n">
        <v>21090000</v>
      </c>
      <c r="E33" s="37" t="n"/>
      <c r="F33" s="39" t="n">
        <v>20890000</v>
      </c>
      <c r="G33" s="4" t="n">
        <v>20590000</v>
      </c>
    </row>
    <row r="34">
      <c r="A34" t="inlineStr">
        <is>
          <t>MacBook Air 13" M3 16/256GB</t>
        </is>
      </c>
      <c r="B34" s="3" t="n"/>
      <c r="C34" s="25" t="n">
        <v>24190000</v>
      </c>
      <c r="D34" s="39" t="n">
        <v>23990000</v>
      </c>
      <c r="E34" s="37" t="n"/>
      <c r="F34" s="39" t="n">
        <v>24690000</v>
      </c>
      <c r="G34" s="4" t="n">
        <v>25290000</v>
      </c>
    </row>
    <row r="35">
      <c r="A35" t="inlineStr">
        <is>
          <t>MacBook Air 13" M4 16/256GB</t>
        </is>
      </c>
      <c r="B35" s="3" t="n"/>
      <c r="C35" s="43" t="n">
        <v>26990000</v>
      </c>
      <c r="D35" s="39" t="n">
        <v>26690000</v>
      </c>
      <c r="E35" s="37" t="n"/>
      <c r="F35" s="34" t="n">
        <v>26490000</v>
      </c>
      <c r="G35" s="4" t="n">
        <v>25890000</v>
      </c>
    </row>
    <row r="36">
      <c r="A36" t="inlineStr">
        <is>
          <t>MacBook Air 15" M4 16/256GB</t>
        </is>
      </c>
      <c r="B36" s="25" t="n"/>
      <c r="C36" s="39" t="n">
        <v>31990000</v>
      </c>
      <c r="D36" s="25" t="n">
        <v>31890000</v>
      </c>
      <c r="E36" s="37" t="n"/>
      <c r="F36" s="39" t="n">
        <v>31990000</v>
      </c>
      <c r="G36" s="4" t="n">
        <v>31990000</v>
      </c>
    </row>
    <row r="37">
      <c r="A37" t="inlineStr">
        <is>
          <t>MacBook Pro 14" M4 16/512GB</t>
        </is>
      </c>
      <c r="B37" s="25" t="n"/>
      <c r="C37" s="25" t="n">
        <v>39590000</v>
      </c>
      <c r="D37" s="25" t="n">
        <v>39590000</v>
      </c>
      <c r="E37" s="37" t="n"/>
      <c r="F37" s="40" t="n">
        <v>39290000</v>
      </c>
      <c r="G37"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59.xml><?xml version="1.0" encoding="utf-8"?>
<worksheet xmlns="http://schemas.openxmlformats.org/spreadsheetml/2006/main">
  <sheetPr>
    <outlinePr summaryBelow="1" summaryRight="1"/>
    <pageSetUpPr/>
  </sheetPr>
  <dimension ref="A1:L37"/>
  <sheetViews>
    <sheetView zoomScale="120" zoomScaleNormal="12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16127000</v>
      </c>
      <c r="F2" s="40" t="n">
        <v>16190000</v>
      </c>
      <c r="G2" s="40" t="n">
        <v>15990000</v>
      </c>
    </row>
    <row r="3">
      <c r="A3" t="inlineStr">
        <is>
          <t>iPhone 16  128GB</t>
        </is>
      </c>
      <c r="B3" s="25" t="n"/>
      <c r="C3" s="25" t="n">
        <v>19090000</v>
      </c>
      <c r="D3" s="43" t="n">
        <v>18990000</v>
      </c>
      <c r="E3" s="40" t="n">
        <v>18490000</v>
      </c>
      <c r="F3" s="40" t="n">
        <v>18890000</v>
      </c>
      <c r="G3" s="40" t="n">
        <v>18690000</v>
      </c>
    </row>
    <row r="4">
      <c r="A4" t="inlineStr">
        <is>
          <t>iPhone 16  Plus 128GB</t>
        </is>
      </c>
      <c r="B4" s="3" t="n"/>
      <c r="C4" s="25" t="n">
        <v>22190000</v>
      </c>
      <c r="D4" s="43" t="n">
        <v>22090000</v>
      </c>
      <c r="E4" s="40" t="n">
        <v>21690000</v>
      </c>
      <c r="F4" s="40" t="n">
        <v>22190000</v>
      </c>
      <c r="G4" s="40" t="n">
        <v>21890000</v>
      </c>
    </row>
    <row r="5">
      <c r="A5" t="inlineStr">
        <is>
          <t>iPhone 16 Pro  128GB</t>
        </is>
      </c>
      <c r="B5" s="25" t="n"/>
      <c r="C5" s="25" t="n">
        <v>25090000</v>
      </c>
      <c r="D5" s="43" t="n">
        <v>24990000</v>
      </c>
      <c r="E5" s="40" t="n">
        <v>24290000</v>
      </c>
      <c r="F5" s="40" t="n">
        <v>24990000</v>
      </c>
      <c r="G5" s="40" t="n">
        <v>24690000</v>
      </c>
    </row>
    <row r="6">
      <c r="A6" t="inlineStr">
        <is>
          <t>iPhone 16 Pro Max 256GB</t>
        </is>
      </c>
      <c r="B6" s="3" t="n"/>
      <c r="C6" s="25" t="n">
        <v>30590000</v>
      </c>
      <c r="D6" s="43" t="n">
        <v>30490000</v>
      </c>
      <c r="E6" s="40" t="n">
        <v>29990000</v>
      </c>
      <c r="F6" s="40" t="n">
        <v>30290000</v>
      </c>
      <c r="G6" s="40" t="n">
        <v>29990000</v>
      </c>
    </row>
    <row r="7">
      <c r="A7" t="inlineStr">
        <is>
          <t>iPhone 15  128GB</t>
        </is>
      </c>
      <c r="B7" s="25" t="n"/>
      <c r="C7" s="25" t="n">
        <v>15890000</v>
      </c>
      <c r="D7" s="42" t="n">
        <v>15590000</v>
      </c>
      <c r="E7" s="40" t="n">
        <v>15490000</v>
      </c>
      <c r="F7" s="38" t="n">
        <v>15590000</v>
      </c>
      <c r="G7" s="40" t="n">
        <v>15390000</v>
      </c>
    </row>
    <row r="8">
      <c r="A8" t="inlineStr">
        <is>
          <t>iPhone 15  Plus 128GB</t>
        </is>
      </c>
      <c r="B8" s="25" t="n"/>
      <c r="C8" s="25" t="n">
        <v>19390000</v>
      </c>
      <c r="D8" s="43" t="n">
        <v>19390000</v>
      </c>
      <c r="E8" s="40" t="n">
        <v>18990000</v>
      </c>
      <c r="F8" s="38" t="n">
        <v>19290000</v>
      </c>
      <c r="G8" s="40" t="n">
        <v>18990000</v>
      </c>
    </row>
    <row r="9">
      <c r="A9" t="inlineStr">
        <is>
          <t>iPhone 15 Pro Max 256GB</t>
        </is>
      </c>
      <c r="B9" s="3" t="n"/>
      <c r="C9" s="25" t="n">
        <v>29990000</v>
      </c>
      <c r="D9" s="25" t="n">
        <v>28490000</v>
      </c>
      <c r="E9" s="40" t="inlineStr">
        <is>
          <t>OOS</t>
        </is>
      </c>
      <c r="F9" s="40" t="n">
        <v>28690000</v>
      </c>
      <c r="G9" s="40" t="n">
        <v>27990000</v>
      </c>
    </row>
    <row r="10">
      <c r="A10" t="inlineStr">
        <is>
          <t>iPhone 14 Plus 128GB</t>
        </is>
      </c>
      <c r="B10" s="3" t="n"/>
      <c r="C10" s="40" t="inlineStr">
        <is>
          <t>OOS</t>
        </is>
      </c>
      <c r="D10" s="25" t="n">
        <v>18490000</v>
      </c>
      <c r="E10" s="40" t="n">
        <v>18990000</v>
      </c>
      <c r="F10" s="43" t="inlineStr">
        <is>
          <t>OOS</t>
        </is>
      </c>
      <c r="G10" s="4" t="n">
        <v>17490000</v>
      </c>
    </row>
    <row r="11">
      <c r="A11" t="inlineStr">
        <is>
          <t>iPhone 14 128GB</t>
        </is>
      </c>
      <c r="B11" s="25" t="n"/>
      <c r="C11" s="3" t="n">
        <v>12790000</v>
      </c>
      <c r="D11" s="40" t="n">
        <v>12690000</v>
      </c>
      <c r="E11" s="40" t="n">
        <v>12690000</v>
      </c>
      <c r="F11" s="34" t="n">
        <v>12590000</v>
      </c>
      <c r="G11" s="4" t="n">
        <v>12490000</v>
      </c>
    </row>
    <row r="12">
      <c r="A12" t="inlineStr">
        <is>
          <t>iPhone 13  128GB</t>
        </is>
      </c>
      <c r="B12" s="3" t="n"/>
      <c r="C12" s="3" t="n">
        <v>11790000</v>
      </c>
      <c r="D12" s="39" t="n">
        <v>11690000</v>
      </c>
      <c r="E12" s="40" t="n">
        <v>11390000</v>
      </c>
      <c r="F12" s="39"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2" t="n">
        <v>11790000</v>
      </c>
      <c r="D14" s="25" t="n">
        <v>13790000</v>
      </c>
      <c r="E14" s="40" t="n">
        <v>13652000</v>
      </c>
      <c r="F14" s="39" t="n">
        <v>13790000</v>
      </c>
      <c r="G14" s="4" t="n">
        <v>13690000</v>
      </c>
    </row>
    <row r="15">
      <c r="A15" t="inlineStr">
        <is>
          <t>iPad Gen 11th  128GB Wifi</t>
        </is>
      </c>
      <c r="B15" s="3" t="n"/>
      <c r="C15" s="42" t="n">
        <v>8690000</v>
      </c>
      <c r="D15" s="42" t="n">
        <v>8690000</v>
      </c>
      <c r="E15" s="38" t="n">
        <v>8405000</v>
      </c>
      <c r="F15" s="34" t="n">
        <v>8690000</v>
      </c>
      <c r="G15" s="3" t="n">
        <v>8390000</v>
      </c>
      <c r="J15" t="inlineStr">
        <is>
          <t xml:space="preserve">MW </t>
        </is>
      </c>
      <c r="K15" t="inlineStr">
        <is>
          <t>Duy</t>
        </is>
      </c>
      <c r="L15" t="b">
        <v>1</v>
      </c>
    </row>
    <row r="16">
      <c r="A16" t="inlineStr">
        <is>
          <t>iPad Air M3  11" 128 GB Wifi</t>
        </is>
      </c>
      <c r="B16" s="3" t="n"/>
      <c r="C16" s="25" t="n">
        <v>16490000</v>
      </c>
      <c r="D16" s="42" t="n">
        <v>16490000</v>
      </c>
      <c r="E16" s="38" t="n">
        <v>16127000</v>
      </c>
      <c r="F16" s="39" t="n">
        <v>16290000</v>
      </c>
      <c r="G16" s="3" t="n">
        <v>16390000</v>
      </c>
      <c r="J16" t="inlineStr">
        <is>
          <t>FPT</t>
        </is>
      </c>
      <c r="K16" t="inlineStr">
        <is>
          <t>Việt</t>
        </is>
      </c>
      <c r="L16" t="b">
        <v>1</v>
      </c>
    </row>
    <row r="17">
      <c r="A17" t="inlineStr">
        <is>
          <t>iPad Air M3  13" 128 GB Wifi</t>
        </is>
      </c>
      <c r="B17" s="25" t="n"/>
      <c r="C17" s="25" t="n">
        <v>22490000</v>
      </c>
      <c r="D17" s="25" t="n">
        <v>22390000</v>
      </c>
      <c r="E17" s="40" t="n">
        <v>21290000</v>
      </c>
      <c r="F17" s="39" t="n">
        <v>21990000</v>
      </c>
      <c r="G17" s="4" t="n">
        <v>21790000</v>
      </c>
      <c r="J17" t="inlineStr">
        <is>
          <t>Viettel</t>
        </is>
      </c>
      <c r="K17" t="inlineStr">
        <is>
          <t>Nghĩa</t>
        </is>
      </c>
      <c r="L17" t="b">
        <v>1</v>
      </c>
    </row>
    <row r="18">
      <c r="A18" t="inlineStr">
        <is>
          <t>iPad Pro  M4  11" 256 GB Wifi</t>
        </is>
      </c>
      <c r="B18" s="25" t="n"/>
      <c r="C18" s="3" t="n">
        <v>24990000</v>
      </c>
      <c r="D18" s="42" t="n">
        <v>26690000</v>
      </c>
      <c r="E18" s="39" t="n">
        <v>26990000</v>
      </c>
      <c r="F18" s="39" t="n">
        <v>26890000</v>
      </c>
      <c r="G18" s="3" t="n">
        <v>26590000</v>
      </c>
      <c r="J18" t="inlineStr">
        <is>
          <t>CPS</t>
        </is>
      </c>
      <c r="K18" t="inlineStr">
        <is>
          <t>Trang</t>
        </is>
      </c>
      <c r="L18" t="b">
        <v>1</v>
      </c>
    </row>
    <row r="19">
      <c r="A19" t="inlineStr">
        <is>
          <t>iPad Pro  M4  13" 256 GB Wifi</t>
        </is>
      </c>
      <c r="B19" s="3" t="n"/>
      <c r="C19" s="3" t="n">
        <v>33990000</v>
      </c>
      <c r="D19" s="42" t="n">
        <v>36490000</v>
      </c>
      <c r="E19" s="40" t="n">
        <v>35990000</v>
      </c>
      <c r="F19" s="39" t="n">
        <v>36990000</v>
      </c>
      <c r="G19" s="4" t="n">
        <v>36390000</v>
      </c>
      <c r="J19" t="inlineStr">
        <is>
          <t>ShopDunk</t>
        </is>
      </c>
      <c r="K19" t="inlineStr">
        <is>
          <t>Đạt</t>
        </is>
      </c>
      <c r="L19" t="b">
        <v>1</v>
      </c>
    </row>
    <row r="20">
      <c r="A20" t="inlineStr">
        <is>
          <t>AW SE 2 (40mm GPS)</t>
        </is>
      </c>
      <c r="B20" s="25" t="n"/>
      <c r="C20" s="42" t="n">
        <v>5220000</v>
      </c>
      <c r="D20" s="3" t="n">
        <v>5090000</v>
      </c>
      <c r="E20" s="38" t="n">
        <v>4940000</v>
      </c>
      <c r="F20" s="34" t="inlineStr">
        <is>
          <t>5.020.000</t>
        </is>
      </c>
      <c r="G20" s="4" t="n">
        <v>5090000</v>
      </c>
    </row>
    <row r="21">
      <c r="A21" t="inlineStr">
        <is>
          <t>AW SE 2 (40mm LTE)</t>
        </is>
      </c>
      <c r="B21" s="25" t="n"/>
      <c r="C21" s="25" t="n">
        <v>7090000</v>
      </c>
      <c r="D21" s="25" t="n">
        <v>7090000</v>
      </c>
      <c r="E21" s="38" t="n">
        <v>6425000</v>
      </c>
      <c r="F21" s="39" t="n">
        <v>6690000</v>
      </c>
      <c r="G21" s="4" t="n">
        <v>6590000</v>
      </c>
    </row>
    <row r="22">
      <c r="A22" t="inlineStr">
        <is>
          <t>AW SE 2 (44mm GPS)</t>
        </is>
      </c>
      <c r="B22" s="25" t="n"/>
      <c r="C22" s="3" t="n">
        <v>5820000</v>
      </c>
      <c r="D22" s="3" t="n">
        <v>5790000</v>
      </c>
      <c r="E22" s="38" t="n">
        <v>5732000</v>
      </c>
      <c r="F22" s="39" t="n">
        <v>5990000</v>
      </c>
      <c r="G22" s="4" t="n">
        <v>5890000</v>
      </c>
    </row>
    <row r="23">
      <c r="A23" t="inlineStr">
        <is>
          <t>AW SE 2 (44mm LTE)</t>
        </is>
      </c>
      <c r="B23" s="25" t="n"/>
      <c r="C23" s="25" t="n">
        <v>7890000</v>
      </c>
      <c r="D23" s="25" t="n">
        <v>7890000</v>
      </c>
      <c r="E23" s="38" t="n">
        <v>7217000</v>
      </c>
      <c r="F23" s="39" t="n">
        <v>7790000</v>
      </c>
      <c r="G23" s="4" t="n">
        <v>7690000</v>
      </c>
    </row>
    <row r="24">
      <c r="A24" t="inlineStr">
        <is>
          <t>AW S10 (42mm GPS)</t>
        </is>
      </c>
      <c r="B24" s="25" t="n"/>
      <c r="C24" s="3" t="n">
        <v>8480000</v>
      </c>
      <c r="D24" s="3" t="n">
        <v>8390000</v>
      </c>
      <c r="E24" s="38" t="n">
        <v>8405000</v>
      </c>
      <c r="F24" s="34" t="inlineStr">
        <is>
          <t>8.490.000</t>
        </is>
      </c>
      <c r="G24" s="4" t="n">
        <v>8390000</v>
      </c>
    </row>
    <row r="25">
      <c r="A25" t="inlineStr">
        <is>
          <t>AW S10 (42mm CEL)</t>
        </is>
      </c>
      <c r="B25" s="25" t="n"/>
      <c r="C25" s="3" t="n">
        <v>13090000</v>
      </c>
      <c r="D25" s="25" t="n">
        <v>12690000</v>
      </c>
      <c r="E25" s="38" t="n">
        <v>11870000</v>
      </c>
      <c r="F25" s="39" t="inlineStr">
        <is>
          <t>13.190.000</t>
        </is>
      </c>
      <c r="G25" s="4" t="n">
        <v>12890000</v>
      </c>
    </row>
    <row r="26">
      <c r="A26" t="inlineStr">
        <is>
          <t>AW S10 (46mm GPS)</t>
        </is>
      </c>
      <c r="B26" s="25" t="n"/>
      <c r="C26" s="3" t="n">
        <v>9280000</v>
      </c>
      <c r="D26" s="3" t="n">
        <v>9490000</v>
      </c>
      <c r="E26" s="38" t="n">
        <v>8900000</v>
      </c>
      <c r="F26" s="34" t="inlineStr">
        <is>
          <t>9.490.000</t>
        </is>
      </c>
      <c r="G26" s="34" t="n">
        <v>9190000</v>
      </c>
    </row>
    <row r="27">
      <c r="A27" t="inlineStr">
        <is>
          <t>AW S10 (46mm CEL)</t>
        </is>
      </c>
      <c r="B27" s="3" t="n"/>
      <c r="C27" s="25" t="n">
        <v>13990000</v>
      </c>
      <c r="D27" s="25" t="n">
        <v>13690000</v>
      </c>
      <c r="E27" s="38" t="n">
        <v>12563000</v>
      </c>
      <c r="F27" s="39" t="n">
        <v>13890000</v>
      </c>
      <c r="G27" s="4" t="n">
        <v>13590000</v>
      </c>
    </row>
    <row r="28">
      <c r="A28" t="inlineStr">
        <is>
          <t>AW Ultra 2 (49mm)</t>
        </is>
      </c>
      <c r="B28" s="25" t="n"/>
      <c r="C28" s="25" t="n">
        <v>22290000</v>
      </c>
      <c r="D28" s="25" t="n">
        <v>21990000</v>
      </c>
      <c r="E28" s="40" t="n">
        <v>21790000</v>
      </c>
      <c r="F28" s="40" t="n">
        <v>21990000</v>
      </c>
      <c r="G28" s="4" t="n">
        <v>22990000</v>
      </c>
    </row>
    <row r="29">
      <c r="A29" t="inlineStr">
        <is>
          <t>AirPods Pro 2 - 2023 (C-Type)</t>
        </is>
      </c>
      <c r="B29" s="3" t="n"/>
      <c r="C29" s="3" t="n">
        <v>5390000</v>
      </c>
      <c r="D29" s="34" t="n">
        <v>5390000</v>
      </c>
      <c r="E29" s="3" t="n">
        <v>5138000</v>
      </c>
      <c r="F29" s="38" t="n">
        <v>5390000</v>
      </c>
      <c r="G29" s="3" t="n">
        <v>5390000</v>
      </c>
    </row>
    <row r="30">
      <c r="A30" t="inlineStr">
        <is>
          <t>AirPods 4 ANC</t>
        </is>
      </c>
      <c r="B30" s="3" t="n"/>
      <c r="C30" s="42" t="n">
        <v>4590000</v>
      </c>
      <c r="D30" s="38" t="n">
        <v>4390000</v>
      </c>
      <c r="E30" s="3" t="n">
        <v>4247000</v>
      </c>
      <c r="F30" s="38" t="n">
        <v>4390000</v>
      </c>
      <c r="G30" s="34" t="n">
        <v>4390000</v>
      </c>
    </row>
    <row r="31">
      <c r="A31" t="inlineStr">
        <is>
          <t>AirPods 4 with charging case</t>
        </is>
      </c>
      <c r="B31" s="3" t="n"/>
      <c r="C31" s="3" t="n">
        <v>3090000</v>
      </c>
      <c r="D31" s="38" t="n">
        <v>3090000</v>
      </c>
      <c r="E31" s="3" t="n">
        <v>2990000</v>
      </c>
      <c r="F31" s="38" t="n">
        <v>3090000</v>
      </c>
      <c r="G31" s="34" t="n">
        <v>3190000</v>
      </c>
    </row>
    <row r="32">
      <c r="A32" t="inlineStr">
        <is>
          <t>MacBook Air 13" M1 8/256Gb</t>
        </is>
      </c>
      <c r="B32" s="3" t="n"/>
      <c r="C32" s="25" t="n">
        <v>17190000</v>
      </c>
      <c r="D32" s="39" t="n">
        <v>16990000</v>
      </c>
      <c r="E32" s="37" t="n"/>
      <c r="F32" s="39" t="n">
        <v>17190000</v>
      </c>
      <c r="G32" s="3" t="n">
        <v>16390000</v>
      </c>
    </row>
    <row r="33">
      <c r="A33" t="inlineStr">
        <is>
          <t>MacBook Air 13" M2 16/256GB</t>
        </is>
      </c>
      <c r="B33" s="25" t="n"/>
      <c r="C33" s="25" t="n">
        <v>21090000</v>
      </c>
      <c r="D33" s="25" t="n">
        <v>21090000</v>
      </c>
      <c r="E33" s="37" t="n"/>
      <c r="F33" s="39" t="n">
        <v>20890000</v>
      </c>
      <c r="G33" s="4" t="n">
        <v>20590000</v>
      </c>
    </row>
    <row r="34">
      <c r="A34" t="inlineStr">
        <is>
          <t>MacBook Air 13" M3 16/256GB</t>
        </is>
      </c>
      <c r="B34" s="3" t="n"/>
      <c r="C34" s="25" t="n">
        <v>24190000</v>
      </c>
      <c r="D34" s="39" t="n">
        <v>23990000</v>
      </c>
      <c r="E34" s="37" t="n"/>
      <c r="F34" s="39" t="n">
        <v>24690000</v>
      </c>
      <c r="G34" s="4" t="n">
        <v>25290000</v>
      </c>
    </row>
    <row r="35">
      <c r="A35" t="inlineStr">
        <is>
          <t>MacBook Air 13" M4 16/256GB</t>
        </is>
      </c>
      <c r="B35" s="3" t="n"/>
      <c r="C35" s="43" t="n">
        <v>26990000</v>
      </c>
      <c r="D35" s="38" t="n">
        <v>26490000</v>
      </c>
      <c r="E35" s="37" t="n"/>
      <c r="F35" s="34" t="n">
        <v>25990000</v>
      </c>
      <c r="G35" s="4" t="n">
        <v>25890000</v>
      </c>
    </row>
    <row r="36">
      <c r="A36" t="inlineStr">
        <is>
          <t>MacBook Air 15" M4 16/256GB</t>
        </is>
      </c>
      <c r="B36" s="25" t="n"/>
      <c r="C36" s="39" t="n">
        <v>31990000</v>
      </c>
      <c r="D36" s="25" t="n">
        <v>31890000</v>
      </c>
      <c r="E36" s="37" t="n"/>
      <c r="F36" s="39" t="n">
        <v>31990000</v>
      </c>
      <c r="G36" s="4" t="n">
        <v>31990000</v>
      </c>
    </row>
    <row r="37">
      <c r="A37" t="inlineStr">
        <is>
          <t>MacBook Pro 14" M4 16/512GB</t>
        </is>
      </c>
      <c r="B37" s="25" t="n"/>
      <c r="C37" s="25" t="n">
        <v>39590000</v>
      </c>
      <c r="D37" s="25" t="n">
        <v>39590000</v>
      </c>
      <c r="E37" s="37" t="n"/>
      <c r="F37" s="40" t="n">
        <v>39290000</v>
      </c>
      <c r="G37" s="39" t="n">
        <v>39390000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0.xml><?xml version="1.0" encoding="utf-8"?>
<worksheet xmlns="http://schemas.openxmlformats.org/spreadsheetml/2006/main">
  <sheetPr>
    <outlinePr summaryBelow="1" summaryRight="1"/>
    <pageSetUpPr/>
  </sheetPr>
  <dimension ref="A1:L37"/>
  <sheetViews>
    <sheetView zoomScaleNormal="120" workbookViewId="0">
      <pane xSplit="2" ySplit="1" topLeftCell="C2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15990000</v>
      </c>
      <c r="F2" s="40" t="n">
        <v>16190000</v>
      </c>
      <c r="G2" s="40" t="n">
        <v>15990000</v>
      </c>
    </row>
    <row r="3">
      <c r="A3" t="inlineStr">
        <is>
          <t>iPhone 16  128GB</t>
        </is>
      </c>
      <c r="B3" s="25" t="n"/>
      <c r="C3" s="25" t="n">
        <v>19090000</v>
      </c>
      <c r="D3" s="42" t="n">
        <v>18890000</v>
      </c>
      <c r="E3" s="40" t="n">
        <v>18490000</v>
      </c>
      <c r="F3" s="40" t="n">
        <v>18890000</v>
      </c>
      <c r="G3" s="40" t="n">
        <v>18690000</v>
      </c>
    </row>
    <row r="4">
      <c r="A4" t="inlineStr">
        <is>
          <t>iPhone 16  Plus 128GB</t>
        </is>
      </c>
      <c r="B4" s="3" t="n"/>
      <c r="C4" s="34" t="n">
        <v>21990000</v>
      </c>
      <c r="D4" s="42" t="n">
        <v>21990000</v>
      </c>
      <c r="E4" s="40" t="n">
        <v>21690000</v>
      </c>
      <c r="F4" s="38" t="n">
        <v>21890000</v>
      </c>
      <c r="G4" s="40" t="n">
        <v>21890000</v>
      </c>
    </row>
    <row r="5">
      <c r="A5" t="inlineStr">
        <is>
          <t>iPhone 16 Pro  128GB</t>
        </is>
      </c>
      <c r="B5" s="25" t="n"/>
      <c r="C5" s="25" t="n">
        <v>25090000</v>
      </c>
      <c r="D5" s="43" t="n">
        <v>24990000</v>
      </c>
      <c r="E5" s="40" t="n">
        <v>24290000</v>
      </c>
      <c r="F5" s="40" t="n">
        <v>24990000</v>
      </c>
      <c r="G5" s="40" t="n">
        <v>24690000</v>
      </c>
    </row>
    <row r="6">
      <c r="A6" t="inlineStr">
        <is>
          <t>iPhone 16 Pro Max 256GB</t>
        </is>
      </c>
      <c r="B6" s="3" t="n"/>
      <c r="C6" s="25" t="n">
        <v>30590000</v>
      </c>
      <c r="D6" s="43" t="n">
        <v>30490000</v>
      </c>
      <c r="E6" s="40" t="n">
        <v>29990000</v>
      </c>
      <c r="F6" s="40" t="n">
        <v>30290000</v>
      </c>
      <c r="G6" s="40" t="n">
        <v>29990000</v>
      </c>
    </row>
    <row r="7">
      <c r="A7" t="inlineStr">
        <is>
          <t>iPhone 15  128GB</t>
        </is>
      </c>
      <c r="B7" s="25" t="n"/>
      <c r="C7" s="25" t="n">
        <v>15890000</v>
      </c>
      <c r="D7" s="42" t="n">
        <v>15790000</v>
      </c>
      <c r="E7" s="40" t="n">
        <v>15490000</v>
      </c>
      <c r="F7" s="40" t="n">
        <v>15590000</v>
      </c>
      <c r="G7" s="38" t="n">
        <v>15490000</v>
      </c>
    </row>
    <row r="8">
      <c r="A8" t="inlineStr">
        <is>
          <t>iPhone 15  Plus 128GB</t>
        </is>
      </c>
      <c r="B8" s="25" t="n"/>
      <c r="C8" s="25" t="n">
        <v>19390000</v>
      </c>
      <c r="D8" s="43" t="n">
        <v>19390000</v>
      </c>
      <c r="E8" s="40" t="n">
        <v>18990000</v>
      </c>
      <c r="F8" s="38" t="n">
        <v>19390000</v>
      </c>
      <c r="G8" s="38" t="n">
        <v>18890000</v>
      </c>
    </row>
    <row r="9">
      <c r="A9" t="inlineStr">
        <is>
          <t>iPhone 15 Pro Max 256GB</t>
        </is>
      </c>
      <c r="B9" s="3" t="n"/>
      <c r="C9" s="25" t="n">
        <v>29990000</v>
      </c>
      <c r="D9" s="25" t="n">
        <v>28490000</v>
      </c>
      <c r="E9" s="40" t="inlineStr">
        <is>
          <t>OOS</t>
        </is>
      </c>
      <c r="F9" s="40" t="n">
        <v>28790000</v>
      </c>
      <c r="G9" s="40" t="n">
        <v>27990000</v>
      </c>
    </row>
    <row r="10">
      <c r="A10" t="inlineStr">
        <is>
          <t>iPhone 14 Plus 128GB</t>
        </is>
      </c>
      <c r="B10" s="3" t="n"/>
      <c r="C10" s="40" t="inlineStr">
        <is>
          <t>OOS</t>
        </is>
      </c>
      <c r="D10" s="25" t="n">
        <v>18490000</v>
      </c>
      <c r="E10" s="40" t="n">
        <v>18990000</v>
      </c>
      <c r="F10" s="43" t="inlineStr">
        <is>
          <t>OOS</t>
        </is>
      </c>
      <c r="G10" s="3" t="n">
        <v>17390000</v>
      </c>
    </row>
    <row r="11">
      <c r="A11" t="inlineStr">
        <is>
          <t>iPhone 14 128GB</t>
        </is>
      </c>
      <c r="B11" s="25" t="n"/>
      <c r="C11" s="39" t="n">
        <v>12790000</v>
      </c>
      <c r="D11" s="40" t="n">
        <v>12690000</v>
      </c>
      <c r="E11" s="40" t="n">
        <v>12690000</v>
      </c>
      <c r="F11" s="34" t="n">
        <v>12690000</v>
      </c>
      <c r="G11" s="3" t="n">
        <v>12590000</v>
      </c>
    </row>
    <row r="12">
      <c r="A12" t="inlineStr">
        <is>
          <t>iPhone 13  128GB</t>
        </is>
      </c>
      <c r="B12" s="3" t="n"/>
      <c r="C12" s="39" t="n">
        <v>11790000</v>
      </c>
      <c r="D12" s="39" t="n">
        <v>11690000</v>
      </c>
      <c r="E12" s="40" t="n">
        <v>11390000</v>
      </c>
      <c r="F12" s="39" t="n">
        <v>11690000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0" t="n">
        <v>11790000</v>
      </c>
      <c r="D14" s="25" t="n">
        <v>13790000</v>
      </c>
      <c r="E14" s="40" t="n">
        <v>13652000</v>
      </c>
      <c r="F14" s="39" t="n">
        <v>13790000</v>
      </c>
      <c r="G14" s="4" t="n">
        <v>13690000</v>
      </c>
    </row>
    <row r="15">
      <c r="A15" t="inlineStr">
        <is>
          <t>iPad Gen 11th  128GB Wifi</t>
        </is>
      </c>
      <c r="B15" s="3" t="n"/>
      <c r="C15" s="40" t="n">
        <v>11790000</v>
      </c>
      <c r="D15" s="43" t="n">
        <v>8690000</v>
      </c>
      <c r="E15" s="25" t="n">
        <v>8405000</v>
      </c>
      <c r="F15" s="39" t="n">
        <v>8690000</v>
      </c>
      <c r="G15" s="4" t="n">
        <v>8390000</v>
      </c>
      <c r="J15" t="inlineStr">
        <is>
          <t xml:space="preserve">MW </t>
        </is>
      </c>
      <c r="K15" t="inlineStr">
        <is>
          <t>Duy</t>
        </is>
      </c>
      <c r="L15" t="b">
        <v>1</v>
      </c>
    </row>
    <row r="16">
      <c r="A16" t="inlineStr">
        <is>
          <t>iPad Air M3  11" 128 GB Wifi</t>
        </is>
      </c>
      <c r="B16" s="3" t="n"/>
      <c r="C16" s="25" t="n">
        <v>16490000</v>
      </c>
      <c r="D16" s="43" t="n">
        <v>16490000</v>
      </c>
      <c r="E16" s="25" t="n">
        <v>16127000</v>
      </c>
      <c r="F16" s="34" t="n">
        <v>16590000</v>
      </c>
      <c r="G16" s="4" t="n">
        <v>16390000</v>
      </c>
      <c r="J16" t="inlineStr">
        <is>
          <t>FPT</t>
        </is>
      </c>
      <c r="K16" t="inlineStr">
        <is>
          <t>Việt</t>
        </is>
      </c>
      <c r="L16" t="b">
        <v>1</v>
      </c>
    </row>
    <row r="17">
      <c r="A17" t="inlineStr">
        <is>
          <t>iPad Air M3  13" 128 GB Wifi</t>
        </is>
      </c>
      <c r="B17" s="25" t="n"/>
      <c r="C17" s="25" t="n">
        <v>22490000</v>
      </c>
      <c r="D17" s="25" t="n">
        <v>22390000</v>
      </c>
      <c r="E17" s="25" t="n">
        <v>21290000</v>
      </c>
      <c r="F17" s="39" t="n">
        <v>21990000</v>
      </c>
      <c r="G17" s="4" t="n">
        <v>21790000</v>
      </c>
      <c r="J17" t="inlineStr">
        <is>
          <t>Viettel</t>
        </is>
      </c>
      <c r="K17" t="inlineStr">
        <is>
          <t>Nghĩa</t>
        </is>
      </c>
      <c r="L17" t="b">
        <v>1</v>
      </c>
    </row>
    <row r="18">
      <c r="A18" t="inlineStr">
        <is>
          <t>iPad Pro  M4  11" 256 GB Wifi</t>
        </is>
      </c>
      <c r="B18" s="25" t="n"/>
      <c r="C18" s="39" t="n">
        <v>24990000</v>
      </c>
      <c r="D18" s="43" t="n">
        <v>26690000</v>
      </c>
      <c r="E18" s="25" t="n">
        <v>26990000</v>
      </c>
      <c r="F18" s="34" t="n">
        <v>26990000</v>
      </c>
      <c r="G18" s="4" t="n">
        <v>26590000</v>
      </c>
      <c r="J18" t="inlineStr">
        <is>
          <t>CPS</t>
        </is>
      </c>
      <c r="K18" t="inlineStr">
        <is>
          <t>Trang</t>
        </is>
      </c>
      <c r="L18" t="b">
        <v>1</v>
      </c>
    </row>
    <row r="19">
      <c r="A19" t="inlineStr">
        <is>
          <t>iPad Pro  M4  13" 256 GB Wifi</t>
        </is>
      </c>
      <c r="B19" s="3" t="n"/>
      <c r="C19" s="39" t="n">
        <v>33990000</v>
      </c>
      <c r="D19" s="43" t="n">
        <v>36490000</v>
      </c>
      <c r="E19" s="25" t="n">
        <v>35990000</v>
      </c>
      <c r="F19" s="39" t="n">
        <v>36990000</v>
      </c>
      <c r="G19" s="4" t="n">
        <v>36390000</v>
      </c>
      <c r="J19" t="inlineStr">
        <is>
          <t>ShopDunk</t>
        </is>
      </c>
      <c r="K19" t="inlineStr">
        <is>
          <t>Đạt</t>
        </is>
      </c>
      <c r="L19" t="b">
        <v>1</v>
      </c>
    </row>
    <row r="20">
      <c r="A20" t="inlineStr">
        <is>
          <t>AW SE 2 (40mm GPS)</t>
        </is>
      </c>
      <c r="B20" s="25" t="n"/>
      <c r="C20" s="40" t="n">
        <v>5220000</v>
      </c>
      <c r="D20" s="25" t="n">
        <v>5090000</v>
      </c>
      <c r="E20" s="25" t="n">
        <v>4940000</v>
      </c>
      <c r="F20" s="39" t="n">
        <v>5090000</v>
      </c>
      <c r="G20" s="4" t="n">
        <v>5090000</v>
      </c>
    </row>
    <row r="21">
      <c r="A21" t="inlineStr">
        <is>
          <t>AW SE 2 (40mm LTE)</t>
        </is>
      </c>
      <c r="B21" s="25" t="n"/>
      <c r="C21" s="39" t="n">
        <v>7090000</v>
      </c>
      <c r="D21" s="3" t="n">
        <v>6690000</v>
      </c>
      <c r="E21" s="25" t="n">
        <v>6425000</v>
      </c>
      <c r="F21" s="39" t="n">
        <v>6690000</v>
      </c>
      <c r="G21" s="3" t="n">
        <v>7190000</v>
      </c>
    </row>
    <row r="22">
      <c r="A22" t="inlineStr">
        <is>
          <t>AW SE 2 (44mm GPS)</t>
        </is>
      </c>
      <c r="B22" s="25" t="n"/>
      <c r="C22" s="39" t="n">
        <v>5820000</v>
      </c>
      <c r="D22" s="25" t="n">
        <v>5790000</v>
      </c>
      <c r="E22" s="25" t="n">
        <v>5732000</v>
      </c>
      <c r="F22" s="34" t="n">
        <v>5820000</v>
      </c>
      <c r="G22" s="4" t="n">
        <v>5890000</v>
      </c>
    </row>
    <row r="23">
      <c r="A23" t="inlineStr">
        <is>
          <t>AW SE 2 (44mm LTE)</t>
        </is>
      </c>
      <c r="B23" s="25" t="n"/>
      <c r="C23" s="39" t="n">
        <v>7890000</v>
      </c>
      <c r="D23" s="25" t="n">
        <v>7890000</v>
      </c>
      <c r="E23" s="25" t="n">
        <v>7217000</v>
      </c>
      <c r="F23" s="39" t="n">
        <v>7790000</v>
      </c>
      <c r="G23" s="3" t="n">
        <v>7790000</v>
      </c>
    </row>
    <row r="24">
      <c r="A24" t="inlineStr">
        <is>
          <t>AW S10 (42mm GPS)</t>
        </is>
      </c>
      <c r="B24" s="25" t="n"/>
      <c r="C24" s="39" t="n">
        <v>8480000</v>
      </c>
      <c r="D24" s="25" t="n">
        <v>8390000</v>
      </c>
      <c r="E24" s="25" t="n">
        <v>8405000</v>
      </c>
      <c r="F24" s="39" t="n">
        <v>8490000</v>
      </c>
      <c r="G24" s="4" t="n">
        <v>8390000</v>
      </c>
    </row>
    <row r="25">
      <c r="A25" t="inlineStr">
        <is>
          <t>AW S10 (42mm CEL)</t>
        </is>
      </c>
      <c r="B25" s="25" t="n"/>
      <c r="C25" s="39" t="n">
        <v>13090000</v>
      </c>
      <c r="D25" s="25" t="n">
        <v>12690000</v>
      </c>
      <c r="E25" s="25" t="n">
        <v>11870000</v>
      </c>
      <c r="F25" s="39" t="n">
        <v>13190000</v>
      </c>
      <c r="G25" s="4" t="n">
        <v>12890000</v>
      </c>
    </row>
    <row r="26">
      <c r="A26" t="inlineStr">
        <is>
          <t>AW S10 (46mm GPS)</t>
        </is>
      </c>
      <c r="B26" s="25" t="n"/>
      <c r="C26" s="39" t="n">
        <v>9280000</v>
      </c>
      <c r="D26" s="3" t="n">
        <v>9290000</v>
      </c>
      <c r="E26" s="25" t="n">
        <v>8900000</v>
      </c>
      <c r="F26" s="39" t="n">
        <v>9490000</v>
      </c>
      <c r="G26" s="34" t="n">
        <v>9080000</v>
      </c>
    </row>
    <row r="27">
      <c r="A27" t="inlineStr">
        <is>
          <t>AW S10 (46mm CEL)</t>
        </is>
      </c>
      <c r="B27" s="3" t="n"/>
      <c r="C27" s="39" t="n">
        <v>13990000</v>
      </c>
      <c r="D27" s="25" t="n">
        <v>13690000</v>
      </c>
      <c r="E27" s="25" t="n">
        <v>12563000</v>
      </c>
      <c r="F27" s="39" t="n">
        <v>13890000</v>
      </c>
      <c r="G27" s="4" t="n">
        <v>13590000</v>
      </c>
    </row>
    <row r="28">
      <c r="A28" t="inlineStr">
        <is>
          <t>AW Ultra 2 (49mm)</t>
        </is>
      </c>
      <c r="B28" s="25" t="n"/>
      <c r="C28" s="39" t="n">
        <v>22290000</v>
      </c>
      <c r="D28" s="25" t="n">
        <v>21990000</v>
      </c>
      <c r="E28" s="25" t="n">
        <v>21790000</v>
      </c>
      <c r="F28" s="40" t="n">
        <v>21990000</v>
      </c>
      <c r="G28" s="4" t="n">
        <v>22990000</v>
      </c>
    </row>
    <row r="29">
      <c r="A29" t="inlineStr">
        <is>
          <t>AirPods Pro 2 - 2023 (C-Type)</t>
        </is>
      </c>
      <c r="B29" s="3" t="n"/>
      <c r="C29" s="39" t="n">
        <v>5390000</v>
      </c>
      <c r="D29" s="34" t="n">
        <v>5290000</v>
      </c>
      <c r="E29" s="25" t="n">
        <v>5138000</v>
      </c>
      <c r="F29" s="38" t="n">
        <v>5299000</v>
      </c>
      <c r="G29" s="3" t="n">
        <v>5390000</v>
      </c>
    </row>
    <row r="30">
      <c r="A30" t="inlineStr">
        <is>
          <t>AirPods 4 ANC</t>
        </is>
      </c>
      <c r="B30" s="3" t="n"/>
      <c r="C30" s="40" t="n">
        <v>4590000</v>
      </c>
      <c r="D30" s="38" t="n">
        <v>4290000</v>
      </c>
      <c r="E30" s="25" t="n">
        <v>4247000</v>
      </c>
      <c r="F30" s="38" t="n">
        <v>4290000</v>
      </c>
      <c r="G30" s="34" t="n">
        <v>4290000</v>
      </c>
    </row>
    <row r="31">
      <c r="A31" t="inlineStr">
        <is>
          <t>AirPods 4 with charging case</t>
        </is>
      </c>
      <c r="B31" s="3" t="n"/>
      <c r="C31" s="39" t="n">
        <v>3090000</v>
      </c>
      <c r="D31" s="38" t="n">
        <v>2990000</v>
      </c>
      <c r="E31" s="3" t="n">
        <v>2890000</v>
      </c>
      <c r="F31" s="38" t="n">
        <v>2990000</v>
      </c>
      <c r="G31" s="34" t="n">
        <v>2990000</v>
      </c>
    </row>
    <row r="32">
      <c r="A32" t="inlineStr">
        <is>
          <t>MacBook Air 13" M1 8/256Gb</t>
        </is>
      </c>
      <c r="B32" s="3" t="n"/>
      <c r="C32" s="25" t="n">
        <v>17190000</v>
      </c>
      <c r="D32" s="39" t="n">
        <v>16990000</v>
      </c>
      <c r="E32" s="37" t="n"/>
      <c r="F32" s="39" t="n">
        <v>17190000</v>
      </c>
      <c r="G32" s="4" t="n">
        <v>16390000</v>
      </c>
    </row>
    <row r="33">
      <c r="A33" t="inlineStr">
        <is>
          <t>MacBook Air 13" M2 16/256GB</t>
        </is>
      </c>
      <c r="B33" s="25" t="n"/>
      <c r="C33" s="25" t="n">
        <v>21090000</v>
      </c>
      <c r="D33" s="3" t="n">
        <v>20990000</v>
      </c>
      <c r="E33" s="37" t="n"/>
      <c r="F33" s="34" t="n">
        <v>20790000</v>
      </c>
      <c r="G33" s="4" t="n">
        <v>20590000</v>
      </c>
    </row>
    <row r="34">
      <c r="A34" t="inlineStr">
        <is>
          <t>MacBook Air 13" M3 16/256GB</t>
        </is>
      </c>
      <c r="B34" s="3" t="n"/>
      <c r="C34" s="34" t="n">
        <v>24990000</v>
      </c>
      <c r="D34" s="39" t="n">
        <v>23990000</v>
      </c>
      <c r="E34" s="37" t="n"/>
      <c r="F34" s="39" t="n">
        <v>24690000</v>
      </c>
      <c r="G34" s="4" t="n">
        <v>25290000</v>
      </c>
    </row>
    <row r="35">
      <c r="A35" t="inlineStr">
        <is>
          <t>MacBook Air 13" M4 16/256GB</t>
        </is>
      </c>
      <c r="B35" s="3" t="n"/>
      <c r="C35" s="43" t="n">
        <v>26990000</v>
      </c>
      <c r="D35" s="40" t="n">
        <v>26490000</v>
      </c>
      <c r="E35" s="37" t="n"/>
      <c r="F35" s="39" t="n">
        <v>25990000</v>
      </c>
      <c r="G35" s="4" t="n">
        <v>25890000</v>
      </c>
    </row>
    <row r="36">
      <c r="A36" t="inlineStr">
        <is>
          <t>MacBook Air 15" M4 16/256GB</t>
        </is>
      </c>
      <c r="B36" s="25" t="n"/>
      <c r="C36" s="39" t="n">
        <v>31990000</v>
      </c>
      <c r="D36" s="25" t="n">
        <v>31890000</v>
      </c>
      <c r="E36" s="37" t="n"/>
      <c r="F36" s="39" t="n">
        <v>31990000</v>
      </c>
      <c r="G36" s="4" t="n">
        <v>31990000</v>
      </c>
    </row>
    <row r="37">
      <c r="A37" t="inlineStr">
        <is>
          <t>MacBook Pro 14" M4 16/512GB</t>
        </is>
      </c>
      <c r="B37" s="25" t="n"/>
      <c r="C37" s="25" t="n">
        <v>39590000</v>
      </c>
      <c r="D37" s="25" t="n">
        <v>39590000</v>
      </c>
      <c r="E37" s="37" t="n"/>
      <c r="F37" s="40" t="n">
        <v>39290000</v>
      </c>
      <c r="G37" s="34" t="n">
        <v>38990000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1.xml><?xml version="1.0" encoding="utf-8"?>
<worksheet xmlns="http://schemas.openxmlformats.org/spreadsheetml/2006/main">
  <sheetPr>
    <outlinePr summaryBelow="1" summaryRight="1"/>
    <pageSetUpPr/>
  </sheetPr>
  <dimension ref="A1:L37"/>
  <sheetViews>
    <sheetView zoomScale="107" zoomScaleNormal="12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15990000</v>
      </c>
      <c r="F2" s="40" t="n">
        <v>16190000</v>
      </c>
      <c r="G2" s="40" t="n">
        <v>15990000</v>
      </c>
    </row>
    <row r="3">
      <c r="A3" t="inlineStr">
        <is>
          <t>iPhone 16  128GB</t>
        </is>
      </c>
      <c r="B3" s="25" t="n"/>
      <c r="C3" s="34" t="n">
        <v>18990000</v>
      </c>
      <c r="D3" s="43" t="n">
        <v>18890000</v>
      </c>
      <c r="E3" s="40" t="n">
        <v>18490000</v>
      </c>
      <c r="F3" s="38" t="n">
        <v>18790000</v>
      </c>
      <c r="G3" s="40" t="n">
        <v>18690000</v>
      </c>
    </row>
    <row r="4">
      <c r="A4" t="inlineStr">
        <is>
          <t>iPhone 16  Plus 128GB</t>
        </is>
      </c>
      <c r="B4" s="3" t="n"/>
      <c r="C4" s="39" t="n">
        <v>21990000</v>
      </c>
      <c r="D4" s="43" t="n">
        <v>21990000</v>
      </c>
      <c r="E4" s="40" t="n">
        <v>21690000</v>
      </c>
      <c r="F4" s="40" t="n">
        <v>21890000</v>
      </c>
      <c r="G4" s="40" t="n">
        <v>21890000</v>
      </c>
    </row>
    <row r="5">
      <c r="A5" t="inlineStr">
        <is>
          <t>iPhone 16 Pro  128GB</t>
        </is>
      </c>
      <c r="B5" s="25" t="n"/>
      <c r="C5" s="25" t="n">
        <v>25090000</v>
      </c>
      <c r="D5" s="43" t="n">
        <v>24990000</v>
      </c>
      <c r="E5" s="40" t="n">
        <v>24290000</v>
      </c>
      <c r="F5" s="40" t="n">
        <v>24990000</v>
      </c>
      <c r="G5" s="40" t="n">
        <v>24690000</v>
      </c>
    </row>
    <row r="6">
      <c r="A6" t="inlineStr">
        <is>
          <t>iPhone 16 Pro Max 256GB</t>
        </is>
      </c>
      <c r="B6" s="3" t="n"/>
      <c r="C6" s="25" t="n">
        <v>30590000</v>
      </c>
      <c r="D6" s="43" t="n">
        <v>30490000</v>
      </c>
      <c r="E6" s="40" t="n">
        <v>29990000</v>
      </c>
      <c r="F6" s="38" t="n">
        <v>30390000</v>
      </c>
      <c r="G6" s="40" t="n">
        <v>29990000</v>
      </c>
    </row>
    <row r="7">
      <c r="A7" t="inlineStr">
        <is>
          <t>iPhone 15  128GB</t>
        </is>
      </c>
      <c r="B7" s="25" t="n"/>
      <c r="C7" s="3" t="n">
        <v>15990000</v>
      </c>
      <c r="D7" s="43" t="n">
        <v>15790000</v>
      </c>
      <c r="E7" s="40" t="n">
        <v>15490000</v>
      </c>
      <c r="F7" s="38" t="n">
        <v>15690000</v>
      </c>
      <c r="G7" s="40" t="n">
        <v>15490000</v>
      </c>
    </row>
    <row r="8">
      <c r="A8" t="inlineStr">
        <is>
          <t>iPhone 15  Plus 128GB</t>
        </is>
      </c>
      <c r="B8" s="25" t="n"/>
      <c r="C8" s="25" t="n">
        <v>19290000</v>
      </c>
      <c r="D8" s="43" t="n">
        <v>19390000</v>
      </c>
      <c r="E8" s="40" t="n">
        <v>18990000</v>
      </c>
      <c r="F8" s="38" t="n">
        <v>19290000</v>
      </c>
      <c r="G8" s="40" t="n">
        <v>18890000</v>
      </c>
    </row>
    <row r="9">
      <c r="A9" t="inlineStr">
        <is>
          <t>iPhone 15 Pro Max 256GB</t>
        </is>
      </c>
      <c r="B9" s="3" t="n"/>
      <c r="C9" s="25" t="n">
        <v>29990000</v>
      </c>
      <c r="D9" s="25" t="n">
        <v>28490000</v>
      </c>
      <c r="E9" s="40" t="inlineStr">
        <is>
          <t>OOS</t>
        </is>
      </c>
      <c r="F9" s="38" t="n">
        <v>28690000</v>
      </c>
      <c r="G9" s="40" t="n">
        <v>27990000</v>
      </c>
    </row>
    <row r="10">
      <c r="A10" t="inlineStr">
        <is>
          <t>iPhone 14 Plus 128GB</t>
        </is>
      </c>
      <c r="B10" s="3" t="n"/>
      <c r="C10" s="40" t="inlineStr">
        <is>
          <t>OOS</t>
        </is>
      </c>
      <c r="D10" s="25" t="n">
        <v>18490000</v>
      </c>
      <c r="E10" s="40" t="n">
        <v>18990000</v>
      </c>
      <c r="F10" s="43" t="inlineStr">
        <is>
          <t>OOS</t>
        </is>
      </c>
      <c r="G10" s="40" t="n">
        <v>17390000</v>
      </c>
    </row>
    <row r="11">
      <c r="A11" t="inlineStr">
        <is>
          <t>iPhone 14 128GB</t>
        </is>
      </c>
      <c r="B11" s="25" t="n"/>
      <c r="C11" s="39" t="n">
        <v>12790000</v>
      </c>
      <c r="D11" s="40" t="n">
        <v>12690000</v>
      </c>
      <c r="E11" s="40" t="n">
        <v>12690000</v>
      </c>
      <c r="F11" s="39" t="n">
        <v>12690000</v>
      </c>
      <c r="G11" s="40" t="n">
        <v>12590000</v>
      </c>
    </row>
    <row r="12">
      <c r="A12" t="inlineStr">
        <is>
          <t>iPhone 13  128GB</t>
        </is>
      </c>
      <c r="B12" s="3" t="n"/>
      <c r="C12" s="39" t="n">
        <v>11790000</v>
      </c>
      <c r="D12" s="39" t="n">
        <v>11690000</v>
      </c>
      <c r="E12" s="40" t="n">
        <v>11390000</v>
      </c>
      <c r="F12" s="39" t="n">
        <v>11690000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40" t="n">
        <v>11790000</v>
      </c>
      <c r="D14" s="25" t="n">
        <v>13790000</v>
      </c>
      <c r="E14" s="40" t="n">
        <v>13652000</v>
      </c>
      <c r="F14" s="39" t="n">
        <v>13790000</v>
      </c>
      <c r="G14" s="4" t="n">
        <v>13690000</v>
      </c>
    </row>
    <row r="15">
      <c r="A15" t="inlineStr">
        <is>
          <t>iPad Gen 11th  128GB Wifi</t>
        </is>
      </c>
      <c r="B15" s="3" t="n"/>
      <c r="C15" s="43" t="n">
        <v>8690000</v>
      </c>
      <c r="D15" s="43" t="n">
        <v>8690000</v>
      </c>
      <c r="E15" s="25" t="n">
        <v>8405000</v>
      </c>
      <c r="F15" s="34" t="n">
        <v>8490000</v>
      </c>
      <c r="G15" s="3" t="n">
        <v>8690000</v>
      </c>
      <c r="J15" t="inlineStr">
        <is>
          <t xml:space="preserve">MW </t>
        </is>
      </c>
      <c r="K15" t="inlineStr">
        <is>
          <t>Duy</t>
        </is>
      </c>
      <c r="L15" t="b">
        <v>1</v>
      </c>
    </row>
    <row r="16">
      <c r="A16" t="inlineStr">
        <is>
          <t>iPad Air M3  11" 128 GB Wifi</t>
        </is>
      </c>
      <c r="B16" s="3" t="n"/>
      <c r="C16" s="25" t="n">
        <v>16490000</v>
      </c>
      <c r="D16" s="43" t="n">
        <v>16490000</v>
      </c>
      <c r="E16" s="25" t="n">
        <v>16127000</v>
      </c>
      <c r="F16" s="34" t="n">
        <v>16250000</v>
      </c>
      <c r="G16" s="3" t="n">
        <v>16050000</v>
      </c>
      <c r="J16" t="inlineStr">
        <is>
          <t>FPT</t>
        </is>
      </c>
      <c r="K16" t="inlineStr">
        <is>
          <t>Việt</t>
        </is>
      </c>
      <c r="L16" t="b">
        <v>1</v>
      </c>
    </row>
    <row r="17">
      <c r="A17" t="inlineStr">
        <is>
          <t>iPad Air M3  13" 128 GB Wifi</t>
        </is>
      </c>
      <c r="B17" s="25" t="n"/>
      <c r="C17" s="25" t="n">
        <v>22490000</v>
      </c>
      <c r="D17" s="25" t="n">
        <v>22390000</v>
      </c>
      <c r="E17" s="25" t="n">
        <v>21290000</v>
      </c>
      <c r="F17" s="39" t="n">
        <v>21990000</v>
      </c>
      <c r="G17" s="4" t="n">
        <v>21790000</v>
      </c>
      <c r="J17" t="inlineStr">
        <is>
          <t>Viettel</t>
        </is>
      </c>
      <c r="K17" t="inlineStr">
        <is>
          <t>Nghĩa</t>
        </is>
      </c>
      <c r="L17" t="b">
        <v>1</v>
      </c>
    </row>
    <row r="18">
      <c r="A18" t="inlineStr">
        <is>
          <t>iPad Pro  M4  11" 256 GB Wifi</t>
        </is>
      </c>
      <c r="B18" s="25" t="n"/>
      <c r="C18" s="39" t="n">
        <v>24990000</v>
      </c>
      <c r="D18" s="43" t="n">
        <v>26690000</v>
      </c>
      <c r="E18" s="25" t="n">
        <v>26990000</v>
      </c>
      <c r="F18" s="39" t="n">
        <v>26990000</v>
      </c>
      <c r="G18" s="4" t="n">
        <v>26590000</v>
      </c>
      <c r="J18" t="inlineStr">
        <is>
          <t>CPS</t>
        </is>
      </c>
      <c r="K18" t="inlineStr">
        <is>
          <t>Trang</t>
        </is>
      </c>
      <c r="L18" t="b">
        <v>1</v>
      </c>
    </row>
    <row r="19">
      <c r="A19" t="inlineStr">
        <is>
          <t>iPad Pro  M4  13" 256 GB Wifi</t>
        </is>
      </c>
      <c r="B19" s="3" t="n"/>
      <c r="C19" s="39" t="n">
        <v>33990000</v>
      </c>
      <c r="D19" s="43" t="n">
        <v>36490000</v>
      </c>
      <c r="E19" s="25" t="n">
        <v>35990000</v>
      </c>
      <c r="F19" s="34" t="n">
        <v>36490000</v>
      </c>
      <c r="G19" s="4" t="n">
        <v>36390000</v>
      </c>
      <c r="J19" t="inlineStr">
        <is>
          <t>ShopDunk</t>
        </is>
      </c>
      <c r="K19" t="inlineStr">
        <is>
          <t>Đạt</t>
        </is>
      </c>
      <c r="L19" t="b">
        <v>1</v>
      </c>
    </row>
    <row r="20">
      <c r="A20" t="inlineStr">
        <is>
          <t>AW SE 2 (40mm GPS)</t>
        </is>
      </c>
      <c r="B20" s="25" t="n"/>
      <c r="C20" s="38" t="n">
        <v>5990000</v>
      </c>
      <c r="D20" s="3" t="n">
        <v>5790000</v>
      </c>
      <c r="E20" s="3" t="n">
        <v>5732000</v>
      </c>
      <c r="F20" s="34" t="n">
        <v>5790000</v>
      </c>
      <c r="G20" s="3" t="n">
        <v>5790000</v>
      </c>
    </row>
    <row r="21">
      <c r="A21" t="inlineStr">
        <is>
          <t>AW SE 2 (40mm LTE)</t>
        </is>
      </c>
      <c r="B21" s="25" t="n"/>
      <c r="C21" s="39" t="inlineStr">
        <is>
          <t>OOS</t>
        </is>
      </c>
      <c r="D21" s="25" t="n">
        <v>6690000</v>
      </c>
      <c r="E21" s="3" t="n">
        <v>6920000</v>
      </c>
      <c r="F21" s="39" t="n">
        <v>6690000</v>
      </c>
      <c r="G21" s="4" t="n">
        <v>7190000</v>
      </c>
    </row>
    <row r="22">
      <c r="A22" t="inlineStr">
        <is>
          <t>AW SE 2 (44mm GPS)</t>
        </is>
      </c>
      <c r="B22" s="25" t="n"/>
      <c r="C22" s="34" t="n">
        <v>6590000</v>
      </c>
      <c r="D22" s="3" t="n">
        <v>6590000</v>
      </c>
      <c r="E22" s="3" t="n">
        <v>6425000</v>
      </c>
      <c r="F22" s="34" t="n">
        <v>6590000</v>
      </c>
      <c r="G22" s="3" t="n">
        <v>6590000</v>
      </c>
    </row>
    <row r="23">
      <c r="A23" t="inlineStr">
        <is>
          <t>AW SE 2 (44mm LTE)</t>
        </is>
      </c>
      <c r="B23" s="25" t="n"/>
      <c r="C23" s="39" t="n">
        <v>7890000</v>
      </c>
      <c r="D23" s="25" t="n">
        <v>7890000</v>
      </c>
      <c r="E23" s="3" t="n">
        <v>7712000</v>
      </c>
      <c r="F23" s="39" t="n">
        <v>7790000</v>
      </c>
      <c r="G23" s="3" t="n">
        <v>7690000</v>
      </c>
    </row>
    <row r="24">
      <c r="A24" t="inlineStr">
        <is>
          <t>AW S10 (42mm GPS)</t>
        </is>
      </c>
      <c r="B24" s="25" t="n"/>
      <c r="C24" s="34" t="n">
        <v>10790000</v>
      </c>
      <c r="D24" s="3" t="n">
        <v>10690000</v>
      </c>
      <c r="E24" s="3" t="n">
        <v>10187000</v>
      </c>
      <c r="F24" s="34" t="inlineStr">
        <is>
          <t>10.790.000</t>
        </is>
      </c>
      <c r="G24" s="3" t="n">
        <v>10590000</v>
      </c>
    </row>
    <row r="25">
      <c r="A25" t="inlineStr">
        <is>
          <t>AW S10 (42mm CEL)</t>
        </is>
      </c>
      <c r="B25" s="25" t="n"/>
      <c r="C25" s="39" t="n">
        <v>13090000</v>
      </c>
      <c r="D25" s="25" t="n">
        <v>12690000</v>
      </c>
      <c r="E25" s="3" t="n">
        <v>12860000</v>
      </c>
      <c r="F25" s="39" t="n">
        <v>13190000</v>
      </c>
      <c r="G25" s="4" t="n">
        <v>12890000</v>
      </c>
    </row>
    <row r="26">
      <c r="A26" t="inlineStr">
        <is>
          <t>AW S10 (46mm GPS)</t>
        </is>
      </c>
      <c r="B26" s="25" t="n"/>
      <c r="C26" s="34" t="n">
        <v>11590000</v>
      </c>
      <c r="D26" s="3" t="n">
        <v>11490000</v>
      </c>
      <c r="E26" s="3" t="n">
        <v>10880000</v>
      </c>
      <c r="F26" s="34" t="n">
        <v>11490000</v>
      </c>
      <c r="G26" s="34" t="n">
        <v>11290000</v>
      </c>
      <c r="H26" s="50" t="n"/>
      <c r="I26" s="26" t="n"/>
    </row>
    <row r="27">
      <c r="A27" t="inlineStr">
        <is>
          <t>AW S10 (46mm CEL)</t>
        </is>
      </c>
      <c r="B27" s="3" t="n"/>
      <c r="C27" s="39" t="n">
        <v>13990000</v>
      </c>
      <c r="D27" s="25" t="n">
        <v>13690000</v>
      </c>
      <c r="E27" s="3" t="n">
        <v>13553000</v>
      </c>
      <c r="F27" s="39" t="n">
        <v>13890000</v>
      </c>
      <c r="G27" s="4" t="n">
        <v>13590000</v>
      </c>
    </row>
    <row r="28">
      <c r="A28" t="inlineStr">
        <is>
          <t>AW Ultra 2 (49mm)</t>
        </is>
      </c>
      <c r="B28" s="25" t="n"/>
      <c r="C28" s="39" t="n">
        <v>22290000</v>
      </c>
      <c r="D28" s="25" t="n">
        <v>21990000</v>
      </c>
      <c r="E28" s="25" t="n">
        <v>21790000</v>
      </c>
      <c r="F28" s="40" t="n">
        <v>21990000</v>
      </c>
      <c r="G28" s="4" t="n">
        <v>22990000</v>
      </c>
    </row>
    <row r="29">
      <c r="A29" t="inlineStr">
        <is>
          <t>AirPods Pro 2 - 2023 (C-Type)</t>
        </is>
      </c>
      <c r="B29" s="3" t="n"/>
      <c r="C29" s="34" t="n">
        <v>5690000</v>
      </c>
      <c r="D29" s="34" t="n">
        <v>5690000</v>
      </c>
      <c r="E29" s="3" t="n">
        <v>5633000</v>
      </c>
      <c r="F29" s="38" t="n">
        <v>5659000</v>
      </c>
      <c r="G29" s="3" t="n">
        <v>5650000</v>
      </c>
    </row>
    <row r="30">
      <c r="A30" t="inlineStr">
        <is>
          <t>AirPods 4 ANC</t>
        </is>
      </c>
      <c r="B30" s="3" t="n"/>
      <c r="C30" s="38" t="n">
        <v>4690000</v>
      </c>
      <c r="D30" s="38" t="n">
        <v>4590000</v>
      </c>
      <c r="E30" s="3" t="n">
        <v>4445000</v>
      </c>
      <c r="F30" s="38" t="n">
        <v>4590000</v>
      </c>
      <c r="G30" s="34" t="n">
        <v>4590000</v>
      </c>
    </row>
    <row r="31">
      <c r="A31" t="inlineStr">
        <is>
          <t>AirPods 4 with charging case</t>
        </is>
      </c>
      <c r="B31" s="3" t="n"/>
      <c r="C31" s="34" t="n">
        <v>3390000</v>
      </c>
      <c r="D31" s="38" t="n">
        <v>3390000</v>
      </c>
      <c r="E31" s="3" t="n">
        <v>3190000</v>
      </c>
      <c r="F31" s="38" t="n">
        <v>3350000</v>
      </c>
      <c r="G31" s="34" t="n">
        <v>3350000</v>
      </c>
    </row>
    <row r="32">
      <c r="A32" t="inlineStr">
        <is>
          <t>MacBook Air 13" M1 8/256Gb</t>
        </is>
      </c>
      <c r="B32" s="3" t="n"/>
      <c r="C32" s="25" t="n">
        <v>17190000</v>
      </c>
      <c r="D32" s="39" t="n">
        <v>16990000</v>
      </c>
      <c r="E32" s="37" t="n"/>
      <c r="F32" s="39" t="n">
        <v>17190000</v>
      </c>
      <c r="G32" s="3" t="n">
        <v>16490000</v>
      </c>
    </row>
    <row r="33">
      <c r="A33" t="inlineStr">
        <is>
          <t>MacBook Air 13" M2 16/256GB</t>
        </is>
      </c>
      <c r="B33" s="25" t="n"/>
      <c r="C33" s="25" t="n">
        <v>21090000</v>
      </c>
      <c r="D33" s="25" t="n">
        <v>20990000</v>
      </c>
      <c r="E33" s="37" t="n"/>
      <c r="F33" s="39" t="n">
        <v>20790000</v>
      </c>
      <c r="G33" s="4" t="n">
        <v>20590000</v>
      </c>
    </row>
    <row r="34">
      <c r="A34" t="inlineStr">
        <is>
          <t>MacBook Air 13" M3 16/256GB</t>
        </is>
      </c>
      <c r="B34" s="3" t="n"/>
      <c r="C34" s="39" t="n">
        <v>24990000</v>
      </c>
      <c r="D34" s="39" t="n">
        <v>23990000</v>
      </c>
      <c r="E34" s="37" t="n"/>
      <c r="F34" s="39" t="n">
        <v>24690000</v>
      </c>
      <c r="G34" s="4" t="n">
        <v>25290000</v>
      </c>
    </row>
    <row r="35">
      <c r="A35" t="inlineStr">
        <is>
          <t>MacBook Air 13" M4 16/256GB</t>
        </is>
      </c>
      <c r="B35" s="3" t="n"/>
      <c r="C35" s="43" t="n">
        <v>26990000</v>
      </c>
      <c r="D35" s="40" t="n">
        <v>26490000</v>
      </c>
      <c r="E35" s="37" t="n"/>
      <c r="F35" s="39" t="n">
        <v>25990000</v>
      </c>
      <c r="G35" s="4" t="n">
        <v>25890000</v>
      </c>
    </row>
    <row r="36">
      <c r="A36" t="inlineStr">
        <is>
          <t>MacBook Air 15" M4 16/256GB</t>
        </is>
      </c>
      <c r="B36" s="25" t="n"/>
      <c r="C36" s="39" t="n">
        <v>31990000</v>
      </c>
      <c r="D36" s="25" t="n">
        <v>31890000</v>
      </c>
      <c r="E36" s="37" t="n"/>
      <c r="F36" s="34" t="n">
        <v>31290000</v>
      </c>
      <c r="G36" s="3" t="n">
        <v>31290000</v>
      </c>
    </row>
    <row r="37">
      <c r="A37" t="inlineStr">
        <is>
          <t>MacBook Pro 14" M4 16/512GB</t>
        </is>
      </c>
      <c r="B37" s="25" t="n"/>
      <c r="C37" s="25" t="n">
        <v>39590000</v>
      </c>
      <c r="D37" s="25" t="n">
        <v>39590000</v>
      </c>
      <c r="E37" s="37" t="n"/>
      <c r="F37" s="40" t="n">
        <v>39290000</v>
      </c>
      <c r="G37" s="4" t="n">
        <v>38990000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2.xml><?xml version="1.0" encoding="utf-8"?>
<worksheet xmlns="http://schemas.openxmlformats.org/spreadsheetml/2006/main">
  <sheetPr>
    <outlinePr summaryBelow="1" summaryRight="1"/>
    <pageSetUpPr/>
  </sheetPr>
  <dimension ref="A1:L37"/>
  <sheetViews>
    <sheetView zoomScale="125" zoomScaleNormal="120" workbookViewId="0">
      <pane xSplit="2" ySplit="1" topLeftCell="C14"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48" t="n">
        <v>16190000</v>
      </c>
      <c r="D2" s="48" t="n">
        <v>16190000</v>
      </c>
      <c r="E2" s="40" t="n">
        <v>15990000</v>
      </c>
      <c r="F2" s="40" t="n">
        <v>16190000</v>
      </c>
      <c r="G2" s="40" t="n">
        <v>15990000</v>
      </c>
    </row>
    <row r="3">
      <c r="A3" t="inlineStr">
        <is>
          <t>iPhone 16  128GB</t>
        </is>
      </c>
      <c r="B3" s="25" t="n"/>
      <c r="C3" s="39" t="n">
        <v>18990000</v>
      </c>
      <c r="D3" s="43" t="n">
        <v>18890000</v>
      </c>
      <c r="E3" s="40" t="n">
        <v>18490000</v>
      </c>
      <c r="F3" s="40" t="n">
        <v>18790000</v>
      </c>
      <c r="G3" s="40" t="n">
        <v>18690000</v>
      </c>
    </row>
    <row r="4">
      <c r="A4" t="inlineStr">
        <is>
          <t>iPhone 16  Plus 128GB</t>
        </is>
      </c>
      <c r="B4" s="3" t="n"/>
      <c r="C4" s="39" t="n">
        <v>21990000</v>
      </c>
      <c r="D4" s="43" t="n">
        <v>21990000</v>
      </c>
      <c r="E4" s="40" t="n">
        <v>21690000</v>
      </c>
      <c r="F4" s="40" t="n">
        <v>21890000</v>
      </c>
      <c r="G4" s="40" t="n">
        <v>21890000</v>
      </c>
    </row>
    <row r="5">
      <c r="A5" t="inlineStr">
        <is>
          <t>iPhone 16 Pro  128GB</t>
        </is>
      </c>
      <c r="B5" s="25" t="n"/>
      <c r="C5" s="25" t="n">
        <v>25090000</v>
      </c>
      <c r="D5" s="43" t="n">
        <v>24990000</v>
      </c>
      <c r="E5" s="40" t="n">
        <v>24290000</v>
      </c>
      <c r="F5" s="38" t="n">
        <v>24890000</v>
      </c>
      <c r="G5" s="40" t="n">
        <v>24690000</v>
      </c>
    </row>
    <row r="6">
      <c r="A6" t="inlineStr">
        <is>
          <t>iPhone 16 Pro Max 256GB</t>
        </is>
      </c>
      <c r="B6" s="3" t="n"/>
      <c r="C6" s="3" t="n">
        <v>30490000</v>
      </c>
      <c r="D6" s="43" t="n">
        <v>30490000</v>
      </c>
      <c r="E6" s="40" t="n">
        <v>29990000</v>
      </c>
      <c r="F6" s="38" t="n">
        <v>30290000</v>
      </c>
      <c r="G6" s="38" t="n">
        <v>29890000</v>
      </c>
    </row>
    <row r="7">
      <c r="A7" t="inlineStr">
        <is>
          <t>iPhone 15  128GB</t>
        </is>
      </c>
      <c r="B7" s="25" t="n"/>
      <c r="C7" s="3" t="n">
        <v>15790000</v>
      </c>
      <c r="D7" s="43" t="n">
        <v>15790000</v>
      </c>
      <c r="E7" s="40" t="n">
        <v>15490000</v>
      </c>
      <c r="F7" s="38" t="n">
        <v>15590000</v>
      </c>
      <c r="G7" s="40" t="n">
        <v>15490000</v>
      </c>
    </row>
    <row r="8">
      <c r="A8" t="inlineStr">
        <is>
          <t>iPhone 15  Plus 128GB</t>
        </is>
      </c>
      <c r="B8" s="25" t="n"/>
      <c r="C8" s="25" t="n">
        <v>19290000</v>
      </c>
      <c r="D8" s="42" t="n">
        <v>19290000</v>
      </c>
      <c r="E8" s="40" t="n">
        <v>18990000</v>
      </c>
      <c r="F8" s="38" t="n">
        <v>19290000</v>
      </c>
      <c r="G8" s="40" t="n">
        <v>18890000</v>
      </c>
    </row>
    <row r="9">
      <c r="A9" t="inlineStr">
        <is>
          <t>iPhone 15 Pro Max 256GB</t>
        </is>
      </c>
      <c r="B9" s="3" t="n"/>
      <c r="C9" s="25" t="n">
        <v>29990000</v>
      </c>
      <c r="D9" s="25" t="n">
        <v>28490000</v>
      </c>
      <c r="E9" s="40" t="inlineStr">
        <is>
          <t>OOS</t>
        </is>
      </c>
      <c r="F9" s="38" t="n">
        <v>28290000</v>
      </c>
      <c r="G9" s="40" t="n">
        <v>27890000</v>
      </c>
    </row>
    <row r="10">
      <c r="A10" t="inlineStr">
        <is>
          <t>iPhone 14 Plus 128GB</t>
        </is>
      </c>
      <c r="B10" s="3" t="n"/>
      <c r="C10" s="40" t="inlineStr">
        <is>
          <t>OOS</t>
        </is>
      </c>
      <c r="D10" s="25" t="n">
        <v>18490000</v>
      </c>
      <c r="E10" s="40" t="n">
        <v>18990000</v>
      </c>
      <c r="F10" s="43" t="inlineStr">
        <is>
          <t>OOS</t>
        </is>
      </c>
      <c r="G10" s="40" t="n">
        <v>17390000</v>
      </c>
    </row>
    <row r="11">
      <c r="A11" t="inlineStr">
        <is>
          <t>iPhone 14 128GB</t>
        </is>
      </c>
      <c r="B11" s="25" t="n"/>
      <c r="C11" s="39" t="n">
        <v>12790000</v>
      </c>
      <c r="D11" s="40" t="n">
        <v>12690000</v>
      </c>
      <c r="E11" s="40" t="n">
        <v>12690000</v>
      </c>
      <c r="F11" s="39" t="n">
        <v>12690000</v>
      </c>
      <c r="G11" s="40" t="n">
        <v>12590000</v>
      </c>
    </row>
    <row r="12">
      <c r="A12" t="inlineStr">
        <is>
          <t>iPhone 13  128GB</t>
        </is>
      </c>
      <c r="B12" s="3" t="n"/>
      <c r="C12" s="39" t="n">
        <v>11790000</v>
      </c>
      <c r="D12" s="39" t="n">
        <v>11690000</v>
      </c>
      <c r="E12" s="40" t="n">
        <v>11390000</v>
      </c>
      <c r="F12" s="39" t="n">
        <v>11590000</v>
      </c>
      <c r="G12" s="4" t="n">
        <v>11590000</v>
      </c>
    </row>
    <row r="13">
      <c r="A13" t="inlineStr">
        <is>
          <t>iPhone 12 64GB</t>
        </is>
      </c>
      <c r="B13" s="25" t="n"/>
      <c r="C13" s="25" t="n">
        <v>9990000</v>
      </c>
      <c r="D13" s="25" t="inlineStr">
        <is>
          <t>OOS</t>
        </is>
      </c>
      <c r="E13" s="25" t="inlineStr">
        <is>
          <t>OOS</t>
        </is>
      </c>
      <c r="F13" s="25" t="inlineStr">
        <is>
          <t>OOS</t>
        </is>
      </c>
      <c r="G13" s="4" t="inlineStr">
        <is>
          <t>OOS</t>
        </is>
      </c>
    </row>
    <row r="14">
      <c r="A14" t="inlineStr">
        <is>
          <t>iPad Mini 7 128GB Wifi</t>
        </is>
      </c>
      <c r="B14" s="25" t="n"/>
      <c r="C14" s="38" t="n">
        <v>13790000</v>
      </c>
      <c r="D14" s="25" t="n">
        <v>13790000</v>
      </c>
      <c r="E14" s="40" t="n">
        <v>13652000</v>
      </c>
      <c r="F14" s="39" t="n">
        <v>13790000</v>
      </c>
      <c r="G14" s="4" t="n">
        <v>13690000</v>
      </c>
    </row>
    <row r="15">
      <c r="A15" t="inlineStr">
        <is>
          <t>iPad Gen 11th  128GB Wifi</t>
        </is>
      </c>
      <c r="B15" s="3" t="n"/>
      <c r="C15" s="42" t="n">
        <v>9990000</v>
      </c>
      <c r="D15" s="42" t="n">
        <v>9890000</v>
      </c>
      <c r="E15" s="25" t="n">
        <v>9395000</v>
      </c>
      <c r="F15" s="34" t="inlineStr">
        <is>
          <t>9.590.000</t>
        </is>
      </c>
      <c r="G15" s="3" t="n">
        <v>9590000</v>
      </c>
      <c r="J15" t="inlineStr">
        <is>
          <t xml:space="preserve">MW </t>
        </is>
      </c>
      <c r="K15" t="inlineStr">
        <is>
          <t>Duy</t>
        </is>
      </c>
      <c r="L15" t="b">
        <v>1</v>
      </c>
    </row>
    <row r="16">
      <c r="A16" t="inlineStr">
        <is>
          <t>iPad Air M3  11" 128 GB Wifi</t>
        </is>
      </c>
      <c r="B16" s="3" t="n"/>
      <c r="C16" s="25" t="n">
        <v>16490000</v>
      </c>
      <c r="D16" s="43" t="n">
        <v>16490000</v>
      </c>
      <c r="E16" s="25" t="n">
        <v>16127000</v>
      </c>
      <c r="F16" s="39" t="n">
        <v>16250000</v>
      </c>
      <c r="G16" s="4" t="n">
        <v>16050000</v>
      </c>
      <c r="J16" t="inlineStr">
        <is>
          <t>FPT</t>
        </is>
      </c>
      <c r="K16" t="inlineStr">
        <is>
          <t>Việt</t>
        </is>
      </c>
      <c r="L16" t="b">
        <v>1</v>
      </c>
    </row>
    <row r="17">
      <c r="A17" t="inlineStr">
        <is>
          <t>iPad Air M3  13" 128 GB Wifi</t>
        </is>
      </c>
      <c r="B17" s="25" t="n"/>
      <c r="C17" s="25" t="n">
        <v>22490000</v>
      </c>
      <c r="D17" s="25" t="n">
        <v>22390000</v>
      </c>
      <c r="E17" s="25" t="n">
        <v>21290000</v>
      </c>
      <c r="F17" s="39" t="n">
        <v>21990000</v>
      </c>
      <c r="G17" s="4" t="n">
        <v>21790000</v>
      </c>
      <c r="J17" t="inlineStr">
        <is>
          <t>Viettel</t>
        </is>
      </c>
      <c r="K17" t="inlineStr">
        <is>
          <t>Nghĩa</t>
        </is>
      </c>
      <c r="L17" t="b">
        <v>1</v>
      </c>
    </row>
    <row r="18">
      <c r="A18" t="inlineStr">
        <is>
          <t>iPad Pro  M4  11" 256 GB Wifi</t>
        </is>
      </c>
      <c r="B18" s="25" t="n"/>
      <c r="C18" s="39" t="n">
        <v>24990000</v>
      </c>
      <c r="D18" s="42" t="n">
        <v>27690000</v>
      </c>
      <c r="E18" s="25" t="n">
        <v>26990000</v>
      </c>
      <c r="F18" s="34" t="n">
        <v>27990000</v>
      </c>
      <c r="G18" s="4" t="n">
        <v>26590000</v>
      </c>
      <c r="J18" t="inlineStr">
        <is>
          <t>CPS</t>
        </is>
      </c>
      <c r="K18" t="inlineStr">
        <is>
          <t>Trang</t>
        </is>
      </c>
      <c r="L18" t="b">
        <v>1</v>
      </c>
    </row>
    <row r="19">
      <c r="A19" t="inlineStr">
        <is>
          <t>iPad Pro  M4  13" 256 GB Wifi</t>
        </is>
      </c>
      <c r="B19" s="3" t="n"/>
      <c r="C19" s="39" t="n">
        <v>33990000</v>
      </c>
      <c r="D19" s="42" t="n">
        <v>36690000</v>
      </c>
      <c r="E19" s="25" t="n">
        <v>35990000</v>
      </c>
      <c r="F19" s="39" t="n">
        <v>36490000</v>
      </c>
      <c r="G19" s="4" t="n">
        <v>36390000</v>
      </c>
      <c r="J19" t="inlineStr">
        <is>
          <t>ShopDunk</t>
        </is>
      </c>
      <c r="K19" t="inlineStr">
        <is>
          <t>Đạt</t>
        </is>
      </c>
      <c r="L19" t="b">
        <v>1</v>
      </c>
    </row>
    <row r="20">
      <c r="A20" t="inlineStr">
        <is>
          <t>AW SE 2 (40mm GPS)</t>
        </is>
      </c>
      <c r="B20" s="25" t="n"/>
      <c r="C20" s="40" t="n">
        <v>5990000</v>
      </c>
      <c r="D20" s="25" t="n">
        <v>5790000</v>
      </c>
      <c r="E20" s="25" t="n">
        <v>5732000</v>
      </c>
      <c r="F20" s="39" t="n">
        <v>5790000</v>
      </c>
      <c r="G20" s="4" t="n">
        <v>5790000</v>
      </c>
    </row>
    <row r="21">
      <c r="A21" t="inlineStr">
        <is>
          <t>AW SE 2 (40mm LTE)</t>
        </is>
      </c>
      <c r="B21" s="25" t="n"/>
      <c r="C21" s="39" t="inlineStr">
        <is>
          <t>OOS</t>
        </is>
      </c>
      <c r="D21" s="25" t="n">
        <v>6690000</v>
      </c>
      <c r="E21" s="25" t="n">
        <v>6920000</v>
      </c>
      <c r="F21" s="39" t="n">
        <v>6690000</v>
      </c>
      <c r="G21" s="3" t="n">
        <v>6590000</v>
      </c>
    </row>
    <row r="22">
      <c r="A22" t="inlineStr">
        <is>
          <t>AW SE 2 (44mm GPS)</t>
        </is>
      </c>
      <c r="B22" s="25" t="n"/>
      <c r="C22" s="39" t="n">
        <v>6590000</v>
      </c>
      <c r="D22" s="25" t="n">
        <v>6590000</v>
      </c>
      <c r="E22" s="3" t="n">
        <v>6128000</v>
      </c>
      <c r="F22" s="39" t="n">
        <v>6590000</v>
      </c>
      <c r="G22" s="4" t="n">
        <v>6590000</v>
      </c>
    </row>
    <row r="23">
      <c r="A23" t="inlineStr">
        <is>
          <t>AW SE 2 (44mm LTE)</t>
        </is>
      </c>
      <c r="B23" s="25" t="n"/>
      <c r="C23" s="39" t="n">
        <v>7890000</v>
      </c>
      <c r="D23" s="25" t="n">
        <v>7890000</v>
      </c>
      <c r="E23" s="25" t="n">
        <v>7712000</v>
      </c>
      <c r="F23" s="39" t="n">
        <v>7790000</v>
      </c>
      <c r="G23" s="4" t="n">
        <v>7690000</v>
      </c>
    </row>
    <row r="24">
      <c r="A24" t="inlineStr">
        <is>
          <t>AW S10 (42mm GPS)</t>
        </is>
      </c>
      <c r="B24" s="25" t="n"/>
      <c r="C24" s="39" t="n">
        <v>10790000</v>
      </c>
      <c r="D24" s="25" t="n">
        <v>10690000</v>
      </c>
      <c r="E24" s="25" t="n">
        <v>10187000</v>
      </c>
      <c r="F24" s="39" t="inlineStr">
        <is>
          <t>10.590.000</t>
        </is>
      </c>
      <c r="G24" s="4" t="n">
        <v>10590000</v>
      </c>
    </row>
    <row r="25">
      <c r="A25" t="inlineStr">
        <is>
          <t>AW S10 (42mm CEL)</t>
        </is>
      </c>
      <c r="B25" s="25" t="n"/>
      <c r="C25" s="39" t="n">
        <v>13090000</v>
      </c>
      <c r="D25" s="25" t="n">
        <v>12690000</v>
      </c>
      <c r="E25" s="3" t="n">
        <v>12563000</v>
      </c>
      <c r="F25" s="39" t="n">
        <v>13190000</v>
      </c>
      <c r="G25" s="4" t="n">
        <v>12890000</v>
      </c>
    </row>
    <row r="26">
      <c r="A26" t="inlineStr">
        <is>
          <t>AW S10 (46mm GPS)</t>
        </is>
      </c>
      <c r="B26" s="25" t="n"/>
      <c r="C26" s="39" t="n">
        <v>11590000</v>
      </c>
      <c r="D26" s="25" t="n">
        <v>11490000</v>
      </c>
      <c r="E26" s="25" t="n">
        <v>10880000</v>
      </c>
      <c r="F26" s="39" t="n">
        <v>11490000</v>
      </c>
      <c r="G26" s="4" t="n">
        <v>11290000</v>
      </c>
      <c r="H26" s="50" t="n"/>
      <c r="I26" s="26" t="n"/>
    </row>
    <row r="27">
      <c r="A27" t="inlineStr">
        <is>
          <t>AW S10 (46mm CEL)</t>
        </is>
      </c>
      <c r="B27" s="3" t="n"/>
      <c r="C27" s="39" t="n">
        <v>13990000</v>
      </c>
      <c r="D27" s="25" t="n">
        <v>13690000</v>
      </c>
      <c r="E27" s="3" t="n">
        <v>13256000</v>
      </c>
      <c r="F27" s="39" t="n">
        <v>13890000</v>
      </c>
      <c r="G27" s="4" t="n">
        <v>13590000</v>
      </c>
    </row>
    <row r="28">
      <c r="A28" t="inlineStr">
        <is>
          <t>AW Ultra 2 (49mm)</t>
        </is>
      </c>
      <c r="B28" s="25" t="n"/>
      <c r="C28" s="39" t="n">
        <v>22290000</v>
      </c>
      <c r="D28" s="25" t="n">
        <v>21990000</v>
      </c>
      <c r="E28" s="25" t="n">
        <v>21790000</v>
      </c>
      <c r="F28" s="40" t="n">
        <v>21990000</v>
      </c>
      <c r="G28" s="4" t="n">
        <v>22990000</v>
      </c>
    </row>
    <row r="29">
      <c r="A29" t="inlineStr">
        <is>
          <t>AirPods Pro 2 - 2023 (C-Type)</t>
        </is>
      </c>
      <c r="B29" s="3" t="n"/>
      <c r="C29" s="39" t="n">
        <v>5690000</v>
      </c>
      <c r="D29" s="34" t="n">
        <v>5640000</v>
      </c>
      <c r="E29" s="25" t="n">
        <v>5633000</v>
      </c>
      <c r="F29" s="38" t="n">
        <v>5599000</v>
      </c>
      <c r="G29" s="3" t="n">
        <v>5590000</v>
      </c>
    </row>
    <row r="30">
      <c r="A30" t="inlineStr">
        <is>
          <t>AirPods 4 ANC</t>
        </is>
      </c>
      <c r="B30" s="3" t="n"/>
      <c r="C30" s="40" t="n">
        <v>4690000</v>
      </c>
      <c r="D30" s="38" t="n">
        <v>4540000</v>
      </c>
      <c r="E30" s="25" t="n">
        <v>4445000</v>
      </c>
      <c r="F30" s="38" t="n">
        <v>4550000</v>
      </c>
      <c r="G30" s="34" t="n">
        <v>4590000</v>
      </c>
    </row>
    <row r="31">
      <c r="A31" t="inlineStr">
        <is>
          <t>AirPods 4 with charging case</t>
        </is>
      </c>
      <c r="B31" s="3" t="n"/>
      <c r="C31" s="39" t="n">
        <v>3390000</v>
      </c>
      <c r="D31" s="38" t="n">
        <v>3290000</v>
      </c>
      <c r="E31" s="25" t="n">
        <v>3190000</v>
      </c>
      <c r="F31" s="38" t="n">
        <v>3290000</v>
      </c>
      <c r="G31" s="34" t="n">
        <v>3290000</v>
      </c>
    </row>
    <row r="32">
      <c r="A32" t="inlineStr">
        <is>
          <t>MacBook Air 13" M1 8/256Gb</t>
        </is>
      </c>
      <c r="B32" s="3" t="n"/>
      <c r="C32" s="25" t="n">
        <v>17190000</v>
      </c>
      <c r="D32" s="39" t="n">
        <v>16990000</v>
      </c>
      <c r="E32" s="37" t="n"/>
      <c r="F32" s="39" t="n">
        <v>17190000</v>
      </c>
      <c r="G32" s="4" t="n">
        <v>16490000</v>
      </c>
    </row>
    <row r="33">
      <c r="A33" t="inlineStr">
        <is>
          <t>MacBook Air 13" M2 16/256GB</t>
        </is>
      </c>
      <c r="B33" s="25" t="n"/>
      <c r="C33" s="25" t="n">
        <v>21090000</v>
      </c>
      <c r="D33" s="3" t="n">
        <v>20790000</v>
      </c>
      <c r="E33" s="37" t="n"/>
      <c r="F33" s="39" t="n">
        <v>20790000</v>
      </c>
      <c r="G33" s="4" t="n">
        <v>20590000</v>
      </c>
    </row>
    <row r="34">
      <c r="A34" t="inlineStr">
        <is>
          <t>MacBook Air 13" M3 16/256GB</t>
        </is>
      </c>
      <c r="B34" s="3" t="n"/>
      <c r="C34" s="39" t="n">
        <v>24990000</v>
      </c>
      <c r="D34" s="39" t="n">
        <v>23990000</v>
      </c>
      <c r="E34" s="37" t="n"/>
      <c r="F34" s="39" t="n">
        <v>24690000</v>
      </c>
      <c r="G34" s="4" t="n">
        <v>25290000</v>
      </c>
    </row>
    <row r="35">
      <c r="A35" t="inlineStr">
        <is>
          <t>MacBook Air 13" M4 16/256GB</t>
        </is>
      </c>
      <c r="B35" s="3" t="n"/>
      <c r="C35" s="43" t="n">
        <v>26990000</v>
      </c>
      <c r="D35" s="38" t="n">
        <v>26290000</v>
      </c>
      <c r="E35" s="37" t="n"/>
      <c r="F35" s="34" t="n">
        <v>25890000</v>
      </c>
      <c r="G35" s="3" t="n">
        <v>25690000</v>
      </c>
    </row>
    <row r="36">
      <c r="A36" t="inlineStr">
        <is>
          <t>MacBook Air 15" M4 16/256GB</t>
        </is>
      </c>
      <c r="B36" s="25" t="n"/>
      <c r="C36" s="39" t="n">
        <v>31990000</v>
      </c>
      <c r="D36" s="25" t="n">
        <v>31890000</v>
      </c>
      <c r="E36" s="37" t="n"/>
      <c r="F36" s="39" t="n">
        <v>31290000</v>
      </c>
      <c r="G36" s="4" t="n">
        <v>31290000</v>
      </c>
    </row>
    <row r="37">
      <c r="A37" t="inlineStr">
        <is>
          <t>MacBook Pro 14" M4 16/512GB</t>
        </is>
      </c>
      <c r="B37" s="25" t="n"/>
      <c r="C37" s="25" t="n">
        <v>39590000</v>
      </c>
      <c r="D37" s="25" t="n">
        <v>39590000</v>
      </c>
      <c r="E37" s="37" t="n"/>
      <c r="F37" s="40" t="n">
        <v>39290000</v>
      </c>
      <c r="G37" s="4" t="n">
        <v>38990000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3.xml><?xml version="1.0" encoding="utf-8"?>
<worksheet xmlns="http://schemas.openxmlformats.org/spreadsheetml/2006/main">
  <sheetPr>
    <outlinePr summaryBelow="1" summaryRight="1"/>
    <pageSetUpPr/>
  </sheetPr>
  <dimension ref="A1:L37"/>
  <sheetViews>
    <sheetView zoomScale="114" zoomScaleNormal="130" workbookViewId="0">
      <pane xSplit="2" ySplit="1" topLeftCell="C7"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1" t="n">
        <v>16190000</v>
      </c>
      <c r="D2" s="48" t="n">
        <v>16190000</v>
      </c>
      <c r="E2" s="40" t="n">
        <v>15990000</v>
      </c>
      <c r="F2" s="40" t="n">
        <v>16190000</v>
      </c>
      <c r="G2" s="40" t="n">
        <v>15990000</v>
      </c>
    </row>
    <row r="3">
      <c r="A3" t="inlineStr">
        <is>
          <t>iPhone 16  128GB</t>
        </is>
      </c>
      <c r="B3" s="25" t="n"/>
      <c r="C3" s="53" t="n">
        <v>18990000</v>
      </c>
      <c r="D3" s="43" t="n">
        <v>18890000</v>
      </c>
      <c r="E3" s="40" t="n">
        <v>18490000</v>
      </c>
      <c r="F3" s="38" t="n">
        <v>18690000</v>
      </c>
      <c r="G3" s="40" t="n">
        <v>18690000</v>
      </c>
    </row>
    <row r="4">
      <c r="A4" t="inlineStr">
        <is>
          <t>iPhone 16  Plus 128GB</t>
        </is>
      </c>
      <c r="B4" s="3" t="n"/>
      <c r="C4" s="53" t="n">
        <v>21990000</v>
      </c>
      <c r="D4" s="43" t="n">
        <v>21990000</v>
      </c>
      <c r="E4" s="40" t="n">
        <v>21690000</v>
      </c>
      <c r="F4" s="38" t="n">
        <v>21990000</v>
      </c>
      <c r="G4" s="40" t="n">
        <v>21890000</v>
      </c>
    </row>
    <row r="5">
      <c r="A5" t="inlineStr">
        <is>
          <t>iPhone 16 Pro  128GB</t>
        </is>
      </c>
      <c r="B5" s="25" t="n"/>
      <c r="C5" s="53" t="n">
        <v>25090000</v>
      </c>
      <c r="D5" s="42" t="n">
        <v>25090000</v>
      </c>
      <c r="E5" s="40" t="n">
        <v>24290000</v>
      </c>
      <c r="F5" s="38" t="n">
        <v>24790000</v>
      </c>
      <c r="G5" s="38" t="n">
        <v>24450000</v>
      </c>
    </row>
    <row r="6">
      <c r="A6" t="inlineStr">
        <is>
          <t>iPhone 16 Pro Max 256GB</t>
        </is>
      </c>
      <c r="B6" s="3" t="n"/>
      <c r="C6" s="54" t="n">
        <v>30290000</v>
      </c>
      <c r="D6" s="42" t="n">
        <v>30290000</v>
      </c>
      <c r="E6" s="40" t="n">
        <v>29990000</v>
      </c>
      <c r="F6" s="38" t="n">
        <v>30090000</v>
      </c>
      <c r="G6" s="40" t="n">
        <v>29890000</v>
      </c>
    </row>
    <row r="7">
      <c r="A7" t="inlineStr">
        <is>
          <t>iPhone 15  128GB</t>
        </is>
      </c>
      <c r="B7" s="25" t="n"/>
      <c r="C7" s="54" t="n">
        <v>15590000</v>
      </c>
      <c r="D7" s="42" t="n">
        <v>15590000</v>
      </c>
      <c r="E7" s="40" t="n">
        <v>15490000</v>
      </c>
      <c r="F7" s="38" t="n">
        <v>15390000</v>
      </c>
      <c r="G7" s="38" t="n">
        <v>15290000</v>
      </c>
    </row>
    <row r="8">
      <c r="A8" t="inlineStr">
        <is>
          <t>iPhone 15  Plus 128GB</t>
        </is>
      </c>
      <c r="B8" s="25" t="n"/>
      <c r="C8" s="53" t="n">
        <v>19290000</v>
      </c>
      <c r="D8" s="43" t="n">
        <v>19290000</v>
      </c>
      <c r="E8" s="40" t="n">
        <v>18990000</v>
      </c>
      <c r="F8" s="38" t="n">
        <v>19190000</v>
      </c>
      <c r="G8" s="40" t="n">
        <v>18890000</v>
      </c>
    </row>
    <row r="9">
      <c r="A9" t="inlineStr">
        <is>
          <t>iPhone 15 Pro Max 256GB</t>
        </is>
      </c>
      <c r="B9" s="3" t="n"/>
      <c r="C9" s="54" t="n">
        <v>29390000</v>
      </c>
      <c r="D9" s="25" t="n">
        <v>28490000</v>
      </c>
      <c r="E9" s="40" t="inlineStr">
        <is>
          <t>OOS</t>
        </is>
      </c>
      <c r="F9" s="38" t="n">
        <v>28650000</v>
      </c>
      <c r="G9" s="40" t="n">
        <v>27890000</v>
      </c>
    </row>
    <row r="10">
      <c r="A10" t="inlineStr">
        <is>
          <t>iPhone 14 Plus 128GB</t>
        </is>
      </c>
      <c r="B10" s="3" t="n"/>
      <c r="C10" s="52" t="inlineStr">
        <is>
          <t>OOS</t>
        </is>
      </c>
      <c r="D10" s="25" t="inlineStr">
        <is>
          <t>OOS</t>
        </is>
      </c>
      <c r="E10" s="40" t="n">
        <v>18990000</v>
      </c>
      <c r="F10" s="43" t="inlineStr">
        <is>
          <t>OOS</t>
        </is>
      </c>
      <c r="G10" s="40" t="n">
        <v>17490000</v>
      </c>
    </row>
    <row r="11">
      <c r="A11" t="inlineStr">
        <is>
          <t>iPhone 14 128GB</t>
        </is>
      </c>
      <c r="B11" s="25" t="n"/>
      <c r="C11" s="54" t="n">
        <v>12890000</v>
      </c>
      <c r="D11" s="38" t="n">
        <v>12790000</v>
      </c>
      <c r="E11" s="40" t="n">
        <v>12690000</v>
      </c>
      <c r="F11" s="39" t="n">
        <v>12590000</v>
      </c>
      <c r="G11" s="38" t="n">
        <v>12490000</v>
      </c>
    </row>
    <row r="12">
      <c r="A12" t="inlineStr">
        <is>
          <t>iPhone 13  128GB</t>
        </is>
      </c>
      <c r="B12" s="3" t="n"/>
      <c r="C12" s="54" t="n">
        <v>11690000</v>
      </c>
      <c r="D12" s="39" t="n">
        <v>11690000</v>
      </c>
      <c r="E12" s="40" t="n">
        <v>11390000</v>
      </c>
      <c r="F12" s="39" t="n">
        <v>11550000</v>
      </c>
      <c r="G12" s="4" t="n">
        <v>11590000</v>
      </c>
    </row>
    <row r="13">
      <c r="A13" t="inlineStr">
        <is>
          <t>iPhone 12 64GB</t>
        </is>
      </c>
      <c r="B13" s="25" t="n"/>
      <c r="C13" s="52" t="inlineStr">
        <is>
          <t>OOS</t>
        </is>
      </c>
      <c r="D13" s="25" t="inlineStr">
        <is>
          <t>OOS</t>
        </is>
      </c>
      <c r="E13" s="25" t="inlineStr">
        <is>
          <t>OOS</t>
        </is>
      </c>
      <c r="F13" s="25" t="inlineStr">
        <is>
          <t>OOS</t>
        </is>
      </c>
      <c r="G13" s="4" t="inlineStr">
        <is>
          <t>OOS</t>
        </is>
      </c>
    </row>
    <row r="14">
      <c r="A14" t="inlineStr">
        <is>
          <t>iPad Mini 7 128GB Wifi</t>
        </is>
      </c>
      <c r="B14" s="25" t="n"/>
      <c r="C14" s="54" t="n">
        <v>13590000</v>
      </c>
      <c r="D14" s="25" t="inlineStr">
        <is>
          <t>OOS</t>
        </is>
      </c>
      <c r="E14" s="40" t="n">
        <v>13652000</v>
      </c>
      <c r="F14" s="39" t="n">
        <v>13790000</v>
      </c>
      <c r="G14" s="4" t="n">
        <v>13690000</v>
      </c>
    </row>
    <row r="15">
      <c r="A15" t="inlineStr">
        <is>
          <t>iPad Gen 11th  128GB Wifi</t>
        </is>
      </c>
      <c r="B15" s="3" t="n"/>
      <c r="C15" s="54" t="n">
        <v>9790000</v>
      </c>
      <c r="D15" s="42" t="n">
        <v>9750000</v>
      </c>
      <c r="E15" s="25" t="n">
        <v>9395000</v>
      </c>
      <c r="F15" s="39" t="inlineStr">
        <is>
          <t>9.590.000</t>
        </is>
      </c>
      <c r="G15" s="4" t="n">
        <v>9590000</v>
      </c>
      <c r="J15" t="inlineStr">
        <is>
          <t xml:space="preserve">MW </t>
        </is>
      </c>
      <c r="K15" t="inlineStr">
        <is>
          <t>Duy</t>
        </is>
      </c>
      <c r="L15" t="b">
        <v>1</v>
      </c>
    </row>
    <row r="16">
      <c r="A16" t="inlineStr">
        <is>
          <t>iPad Air M3  11" 128 GB Wifi</t>
        </is>
      </c>
      <c r="B16" s="3" t="n"/>
      <c r="C16" s="53" t="n">
        <v>16490000</v>
      </c>
      <c r="D16" s="43" t="n">
        <v>16490000</v>
      </c>
      <c r="E16" s="25" t="n">
        <v>16127000</v>
      </c>
      <c r="F16" s="39" t="n">
        <v>16250000</v>
      </c>
      <c r="G16" s="3" t="n">
        <v>16190000</v>
      </c>
      <c r="J16" t="inlineStr">
        <is>
          <t>FPT</t>
        </is>
      </c>
      <c r="K16" t="inlineStr">
        <is>
          <t>Việt</t>
        </is>
      </c>
      <c r="L16" t="b">
        <v>1</v>
      </c>
    </row>
    <row r="17">
      <c r="A17" t="inlineStr">
        <is>
          <t>iPad Air M3  13" 128 GB Wifi</t>
        </is>
      </c>
      <c r="B17" s="25" t="n"/>
      <c r="C17" s="54" t="n">
        <v>22090000</v>
      </c>
      <c r="D17" s="42" t="n">
        <v>21990000</v>
      </c>
      <c r="E17" s="25" t="n">
        <v>21290000</v>
      </c>
      <c r="F17" s="39" t="n">
        <v>21990000</v>
      </c>
      <c r="G17" s="4" t="n">
        <v>21790000</v>
      </c>
      <c r="J17" t="inlineStr">
        <is>
          <t>Viettel</t>
        </is>
      </c>
      <c r="K17" t="inlineStr">
        <is>
          <t>Nghĩa</t>
        </is>
      </c>
      <c r="L17" t="b">
        <v>1</v>
      </c>
    </row>
    <row r="18">
      <c r="A18" t="inlineStr">
        <is>
          <t>iPad Pro  M4  11" 256 GB Wifi</t>
        </is>
      </c>
      <c r="B18" s="25" t="n"/>
      <c r="C18" s="54" t="n">
        <v>27490000</v>
      </c>
      <c r="D18" s="42" t="n">
        <v>27490000</v>
      </c>
      <c r="E18" s="25" t="n">
        <v>26990000</v>
      </c>
      <c r="F18" s="34" t="n">
        <v>27690000</v>
      </c>
      <c r="G18" s="4" t="n">
        <v>26590000</v>
      </c>
      <c r="J18" t="inlineStr">
        <is>
          <t>CPS</t>
        </is>
      </c>
      <c r="K18" t="inlineStr">
        <is>
          <t>Trang</t>
        </is>
      </c>
      <c r="L18" t="b">
        <v>1</v>
      </c>
    </row>
    <row r="19">
      <c r="A19" t="inlineStr">
        <is>
          <t>iPad Pro  M4  13" 256 GB Wifi</t>
        </is>
      </c>
      <c r="B19" s="3" t="n"/>
      <c r="C19" s="54" t="n">
        <v>36290000</v>
      </c>
      <c r="D19" s="42" t="n">
        <v>36290000</v>
      </c>
      <c r="E19" s="25" t="n">
        <v>35990000</v>
      </c>
      <c r="F19" s="39" t="n">
        <v>36490000</v>
      </c>
      <c r="G19" s="4" t="n">
        <v>36390000</v>
      </c>
      <c r="J19" t="inlineStr">
        <is>
          <t>ShopDunk</t>
        </is>
      </c>
      <c r="K19" t="inlineStr">
        <is>
          <t>Đạt</t>
        </is>
      </c>
      <c r="L19" t="b">
        <v>1</v>
      </c>
    </row>
    <row r="20">
      <c r="A20" t="inlineStr">
        <is>
          <t>AW SE 2 (40mm GPS)</t>
        </is>
      </c>
      <c r="B20" s="25" t="n"/>
      <c r="C20" s="54" t="n">
        <v>5890000</v>
      </c>
      <c r="D20" s="42" t="n">
        <v>5850000</v>
      </c>
      <c r="E20" s="25" t="n">
        <v>5732000</v>
      </c>
      <c r="F20" s="39" t="n">
        <v>5790000</v>
      </c>
      <c r="G20" s="4" t="n">
        <v>5790000</v>
      </c>
    </row>
    <row r="21">
      <c r="A21" t="inlineStr">
        <is>
          <t>AW SE 2 (40mm LTE)</t>
        </is>
      </c>
      <c r="B21" s="25" t="n"/>
      <c r="C21" s="52" t="inlineStr">
        <is>
          <t>OOS</t>
        </is>
      </c>
      <c r="D21" s="42" t="n">
        <v>6990000</v>
      </c>
      <c r="E21" s="25" t="n">
        <v>6920000</v>
      </c>
      <c r="F21" s="34" t="n">
        <v>6590000</v>
      </c>
      <c r="G21" s="4" t="n">
        <v>6590000</v>
      </c>
    </row>
    <row r="22">
      <c r="A22" t="inlineStr">
        <is>
          <t>AW SE 2 (44mm GPS)</t>
        </is>
      </c>
      <c r="B22" s="25" t="n"/>
      <c r="C22" s="54" t="n">
        <v>6490000</v>
      </c>
      <c r="D22" s="42" t="n">
        <v>6490000</v>
      </c>
      <c r="E22" s="25" t="n">
        <v>6128000</v>
      </c>
      <c r="F22" s="39" t="n">
        <v>6590000</v>
      </c>
      <c r="G22" s="4" t="n">
        <v>6590000</v>
      </c>
    </row>
    <row r="23">
      <c r="A23" t="inlineStr">
        <is>
          <t>AW SE 2 (44mm LTE)</t>
        </is>
      </c>
      <c r="B23" s="25" t="n"/>
      <c r="C23" s="54" t="n">
        <v>7790000</v>
      </c>
      <c r="D23" s="42" t="n">
        <v>7790000</v>
      </c>
      <c r="E23" s="25" t="n">
        <v>7712000</v>
      </c>
      <c r="F23" s="39" t="n">
        <v>7790000</v>
      </c>
      <c r="G23" s="4" t="n">
        <v>7690000</v>
      </c>
    </row>
    <row r="24">
      <c r="A24" t="inlineStr">
        <is>
          <t>AW S10 (42mm GPS)</t>
        </is>
      </c>
      <c r="B24" s="25" t="n"/>
      <c r="C24" s="54" t="n">
        <v>10590000</v>
      </c>
      <c r="D24" s="42" t="n">
        <v>10590000</v>
      </c>
      <c r="E24" s="25" t="n">
        <v>10187000</v>
      </c>
      <c r="F24" s="34" t="inlineStr">
        <is>
          <t>10.790.000</t>
        </is>
      </c>
      <c r="G24" s="4" t="n">
        <v>10590000</v>
      </c>
    </row>
    <row r="25">
      <c r="A25" t="inlineStr">
        <is>
          <t>AW S10 (42mm CEL)</t>
        </is>
      </c>
      <c r="B25" s="25" t="n"/>
      <c r="C25" s="54" t="n">
        <v>12790000</v>
      </c>
      <c r="D25" s="42" t="n">
        <v>12790000</v>
      </c>
      <c r="E25" s="3" t="n">
        <v>12860000</v>
      </c>
      <c r="F25" s="39" t="n">
        <v>13190000</v>
      </c>
      <c r="G25" s="4" t="n">
        <v>12890000</v>
      </c>
    </row>
    <row r="26">
      <c r="A26" t="inlineStr">
        <is>
          <t>AW S10 (46mm GPS)</t>
        </is>
      </c>
      <c r="B26" s="25" t="n"/>
      <c r="C26" s="54" t="n">
        <v>11390000</v>
      </c>
      <c r="D26" s="42" t="n">
        <v>11390000</v>
      </c>
      <c r="E26" s="25" t="n">
        <v>10880000</v>
      </c>
      <c r="F26" s="39" t="n">
        <v>11490000</v>
      </c>
      <c r="G26" s="4" t="n">
        <v>11290000</v>
      </c>
      <c r="H26" s="50" t="n"/>
      <c r="I26" s="26" t="n"/>
    </row>
    <row r="27">
      <c r="A27" t="inlineStr">
        <is>
          <t>AW S10 (46mm CEL)</t>
        </is>
      </c>
      <c r="B27" s="3" t="n"/>
      <c r="C27" s="54" t="n">
        <v>13890000</v>
      </c>
      <c r="D27" s="25" t="n">
        <v>13690000</v>
      </c>
      <c r="E27" s="3" t="n">
        <v>13553000</v>
      </c>
      <c r="F27" s="39" t="n">
        <v>13890000</v>
      </c>
      <c r="G27" s="4" t="n">
        <v>13590000</v>
      </c>
    </row>
    <row r="28">
      <c r="A28" t="inlineStr">
        <is>
          <t>AW Ultra 2 (49mm)</t>
        </is>
      </c>
      <c r="B28" s="25" t="n"/>
      <c r="C28" s="53" t="n">
        <v>22290000</v>
      </c>
      <c r="D28" s="42" t="n">
        <v>21890000</v>
      </c>
      <c r="E28" s="25" t="n">
        <v>21790000</v>
      </c>
      <c r="F28" s="40" t="n">
        <v>21990000</v>
      </c>
      <c r="G28" s="4" t="n">
        <v>22990000</v>
      </c>
    </row>
    <row r="29">
      <c r="A29" t="inlineStr">
        <is>
          <t>AirPods Pro 2 - 2023 (C-Type)</t>
        </is>
      </c>
      <c r="B29" s="3" t="n"/>
      <c r="C29" s="54" t="n">
        <v>5580000</v>
      </c>
      <c r="D29" s="34" t="n">
        <v>5500000</v>
      </c>
      <c r="E29" s="25" t="n">
        <v>5633000</v>
      </c>
      <c r="F29" s="40" t="n">
        <v>5599000</v>
      </c>
      <c r="G29" s="4" t="n">
        <v>5590000</v>
      </c>
    </row>
    <row r="30">
      <c r="A30" t="inlineStr">
        <is>
          <t>AirPods 4 ANC</t>
        </is>
      </c>
      <c r="B30" s="3" t="n"/>
      <c r="C30" s="54" t="n">
        <v>4590000</v>
      </c>
      <c r="D30" s="40" t="n">
        <v>4540000</v>
      </c>
      <c r="E30" s="25" t="n">
        <v>4445000</v>
      </c>
      <c r="F30" s="40" t="n">
        <v>4550000</v>
      </c>
      <c r="G30" s="4" t="n">
        <v>4590000</v>
      </c>
    </row>
    <row r="31">
      <c r="A31" t="inlineStr">
        <is>
          <t>AirPods 4 with charging case</t>
        </is>
      </c>
      <c r="B31" s="3" t="n"/>
      <c r="C31" s="54" t="n">
        <v>3290000</v>
      </c>
      <c r="D31" s="40" t="n">
        <v>3290000</v>
      </c>
      <c r="E31" s="3" t="n">
        <v>3290000</v>
      </c>
      <c r="F31" s="40" t="n">
        <v>3290000</v>
      </c>
      <c r="G31" s="4" t="n">
        <v>3290000</v>
      </c>
    </row>
    <row r="32">
      <c r="A32" t="inlineStr">
        <is>
          <t>MacBook Air 13" M1 8/256Gb</t>
        </is>
      </c>
      <c r="B32" s="3" t="n"/>
      <c r="C32" s="54" t="n">
        <v>17090000</v>
      </c>
      <c r="D32" s="39" t="n">
        <v>16990000</v>
      </c>
      <c r="E32" s="37" t="n"/>
      <c r="F32" s="39" t="n">
        <v>17190000</v>
      </c>
      <c r="G32" s="4" t="n">
        <v>16490000</v>
      </c>
    </row>
    <row r="33">
      <c r="A33" t="inlineStr">
        <is>
          <t>MacBook Air 13" M2 16/256GB</t>
        </is>
      </c>
      <c r="B33" s="25" t="n"/>
      <c r="C33" s="54" t="n">
        <v>20090000</v>
      </c>
      <c r="D33" s="3" t="n">
        <v>20090000</v>
      </c>
      <c r="E33" s="37" t="n"/>
      <c r="F33" s="34" t="n">
        <v>20290000</v>
      </c>
      <c r="G33" s="4" t="n">
        <v>20590000</v>
      </c>
    </row>
    <row r="34">
      <c r="A34" t="inlineStr">
        <is>
          <t>MacBook Air 13" M3 16/256GB</t>
        </is>
      </c>
      <c r="B34" s="3" t="n"/>
      <c r="C34" s="52" t="inlineStr">
        <is>
          <t>OOS</t>
        </is>
      </c>
      <c r="D34" s="39" t="n">
        <v>23990000</v>
      </c>
      <c r="E34" s="37" t="n"/>
      <c r="F34" s="39" t="n">
        <v>24690000</v>
      </c>
      <c r="G34" s="4" t="n">
        <v>25290000</v>
      </c>
    </row>
    <row r="35">
      <c r="A35" t="inlineStr">
        <is>
          <t>MacBook Air 13" M4 16/256GB</t>
        </is>
      </c>
      <c r="B35" s="3" t="n"/>
      <c r="C35" s="54" t="n">
        <v>25790000</v>
      </c>
      <c r="D35" s="38" t="n">
        <v>25790000</v>
      </c>
      <c r="E35" s="37" t="n"/>
      <c r="F35" s="39" t="n">
        <v>25890000</v>
      </c>
      <c r="G35" s="4" t="n">
        <v>25690000</v>
      </c>
    </row>
    <row r="36">
      <c r="A36" t="inlineStr">
        <is>
          <t>MacBook Air 15" M4 16/256GB</t>
        </is>
      </c>
      <c r="B36" s="25" t="n"/>
      <c r="C36" s="52" t="inlineStr">
        <is>
          <t>OOS</t>
        </is>
      </c>
      <c r="D36" s="42" t="n">
        <v>31290000</v>
      </c>
      <c r="E36" s="37" t="n"/>
      <c r="F36" s="39" t="n">
        <v>31290000</v>
      </c>
      <c r="G36" s="4" t="n">
        <v>31290000</v>
      </c>
    </row>
    <row r="37">
      <c r="A37" t="inlineStr">
        <is>
          <t>MacBook Pro 14" M4 16/512GB</t>
        </is>
      </c>
      <c r="B37" s="25" t="n"/>
      <c r="C37" s="54" t="n">
        <v>38890000</v>
      </c>
      <c r="D37" s="42" t="n">
        <v>38990000</v>
      </c>
      <c r="E37" s="37" t="n"/>
      <c r="F37" s="40" t="n">
        <v>39290000</v>
      </c>
      <c r="G37" s="4" t="n">
        <v>38990000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4.xml><?xml version="1.0" encoding="utf-8"?>
<worksheet xmlns="http://schemas.openxmlformats.org/spreadsheetml/2006/main">
  <sheetPr>
    <outlinePr summaryBelow="1" summaryRight="1"/>
    <pageSetUpPr/>
  </sheetPr>
  <dimension ref="A1:L37"/>
  <sheetViews>
    <sheetView zoomScale="114" zoomScaleNormal="130" workbookViewId="0">
      <pane xSplit="2" ySplit="1" topLeftCell="C13"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5" t="n">
        <v>16290000</v>
      </c>
      <c r="D2" s="48" t="n">
        <v>16190000</v>
      </c>
      <c r="E2" s="40" t="n">
        <v>15990000</v>
      </c>
      <c r="F2" s="38" t="n">
        <v>15590000</v>
      </c>
      <c r="G2" s="40" t="n">
        <v>15990000</v>
      </c>
    </row>
    <row r="3">
      <c r="A3" t="inlineStr">
        <is>
          <t>iPhone 16  128GB</t>
        </is>
      </c>
      <c r="B3" s="25" t="n"/>
      <c r="C3" s="53" t="n">
        <v>18990000</v>
      </c>
      <c r="D3" s="43" t="n">
        <v>18890000</v>
      </c>
      <c r="E3" s="40" t="n">
        <v>18490000</v>
      </c>
      <c r="F3" s="38" t="n">
        <v>18590000</v>
      </c>
      <c r="G3" s="38" t="n">
        <v>18590000</v>
      </c>
      <c r="H3" t="n">
        <v>-100</v>
      </c>
    </row>
    <row r="4">
      <c r="A4" t="inlineStr">
        <is>
          <t>iPhone 16  Plus 128GB</t>
        </is>
      </c>
      <c r="B4" s="3" t="n"/>
      <c r="C4" s="54" t="n">
        <v>22190000</v>
      </c>
      <c r="D4" s="43" t="n">
        <v>21990000</v>
      </c>
      <c r="E4" s="40" t="n">
        <v>21690000</v>
      </c>
      <c r="F4" s="38" t="n">
        <v>21890000</v>
      </c>
      <c r="G4" s="40" t="n">
        <v>21890000</v>
      </c>
    </row>
    <row r="5">
      <c r="A5" t="inlineStr">
        <is>
          <t>iPhone 16 Pro  128GB</t>
        </is>
      </c>
      <c r="B5" s="25" t="n"/>
      <c r="C5" s="53" t="n">
        <v>25090000</v>
      </c>
      <c r="D5" s="43" t="n">
        <v>25090000</v>
      </c>
      <c r="E5" s="40" t="n">
        <v>24290000</v>
      </c>
      <c r="F5" s="40" t="n">
        <v>24790000</v>
      </c>
      <c r="G5" s="40" t="n">
        <v>24450000</v>
      </c>
    </row>
    <row r="6">
      <c r="A6" t="inlineStr">
        <is>
          <t>iPhone 16 Pro Max 256GB</t>
        </is>
      </c>
      <c r="B6" s="3" t="n"/>
      <c r="C6" s="53" t="n">
        <v>30290000</v>
      </c>
      <c r="D6" s="43" t="n">
        <v>30290000</v>
      </c>
      <c r="E6" s="40" t="n">
        <v>29990000</v>
      </c>
      <c r="F6" s="38" t="n">
        <v>29950000</v>
      </c>
      <c r="G6" s="38" t="n">
        <v>29750000</v>
      </c>
      <c r="H6" t="n">
        <v>-200</v>
      </c>
    </row>
    <row r="7">
      <c r="A7" t="inlineStr">
        <is>
          <t>iPhone 15  128GB</t>
        </is>
      </c>
      <c r="B7" s="25" t="n"/>
      <c r="C7" s="54" t="n">
        <v>15490000</v>
      </c>
      <c r="D7" s="43" t="n">
        <v>15590000</v>
      </c>
      <c r="E7" s="40" t="n">
        <v>15490000</v>
      </c>
      <c r="F7" s="40" t="n">
        <v>15390000</v>
      </c>
      <c r="G7" s="40" t="n">
        <v>15290000</v>
      </c>
    </row>
    <row r="8">
      <c r="A8" t="inlineStr">
        <is>
          <t>iPhone 15  Plus 128GB</t>
        </is>
      </c>
      <c r="B8" s="25" t="n"/>
      <c r="C8" s="53" t="n">
        <v>19290000</v>
      </c>
      <c r="D8" s="43" t="n">
        <v>19290000</v>
      </c>
      <c r="E8" s="40" t="n">
        <v>18990000</v>
      </c>
      <c r="F8" s="38" t="n">
        <v>18990000</v>
      </c>
      <c r="G8" s="40" t="n">
        <v>18890000</v>
      </c>
    </row>
    <row r="9">
      <c r="A9" t="inlineStr">
        <is>
          <t>iPhone 15 Pro Max 256GB</t>
        </is>
      </c>
      <c r="B9" s="3" t="n"/>
      <c r="C9" s="53" t="n">
        <v>29390000</v>
      </c>
      <c r="D9" s="25" t="n">
        <v>28490000</v>
      </c>
      <c r="E9" s="40" t="inlineStr">
        <is>
          <t>OOS</t>
        </is>
      </c>
      <c r="F9" s="38" t="n">
        <v>28290000</v>
      </c>
      <c r="G9" s="40" t="n">
        <v>27890000</v>
      </c>
    </row>
    <row r="10">
      <c r="A10" t="inlineStr">
        <is>
          <t>iPhone 14 Plus 128GB</t>
        </is>
      </c>
      <c r="B10" s="3" t="n"/>
      <c r="C10" s="52" t="inlineStr">
        <is>
          <t>OOS</t>
        </is>
      </c>
      <c r="D10" s="25" t="inlineStr">
        <is>
          <t>OOS</t>
        </is>
      </c>
      <c r="E10" s="40" t="n">
        <v>18990000</v>
      </c>
      <c r="F10" s="43" t="inlineStr">
        <is>
          <t>OOS</t>
        </is>
      </c>
      <c r="G10" s="40" t="n">
        <v>17490000</v>
      </c>
    </row>
    <row r="11">
      <c r="A11" t="inlineStr">
        <is>
          <t>iPhone 14 128GB</t>
        </is>
      </c>
      <c r="B11" s="25" t="n"/>
      <c r="C11" s="54" t="n">
        <v>12790000</v>
      </c>
      <c r="D11" s="38" t="n">
        <v>12890000</v>
      </c>
      <c r="E11" s="40" t="n">
        <v>12690000</v>
      </c>
      <c r="F11" s="39" t="n">
        <v>12490000</v>
      </c>
      <c r="G11" s="40" t="n">
        <v>12490000</v>
      </c>
    </row>
    <row r="12">
      <c r="A12" t="inlineStr">
        <is>
          <t>iPhone 13  128GB</t>
        </is>
      </c>
      <c r="B12" s="3" t="n"/>
      <c r="C12" s="53" t="n">
        <v>11690000</v>
      </c>
      <c r="D12" s="39" t="n">
        <v>11690000</v>
      </c>
      <c r="E12" s="40" t="n">
        <v>11390000</v>
      </c>
      <c r="F12" s="39" t="n">
        <v>11490000</v>
      </c>
      <c r="G12" s="34" t="n">
        <v>11490000</v>
      </c>
      <c r="H12" t="n">
        <v>-100</v>
      </c>
    </row>
    <row r="13">
      <c r="A13" t="inlineStr">
        <is>
          <t>iPhone 12 64GB</t>
        </is>
      </c>
      <c r="B13" s="25" t="n"/>
      <c r="C13" s="52" t="inlineStr">
        <is>
          <t>OOS</t>
        </is>
      </c>
      <c r="D13" s="25" t="inlineStr">
        <is>
          <t>OOS</t>
        </is>
      </c>
      <c r="E13" s="25" t="inlineStr">
        <is>
          <t>OOS</t>
        </is>
      </c>
      <c r="F13" s="25" t="inlineStr">
        <is>
          <t>OOS</t>
        </is>
      </c>
      <c r="G13" s="4" t="inlineStr">
        <is>
          <t>OOS</t>
        </is>
      </c>
    </row>
    <row r="14">
      <c r="A14" t="inlineStr">
        <is>
          <t>iPad Mini 7 128GB Wifi</t>
        </is>
      </c>
      <c r="B14" s="25" t="n"/>
      <c r="C14" s="53" t="n">
        <v>13590000</v>
      </c>
      <c r="D14" s="25" t="n">
        <v>13590000</v>
      </c>
      <c r="E14" s="40" t="n">
        <v>13652000</v>
      </c>
      <c r="F14" s="34" t="n">
        <v>13590000</v>
      </c>
      <c r="G14" s="4" t="n">
        <v>13690000</v>
      </c>
    </row>
    <row r="15">
      <c r="A15" t="inlineStr">
        <is>
          <t>iPad Gen 11th  128GB Wifi</t>
        </is>
      </c>
      <c r="B15" s="3" t="n"/>
      <c r="C15" s="53" t="n">
        <v>9790000</v>
      </c>
      <c r="D15" s="43" t="n">
        <v>9750000</v>
      </c>
      <c r="E15" s="25" t="n">
        <v>9395000</v>
      </c>
      <c r="F15" s="39" t="n">
        <v>9590000</v>
      </c>
      <c r="G15" s="34" t="n">
        <v>9490000</v>
      </c>
      <c r="H15" t="n">
        <v>-100</v>
      </c>
      <c r="J15" t="inlineStr">
        <is>
          <t xml:space="preserve">MW </t>
        </is>
      </c>
      <c r="K15" t="inlineStr">
        <is>
          <t>Duy</t>
        </is>
      </c>
      <c r="L15" t="b">
        <v>1</v>
      </c>
    </row>
    <row r="16">
      <c r="A16" t="inlineStr">
        <is>
          <t>iPad Air M3  11" 128 GB Wifi</t>
        </is>
      </c>
      <c r="B16" s="3" t="n"/>
      <c r="C16" s="53" t="n">
        <v>16490000</v>
      </c>
      <c r="D16" s="43" t="n">
        <v>16490000</v>
      </c>
      <c r="E16" s="3" t="n">
        <v>16028000</v>
      </c>
      <c r="F16" s="39" t="n">
        <v>15990000</v>
      </c>
      <c r="G16" s="3" t="n">
        <v>15990000</v>
      </c>
      <c r="H16" t="n">
        <v>-200</v>
      </c>
      <c r="J16" t="inlineStr">
        <is>
          <t>FPT</t>
        </is>
      </c>
      <c r="K16" t="inlineStr">
        <is>
          <t>Việt</t>
        </is>
      </c>
      <c r="L16" t="b">
        <v>1</v>
      </c>
    </row>
    <row r="17">
      <c r="A17" t="inlineStr">
        <is>
          <t>iPad Air M3  13" 128 GB Wifi</t>
        </is>
      </c>
      <c r="B17" s="25" t="n"/>
      <c r="C17" s="54" t="n">
        <v>21990000</v>
      </c>
      <c r="D17" s="43" t="n">
        <v>21990000</v>
      </c>
      <c r="E17" s="25" t="n">
        <v>21290000</v>
      </c>
      <c r="F17" s="34" t="n">
        <v>21490000</v>
      </c>
      <c r="G17" s="4" t="n">
        <v>21790000</v>
      </c>
      <c r="J17" t="inlineStr">
        <is>
          <t>Viettel</t>
        </is>
      </c>
      <c r="K17" t="inlineStr">
        <is>
          <t>Nghĩa</t>
        </is>
      </c>
      <c r="L17" t="b">
        <v>1</v>
      </c>
    </row>
    <row r="18">
      <c r="A18" t="inlineStr">
        <is>
          <t>iPad Pro  M4  11" 256 GB Wifi</t>
        </is>
      </c>
      <c r="B18" s="25" t="n"/>
      <c r="C18" s="53" t="n">
        <v>27490000</v>
      </c>
      <c r="D18" s="43" t="n">
        <v>27490000</v>
      </c>
      <c r="E18" s="25" t="n">
        <v>26990000</v>
      </c>
      <c r="F18" s="39" t="n">
        <v>27690000</v>
      </c>
      <c r="G18" s="34" t="n">
        <v>27290000</v>
      </c>
      <c r="H18" t="n">
        <v>700</v>
      </c>
      <c r="J18" t="inlineStr">
        <is>
          <t>CPS</t>
        </is>
      </c>
      <c r="K18" t="inlineStr">
        <is>
          <t>Trang</t>
        </is>
      </c>
      <c r="L18" t="b">
        <v>1</v>
      </c>
    </row>
    <row r="19">
      <c r="A19" t="inlineStr">
        <is>
          <t>iPad Pro  M4  13" 256 GB Wifi</t>
        </is>
      </c>
      <c r="B19" s="3" t="n"/>
      <c r="C19" s="53" t="n">
        <v>36290000</v>
      </c>
      <c r="D19" s="43" t="n">
        <v>36290000</v>
      </c>
      <c r="E19" s="25" t="n">
        <v>35990000</v>
      </c>
      <c r="F19" s="39" t="n">
        <v>36490000</v>
      </c>
      <c r="G19" s="4" t="n">
        <v>36390000</v>
      </c>
      <c r="J19" t="inlineStr">
        <is>
          <t>ShopDunk</t>
        </is>
      </c>
      <c r="K19" t="inlineStr">
        <is>
          <t>Đạt</t>
        </is>
      </c>
      <c r="L19" t="b">
        <v>1</v>
      </c>
    </row>
    <row r="20">
      <c r="A20" t="inlineStr">
        <is>
          <t>AW SE 2 (40mm GPS)</t>
        </is>
      </c>
      <c r="B20" s="25" t="n"/>
      <c r="C20" s="54" t="n">
        <v>5190000</v>
      </c>
      <c r="D20" s="42" t="n">
        <v>4990000</v>
      </c>
      <c r="E20" s="3" t="n">
        <v>4940000</v>
      </c>
      <c r="F20" s="34" t="n">
        <v>5090000</v>
      </c>
      <c r="G20" s="34" t="n">
        <v>5090000</v>
      </c>
      <c r="H20" t="n">
        <v>-700</v>
      </c>
    </row>
    <row r="21">
      <c r="A21" t="inlineStr">
        <is>
          <t>AW SE 2 (40mm LTE)</t>
        </is>
      </c>
      <c r="B21" s="25" t="n"/>
      <c r="C21" s="53" t="n">
        <v>6990000</v>
      </c>
      <c r="D21" s="43" t="n">
        <v>6990000</v>
      </c>
      <c r="E21" s="25" t="n">
        <v>6920000</v>
      </c>
      <c r="F21" s="34" t="n">
        <v>6690000</v>
      </c>
      <c r="G21" s="4" t="n">
        <v>6590000</v>
      </c>
    </row>
    <row r="22">
      <c r="A22" t="inlineStr">
        <is>
          <t>AW SE 2 (44mm GPS)</t>
        </is>
      </c>
      <c r="B22" s="25" t="n"/>
      <c r="C22" s="54" t="n">
        <v>5790000</v>
      </c>
      <c r="D22" s="42" t="n">
        <v>5790000</v>
      </c>
      <c r="E22" s="3" t="n">
        <v>5732000</v>
      </c>
      <c r="F22" s="34" t="n">
        <v>5790000</v>
      </c>
      <c r="G22" s="34" t="n">
        <v>5950000</v>
      </c>
      <c r="H22" t="n">
        <v>-600</v>
      </c>
    </row>
    <row r="23">
      <c r="A23" t="inlineStr">
        <is>
          <t>AW SE 2 (44mm LTE)</t>
        </is>
      </c>
      <c r="B23" s="25" t="n"/>
      <c r="C23" s="52" t="inlineStr">
        <is>
          <t>OOS</t>
        </is>
      </c>
      <c r="D23" s="43" t="n">
        <v>7790000</v>
      </c>
      <c r="E23" s="25" t="n">
        <v>7712000</v>
      </c>
      <c r="F23" s="39" t="n">
        <v>7790000</v>
      </c>
      <c r="G23" s="4" t="n">
        <v>7690000</v>
      </c>
    </row>
    <row r="24">
      <c r="A24" t="inlineStr">
        <is>
          <t>AW S10 (42mm GPS)</t>
        </is>
      </c>
      <c r="B24" s="25" t="n"/>
      <c r="C24" s="54" t="n">
        <v>8390000</v>
      </c>
      <c r="D24" s="42" t="n">
        <v>8390000</v>
      </c>
      <c r="E24" s="3" t="n">
        <v>8207000</v>
      </c>
      <c r="F24" s="34" t="n">
        <v>8390000</v>
      </c>
      <c r="G24" s="4" t="n">
        <v>8350000</v>
      </c>
      <c r="H24" t="n">
        <v>-2240</v>
      </c>
    </row>
    <row r="25">
      <c r="A25" t="inlineStr">
        <is>
          <t>AW S10 (42mm CEL)</t>
        </is>
      </c>
      <c r="B25" s="25" t="n"/>
      <c r="C25" s="53" t="n">
        <v>12790000</v>
      </c>
      <c r="D25" s="43" t="n">
        <v>12790000</v>
      </c>
      <c r="E25" s="25" t="n">
        <v>12860000</v>
      </c>
      <c r="F25" s="39" t="n">
        <v>13190000</v>
      </c>
      <c r="G25" s="4" t="n">
        <v>12890000</v>
      </c>
    </row>
    <row r="26">
      <c r="A26" t="inlineStr">
        <is>
          <t>AW S10 (46mm GPS)</t>
        </is>
      </c>
      <c r="B26" s="25" t="n"/>
      <c r="C26" s="54" t="n">
        <v>9190000</v>
      </c>
      <c r="D26" s="42" t="n">
        <v>9190000</v>
      </c>
      <c r="E26" s="3" t="n">
        <v>8900000</v>
      </c>
      <c r="F26" s="34" t="n">
        <v>9190000</v>
      </c>
      <c r="G26" s="4" t="n">
        <v>8890000</v>
      </c>
      <c r="H26" s="50" t="n">
        <v>-2400</v>
      </c>
      <c r="I26" s="26" t="n"/>
    </row>
    <row r="27">
      <c r="A27" t="inlineStr">
        <is>
          <t>AW S10 (46mm CEL)</t>
        </is>
      </c>
      <c r="B27" s="3" t="n"/>
      <c r="C27" s="54" t="n">
        <v>13690000</v>
      </c>
      <c r="D27" s="25" t="n">
        <v>13690000</v>
      </c>
      <c r="E27" s="25" t="n">
        <v>13553000</v>
      </c>
      <c r="F27" s="39" t="n">
        <v>13890000</v>
      </c>
      <c r="G27" s="4" t="n">
        <v>13590000</v>
      </c>
    </row>
    <row r="28">
      <c r="A28" t="inlineStr">
        <is>
          <t>AW Ultra 2 (49mm)</t>
        </is>
      </c>
      <c r="B28" s="25" t="n"/>
      <c r="C28" s="54" t="n">
        <v>21890000</v>
      </c>
      <c r="D28" s="43" t="n">
        <v>21890000</v>
      </c>
      <c r="E28" s="25" t="n">
        <v>21790000</v>
      </c>
      <c r="F28" s="38" t="n">
        <v>21590000</v>
      </c>
      <c r="G28" s="4" t="n">
        <v>22990000</v>
      </c>
    </row>
    <row r="29">
      <c r="A29" t="inlineStr">
        <is>
          <t>AirPods Pro 2 - 2023 (C-Type)</t>
        </is>
      </c>
      <c r="B29" s="3" t="n"/>
      <c r="C29" s="54" t="n">
        <v>5390000</v>
      </c>
      <c r="D29" s="34" t="n">
        <v>5350000</v>
      </c>
      <c r="E29" s="3" t="n">
        <v>5138000</v>
      </c>
      <c r="F29" s="38" t="n">
        <v>5499000</v>
      </c>
      <c r="G29" s="34" t="n">
        <v>5390000</v>
      </c>
      <c r="H29" t="n">
        <v>-200</v>
      </c>
    </row>
    <row r="30">
      <c r="A30" t="inlineStr">
        <is>
          <t>AirPods 4 ANC</t>
        </is>
      </c>
      <c r="B30" s="3" t="n"/>
      <c r="C30" s="54" t="n">
        <v>4490000</v>
      </c>
      <c r="D30" s="38" t="n">
        <v>4450000</v>
      </c>
      <c r="E30" s="3" t="n">
        <v>4247000</v>
      </c>
      <c r="F30" s="40" t="n">
        <v>4550000</v>
      </c>
      <c r="G30" s="34" t="n">
        <v>4490000</v>
      </c>
      <c r="H30" t="n">
        <v>-100</v>
      </c>
    </row>
    <row r="31">
      <c r="A31" t="inlineStr">
        <is>
          <t>AirPods 4 with charging case</t>
        </is>
      </c>
      <c r="B31" s="3" t="n"/>
      <c r="C31" s="54" t="n">
        <v>3090000</v>
      </c>
      <c r="D31" s="38" t="n">
        <v>3090000</v>
      </c>
      <c r="E31" s="3" t="n">
        <v>2990000</v>
      </c>
      <c r="F31" s="38" t="n">
        <v>3190000</v>
      </c>
      <c r="G31" s="34" t="n">
        <v>3150000</v>
      </c>
      <c r="H31" t="n">
        <v>-100</v>
      </c>
    </row>
    <row r="32">
      <c r="A32" t="inlineStr">
        <is>
          <t>MacBook Air 13" M1 8/256Gb</t>
        </is>
      </c>
      <c r="B32" s="3" t="n"/>
      <c r="C32" s="53" t="n">
        <v>17090000</v>
      </c>
      <c r="D32" s="39" t="n">
        <v>16990000</v>
      </c>
      <c r="E32" s="37" t="n"/>
      <c r="F32" s="39" t="n">
        <v>17190000</v>
      </c>
      <c r="G32" s="34" t="n">
        <v>16890000</v>
      </c>
      <c r="H32" t="n">
        <v>400</v>
      </c>
    </row>
    <row r="33">
      <c r="A33" t="inlineStr">
        <is>
          <t>MacBook Air 13" M2 16/256GB</t>
        </is>
      </c>
      <c r="B33" s="25" t="n"/>
      <c r="C33" s="54" t="n">
        <v>19890000</v>
      </c>
      <c r="D33" s="3" t="n">
        <v>19800000</v>
      </c>
      <c r="E33" s="37" t="n"/>
      <c r="F33" s="34" t="n">
        <v>19790000</v>
      </c>
      <c r="G33" s="4" t="n">
        <v>19790000</v>
      </c>
      <c r="H33" t="n">
        <v>-800</v>
      </c>
    </row>
    <row r="34">
      <c r="A34" t="inlineStr">
        <is>
          <t>MacBook Air 13" M3 16/256GB</t>
        </is>
      </c>
      <c r="B34" s="3" t="n"/>
      <c r="C34" s="52" t="inlineStr">
        <is>
          <t>OOS</t>
        </is>
      </c>
      <c r="D34" s="39" t="n">
        <v>23990000</v>
      </c>
      <c r="E34" s="37" t="n"/>
      <c r="F34" s="39" t="n">
        <v>24690000</v>
      </c>
      <c r="G34" s="4" t="n">
        <v>25290000</v>
      </c>
    </row>
    <row r="35">
      <c r="A35" t="inlineStr">
        <is>
          <t>MacBook Air 13" M4 16/256GB</t>
        </is>
      </c>
      <c r="B35" s="3" t="n"/>
      <c r="C35" s="53" t="n">
        <v>25790000</v>
      </c>
      <c r="D35" s="40" t="n">
        <v>25790000</v>
      </c>
      <c r="E35" s="37" t="n"/>
      <c r="F35" s="34" t="n">
        <v>25590000</v>
      </c>
      <c r="G35" s="34" t="n">
        <v>25490000</v>
      </c>
      <c r="H35" t="n">
        <v>-200</v>
      </c>
    </row>
    <row r="36">
      <c r="A36" t="inlineStr">
        <is>
          <t>MacBook Air 15" M4 16/256GB</t>
        </is>
      </c>
      <c r="B36" s="25" t="n"/>
      <c r="C36" s="52" t="inlineStr">
        <is>
          <t>OOS</t>
        </is>
      </c>
      <c r="D36" s="43" t="n">
        <v>31290000</v>
      </c>
      <c r="E36" s="37" t="n"/>
      <c r="F36" s="39" t="n">
        <v>31390000</v>
      </c>
      <c r="G36" s="34" t="n">
        <v>30990000</v>
      </c>
    </row>
    <row r="37">
      <c r="A37" t="inlineStr">
        <is>
          <t>MacBook Pro 14" M4 16/512GB</t>
        </is>
      </c>
      <c r="B37" s="25" t="n"/>
      <c r="C37" s="53" t="n">
        <v>38890000</v>
      </c>
      <c r="D37" s="42" t="n">
        <v>38890000</v>
      </c>
      <c r="E37" s="37" t="n"/>
      <c r="F37" s="38" t="n">
        <v>38990000</v>
      </c>
      <c r="G37" s="34" t="n">
        <v>38590000</v>
      </c>
      <c r="H37" t="n">
        <v>-500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5.xml><?xml version="1.0" encoding="utf-8"?>
<worksheet xmlns="http://schemas.openxmlformats.org/spreadsheetml/2006/main">
  <sheetPr>
    <outlinePr summaryBelow="1" summaryRight="1"/>
    <pageSetUpPr/>
  </sheetPr>
  <dimension ref="A1:L37"/>
  <sheetViews>
    <sheetView zoomScale="119" zoomScaleNormal="130" workbookViewId="0">
      <pane xSplit="2" ySplit="1" topLeftCell="C8"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5" t="n">
        <v>16090000</v>
      </c>
      <c r="D2" s="49" t="n">
        <v>16090000</v>
      </c>
      <c r="E2" s="40" t="n">
        <v>15990000</v>
      </c>
      <c r="F2" s="40" t="n">
        <v>15590000</v>
      </c>
      <c r="G2" s="40" t="n">
        <v>15990000</v>
      </c>
    </row>
    <row r="3">
      <c r="A3" t="inlineStr">
        <is>
          <t>iPhone 16  128GB</t>
        </is>
      </c>
      <c r="B3" s="25" t="n"/>
      <c r="C3" s="53" t="n">
        <v>18990000</v>
      </c>
      <c r="D3" s="42" t="n">
        <v>18990000</v>
      </c>
      <c r="E3" s="40" t="n">
        <v>18490000</v>
      </c>
      <c r="F3" s="40" t="n">
        <v>18590000</v>
      </c>
      <c r="G3" s="38" t="n">
        <v>18590000</v>
      </c>
    </row>
    <row r="4">
      <c r="A4" t="inlineStr">
        <is>
          <t>iPhone 16  Plus 128GB</t>
        </is>
      </c>
      <c r="B4" s="3" t="n"/>
      <c r="C4" s="53" t="n">
        <v>22190000</v>
      </c>
      <c r="D4" s="43" t="n">
        <v>21990000</v>
      </c>
      <c r="E4" s="40" t="n">
        <v>21690000</v>
      </c>
      <c r="F4" s="40" t="n">
        <v>21890000</v>
      </c>
      <c r="G4" s="40" t="n">
        <v>21890000</v>
      </c>
    </row>
    <row r="5">
      <c r="A5" t="inlineStr">
        <is>
          <t>iPhone 16 Pro  128GB</t>
        </is>
      </c>
      <c r="B5" s="25" t="n"/>
      <c r="C5" s="53" t="n">
        <v>25090000</v>
      </c>
      <c r="D5" s="43" t="n">
        <v>25090000</v>
      </c>
      <c r="E5" s="40" t="n">
        <v>24290000</v>
      </c>
      <c r="F5" s="40" t="n">
        <v>24790000</v>
      </c>
      <c r="G5" s="40" t="n">
        <v>24450000</v>
      </c>
    </row>
    <row r="6">
      <c r="A6" t="inlineStr">
        <is>
          <t>iPhone 16 Pro Max 256GB</t>
        </is>
      </c>
      <c r="B6" s="3" t="n"/>
      <c r="C6" s="54" t="n">
        <v>30090000</v>
      </c>
      <c r="D6" s="42" t="n">
        <v>30090000</v>
      </c>
      <c r="E6" s="40" t="n">
        <v>29990000</v>
      </c>
      <c r="F6" s="38" t="n">
        <v>29890000</v>
      </c>
      <c r="G6" s="38" t="n">
        <v>29650000</v>
      </c>
      <c r="H6" t="n">
        <v>-100</v>
      </c>
    </row>
    <row r="7">
      <c r="A7" t="inlineStr">
        <is>
          <t>iPhone 15  128GB</t>
        </is>
      </c>
      <c r="B7" s="25" t="n"/>
      <c r="C7" s="53" t="n">
        <v>15490000</v>
      </c>
      <c r="D7" s="42" t="n">
        <v>15490000</v>
      </c>
      <c r="E7" s="40" t="n">
        <v>15490000</v>
      </c>
      <c r="F7" s="38" t="n">
        <v>15290000</v>
      </c>
      <c r="G7" s="40" t="n">
        <v>15290000</v>
      </c>
    </row>
    <row r="8">
      <c r="A8" t="inlineStr">
        <is>
          <t>iPhone 15  Plus 128GB</t>
        </is>
      </c>
      <c r="B8" s="25" t="n"/>
      <c r="C8" s="54" t="n">
        <v>19090000</v>
      </c>
      <c r="D8" s="42" t="n">
        <v>19090000</v>
      </c>
      <c r="E8" s="40" t="n">
        <v>18990000</v>
      </c>
      <c r="F8" s="38" t="n">
        <v>19190000</v>
      </c>
      <c r="G8" s="40" t="n">
        <v>18890000</v>
      </c>
    </row>
    <row r="9">
      <c r="A9" t="inlineStr">
        <is>
          <t>iPhone 15 Pro Max 256GB</t>
        </is>
      </c>
      <c r="B9" s="3" t="n"/>
      <c r="C9" s="53" t="n">
        <v>29390000</v>
      </c>
      <c r="D9" s="25" t="n">
        <v>28490000</v>
      </c>
      <c r="E9" s="40" t="inlineStr">
        <is>
          <t>OOS</t>
        </is>
      </c>
      <c r="F9" s="38" t="n">
        <v>28650000</v>
      </c>
      <c r="G9" s="40" t="n">
        <v>27890000</v>
      </c>
    </row>
    <row r="10">
      <c r="A10" t="inlineStr">
        <is>
          <t>iPhone 14 Plus 128GB</t>
        </is>
      </c>
      <c r="B10" s="3" t="n"/>
      <c r="C10" s="52" t="inlineStr">
        <is>
          <t>OOS</t>
        </is>
      </c>
      <c r="D10" s="25" t="inlineStr">
        <is>
          <t>OOS</t>
        </is>
      </c>
      <c r="E10" s="3" t="n">
        <v>16990000</v>
      </c>
      <c r="F10" s="43" t="inlineStr">
        <is>
          <t>OOS</t>
        </is>
      </c>
      <c r="G10" s="40" t="n">
        <v>17490000</v>
      </c>
    </row>
    <row r="11">
      <c r="A11" t="inlineStr">
        <is>
          <t>iPhone 14 128GB</t>
        </is>
      </c>
      <c r="B11" s="25" t="n"/>
      <c r="C11" s="53" t="n">
        <v>12790000</v>
      </c>
      <c r="D11" s="38" t="n">
        <v>12790000</v>
      </c>
      <c r="E11" s="40" t="n">
        <v>12690000</v>
      </c>
      <c r="F11" s="39" t="n">
        <v>12490000</v>
      </c>
      <c r="G11" s="40" t="n">
        <v>12490000</v>
      </c>
    </row>
    <row r="12">
      <c r="A12" t="inlineStr">
        <is>
          <t>iPhone 13  128GB</t>
        </is>
      </c>
      <c r="B12" s="3" t="n"/>
      <c r="C12" s="53" t="n">
        <v>11690000</v>
      </c>
      <c r="D12" s="39" t="n">
        <v>11690000</v>
      </c>
      <c r="E12" s="40" t="n">
        <v>11390000</v>
      </c>
      <c r="F12" s="39" t="n">
        <v>11590000</v>
      </c>
      <c r="G12" s="40" t="n">
        <v>11490000</v>
      </c>
    </row>
    <row r="13">
      <c r="A13" t="inlineStr">
        <is>
          <t>iPhone 12 64GB</t>
        </is>
      </c>
      <c r="B13" s="25" t="n"/>
      <c r="C13" s="52" t="inlineStr">
        <is>
          <t>OOS</t>
        </is>
      </c>
      <c r="D13" s="25" t="inlineStr">
        <is>
          <t>OOS</t>
        </is>
      </c>
      <c r="E13" s="25" t="inlineStr">
        <is>
          <t>OOS</t>
        </is>
      </c>
      <c r="F13" s="25" t="inlineStr">
        <is>
          <t>OOS</t>
        </is>
      </c>
      <c r="G13" s="4" t="inlineStr">
        <is>
          <t>OOS</t>
        </is>
      </c>
    </row>
    <row r="14">
      <c r="A14" t="inlineStr">
        <is>
          <t>iPad Mini 7 128GB Wifi</t>
        </is>
      </c>
      <c r="B14" s="25" t="n"/>
      <c r="C14" s="54" t="n">
        <v>11790000</v>
      </c>
      <c r="D14" s="3" t="n">
        <v>11790000</v>
      </c>
      <c r="E14" s="40" t="n">
        <v>13652000</v>
      </c>
      <c r="F14" s="34" t="n">
        <v>11790000</v>
      </c>
      <c r="G14" s="34" t="n">
        <v>11490000</v>
      </c>
      <c r="H14" t="n">
        <v>-2200</v>
      </c>
    </row>
    <row r="15">
      <c r="A15" t="inlineStr">
        <is>
          <t>iPad Gen 11th  128GB Wifi</t>
        </is>
      </c>
      <c r="B15" s="3" t="n"/>
      <c r="C15" s="54" t="n">
        <v>8980000</v>
      </c>
      <c r="D15" s="42" t="n">
        <v>8490000</v>
      </c>
      <c r="E15" s="3" t="n">
        <v>8801000</v>
      </c>
      <c r="F15" s="34" t="n">
        <v>8990000</v>
      </c>
      <c r="G15" s="34" t="n">
        <v>8690000</v>
      </c>
      <c r="H15" t="n">
        <v>-800</v>
      </c>
      <c r="J15" t="inlineStr">
        <is>
          <t xml:space="preserve">MW </t>
        </is>
      </c>
      <c r="K15" t="inlineStr">
        <is>
          <t>Duy</t>
        </is>
      </c>
      <c r="L15" t="b">
        <v>1</v>
      </c>
    </row>
    <row r="16">
      <c r="A16" t="inlineStr">
        <is>
          <t>iPad Air M3  11" 128 GB Wifi</t>
        </is>
      </c>
      <c r="B16" s="3" t="n"/>
      <c r="C16" s="54" t="n">
        <v>15090000</v>
      </c>
      <c r="D16" s="42" t="n">
        <v>15090000</v>
      </c>
      <c r="E16" s="3" t="n">
        <v>14543000</v>
      </c>
      <c r="F16" s="34" t="n">
        <v>14890000</v>
      </c>
      <c r="G16" s="3" t="n">
        <v>14790000</v>
      </c>
      <c r="H16" t="n">
        <v>-700</v>
      </c>
      <c r="J16" t="inlineStr">
        <is>
          <t>FPT</t>
        </is>
      </c>
      <c r="K16" t="inlineStr">
        <is>
          <t>Việt</t>
        </is>
      </c>
      <c r="L16" t="b">
        <v>1</v>
      </c>
    </row>
    <row r="17">
      <c r="A17" t="inlineStr">
        <is>
          <t>iPad Air M3  13" 128 GB Wifi</t>
        </is>
      </c>
      <c r="B17" s="25" t="n"/>
      <c r="C17" s="54" t="n">
        <v>20790000</v>
      </c>
      <c r="D17" s="42" t="n">
        <v>21290000</v>
      </c>
      <c r="E17" s="25" t="n">
        <v>21290000</v>
      </c>
      <c r="F17" s="34" t="n">
        <v>20290000</v>
      </c>
      <c r="G17" s="4" t="n">
        <v>21790000</v>
      </c>
      <c r="J17" t="inlineStr">
        <is>
          <t>Viettel</t>
        </is>
      </c>
      <c r="K17" t="inlineStr">
        <is>
          <t>Nghĩa</t>
        </is>
      </c>
      <c r="L17" t="b">
        <v>1</v>
      </c>
    </row>
    <row r="18">
      <c r="A18" t="inlineStr">
        <is>
          <t>iPad Pro  M4  11" 256 GB Wifi</t>
        </is>
      </c>
      <c r="B18" s="25" t="n"/>
      <c r="C18" s="54" t="n">
        <v>26590000</v>
      </c>
      <c r="D18" s="42" t="n">
        <v>26890000</v>
      </c>
      <c r="E18" s="25" t="n">
        <v>26990000</v>
      </c>
      <c r="F18" s="39" t="n">
        <v>26690000</v>
      </c>
      <c r="G18" s="34" t="n">
        <v>26690000</v>
      </c>
      <c r="H18" t="n">
        <v>-700</v>
      </c>
      <c r="J18" t="inlineStr">
        <is>
          <t>CPS</t>
        </is>
      </c>
      <c r="K18" t="inlineStr">
        <is>
          <t>Trang</t>
        </is>
      </c>
      <c r="L18" t="b">
        <v>1</v>
      </c>
    </row>
    <row r="19">
      <c r="A19" t="inlineStr">
        <is>
          <t>iPad Pro  M4  13" 256 GB Wifi</t>
        </is>
      </c>
      <c r="B19" s="3" t="n"/>
      <c r="C19" s="54" t="n">
        <v>33990000</v>
      </c>
      <c r="D19" s="42" t="n">
        <v>33990000</v>
      </c>
      <c r="E19" s="25" t="n">
        <v>35990000</v>
      </c>
      <c r="F19" s="39" t="n">
        <v>36490000</v>
      </c>
      <c r="G19" s="4" t="n">
        <v>36490000</v>
      </c>
      <c r="J19" t="inlineStr">
        <is>
          <t>ShopDunk</t>
        </is>
      </c>
      <c r="K19" t="inlineStr">
        <is>
          <t>Đạt</t>
        </is>
      </c>
      <c r="L19" t="b">
        <v>1</v>
      </c>
    </row>
    <row r="20">
      <c r="A20" t="inlineStr">
        <is>
          <t>AW SE 2 (40mm GPS)</t>
        </is>
      </c>
      <c r="B20" s="25" t="n"/>
      <c r="C20" s="53" t="n">
        <v>5190000</v>
      </c>
      <c r="D20" s="42" t="n">
        <v>5190000</v>
      </c>
      <c r="E20" s="25" t="n">
        <v>4940000</v>
      </c>
      <c r="F20" s="39" t="n">
        <v>5090000</v>
      </c>
      <c r="G20" s="4" t="n">
        <v>5090000</v>
      </c>
    </row>
    <row r="21">
      <c r="A21" t="inlineStr">
        <is>
          <t>AW SE 2 (40mm LTE)</t>
        </is>
      </c>
      <c r="B21" s="25" t="n"/>
      <c r="C21" s="53" t="n">
        <v>6990000</v>
      </c>
      <c r="D21" s="43" t="n">
        <v>6990000</v>
      </c>
      <c r="E21" s="25" t="n">
        <v>6920000</v>
      </c>
      <c r="F21" s="39" t="n">
        <v>6690000</v>
      </c>
      <c r="G21" s="4" t="n">
        <v>6590000</v>
      </c>
    </row>
    <row r="22">
      <c r="A22" t="inlineStr">
        <is>
          <t>AW SE 2 (44mm GPS)</t>
        </is>
      </c>
      <c r="B22" s="25" t="n"/>
      <c r="C22" s="53" t="n">
        <v>5790000</v>
      </c>
      <c r="D22" s="43" t="n">
        <v>5790000</v>
      </c>
      <c r="E22" s="25" t="n">
        <v>5732000</v>
      </c>
      <c r="F22" s="39" t="n">
        <v>5790000</v>
      </c>
      <c r="G22" s="4" t="n">
        <v>5950000</v>
      </c>
    </row>
    <row r="23">
      <c r="A23" t="inlineStr">
        <is>
          <t>AW SE 2 (44mm LTE)</t>
        </is>
      </c>
      <c r="B23" s="25" t="n"/>
      <c r="C23" s="52" t="inlineStr">
        <is>
          <t>OOS</t>
        </is>
      </c>
      <c r="D23" s="43" t="n">
        <v>7790000</v>
      </c>
      <c r="E23" s="25" t="n">
        <v>7712000</v>
      </c>
      <c r="F23" s="39" t="n">
        <v>7790000</v>
      </c>
      <c r="G23" s="4" t="n">
        <v>7690000</v>
      </c>
    </row>
    <row r="24">
      <c r="A24" t="inlineStr">
        <is>
          <t>AW S10 (42mm GPS)</t>
        </is>
      </c>
      <c r="B24" s="25" t="n"/>
      <c r="C24" s="54" t="n">
        <v>8590000</v>
      </c>
      <c r="D24" s="43" t="n">
        <v>8390000</v>
      </c>
      <c r="E24" s="25" t="n">
        <v>8207000</v>
      </c>
      <c r="F24" s="34" t="n">
        <v>8590000</v>
      </c>
      <c r="G24" s="4" t="n">
        <v>8350000</v>
      </c>
    </row>
    <row r="25">
      <c r="A25" t="inlineStr">
        <is>
          <t>AW S10 (42mm CEL)</t>
        </is>
      </c>
      <c r="B25" s="25" t="n"/>
      <c r="C25" s="53" t="n">
        <v>12790000</v>
      </c>
      <c r="D25" s="43" t="n">
        <v>12790000</v>
      </c>
      <c r="E25" s="25" t="n">
        <v>12860000</v>
      </c>
      <c r="F25" s="39" t="n">
        <v>13190000</v>
      </c>
      <c r="G25" s="4" t="n">
        <v>12890000</v>
      </c>
    </row>
    <row r="26">
      <c r="A26" t="inlineStr">
        <is>
          <t>AW S10 (46mm GPS)</t>
        </is>
      </c>
      <c r="B26" s="25" t="n"/>
      <c r="C26" s="53" t="n">
        <v>9190000</v>
      </c>
      <c r="D26" s="43" t="n">
        <v>9190000</v>
      </c>
      <c r="E26" s="25" t="n">
        <v>8900000</v>
      </c>
      <c r="F26" s="34" t="n">
        <v>8990000</v>
      </c>
      <c r="G26" s="4" t="n">
        <v>8890000</v>
      </c>
      <c r="I26" s="26" t="n"/>
    </row>
    <row r="27">
      <c r="A27" t="inlineStr">
        <is>
          <t>AW S10 (46mm CEL)</t>
        </is>
      </c>
      <c r="B27" s="3" t="n"/>
      <c r="C27" s="53" t="n">
        <v>13690000</v>
      </c>
      <c r="D27" s="25" t="n">
        <v>13690000</v>
      </c>
      <c r="E27" s="25" t="n">
        <v>13553000</v>
      </c>
      <c r="F27" s="39" t="n">
        <v>13890000</v>
      </c>
      <c r="G27" s="4" t="n">
        <v>13590000</v>
      </c>
    </row>
    <row r="28">
      <c r="A28" t="inlineStr">
        <is>
          <t>AW Ultra 2 (49mm)</t>
        </is>
      </c>
      <c r="B28" s="25" t="n"/>
      <c r="C28" s="53" t="n">
        <v>21890000</v>
      </c>
      <c r="D28" s="43" t="n">
        <v>21890000</v>
      </c>
      <c r="E28" s="25" t="n">
        <v>21790000</v>
      </c>
      <c r="F28" s="40" t="n">
        <v>21590000</v>
      </c>
      <c r="G28" s="4" t="n">
        <v>22990000</v>
      </c>
    </row>
    <row r="29">
      <c r="A29" t="inlineStr">
        <is>
          <t>AirPods Pro 2 - 2023 (C-Type)</t>
        </is>
      </c>
      <c r="B29" s="3" t="n"/>
      <c r="C29" s="53" t="n">
        <v>5390000</v>
      </c>
      <c r="D29" s="39" t="n">
        <v>5350000</v>
      </c>
      <c r="E29" s="25" t="n">
        <v>5138000</v>
      </c>
      <c r="F29" s="38" t="n">
        <v>5299000</v>
      </c>
      <c r="G29" s="4" t="n">
        <v>5390000</v>
      </c>
    </row>
    <row r="30">
      <c r="A30" t="inlineStr">
        <is>
          <t>AirPods 4 ANC</t>
        </is>
      </c>
      <c r="B30" s="3" t="n"/>
      <c r="C30" s="53" t="n">
        <v>4490000</v>
      </c>
      <c r="D30" s="40" t="n">
        <v>4450000</v>
      </c>
      <c r="E30" s="25" t="n">
        <v>4247000</v>
      </c>
      <c r="F30" s="40" t="n">
        <v>4550000</v>
      </c>
      <c r="G30" s="4" t="n">
        <v>4490000</v>
      </c>
    </row>
    <row r="31">
      <c r="A31" t="inlineStr">
        <is>
          <t>AirPods 4 with charging case</t>
        </is>
      </c>
      <c r="B31" s="3" t="n"/>
      <c r="C31" s="53" t="n">
        <v>3090000</v>
      </c>
      <c r="D31" s="40" t="n">
        <v>3090000</v>
      </c>
      <c r="E31" s="25" t="n">
        <v>2990000</v>
      </c>
      <c r="F31" s="40" t="n">
        <v>3190000</v>
      </c>
      <c r="G31" s="4" t="n">
        <v>3150000</v>
      </c>
    </row>
    <row r="32">
      <c r="A32" t="inlineStr">
        <is>
          <t>MacBook Air 13" M1 8/256Gb</t>
        </is>
      </c>
      <c r="B32" s="3" t="n"/>
      <c r="C32" s="54" t="n">
        <v>16990000</v>
      </c>
      <c r="D32" s="39" t="n">
        <v>16990000</v>
      </c>
      <c r="E32" s="37" t="n"/>
      <c r="F32" s="39" t="n">
        <v>17190000</v>
      </c>
      <c r="G32" s="4" t="n">
        <v>16890000</v>
      </c>
    </row>
    <row r="33">
      <c r="A33" t="inlineStr">
        <is>
          <t>MacBook Air 13" M2 16/256GB</t>
        </is>
      </c>
      <c r="B33" s="25" t="n"/>
      <c r="C33" s="53" t="n">
        <v>19890000</v>
      </c>
      <c r="D33" s="3" t="n">
        <v>19890000</v>
      </c>
      <c r="E33" s="37" t="n"/>
      <c r="F33" s="34" t="n">
        <v>19990000</v>
      </c>
      <c r="G33" s="4" t="n">
        <v>19790000</v>
      </c>
    </row>
    <row r="34">
      <c r="A34" t="inlineStr">
        <is>
          <t>MacBook Air 13" M3 16/256GB</t>
        </is>
      </c>
      <c r="B34" s="3" t="n"/>
      <c r="C34" s="52" t="inlineStr">
        <is>
          <t>OOS</t>
        </is>
      </c>
      <c r="D34" s="39" t="n">
        <v>23990000</v>
      </c>
      <c r="E34" s="37" t="n"/>
      <c r="F34" s="34" t="n">
        <v>24790000</v>
      </c>
      <c r="G34" s="4" t="n">
        <v>25290000</v>
      </c>
    </row>
    <row r="35">
      <c r="A35" t="inlineStr">
        <is>
          <t>MacBook Air 13" M4 16/256GB</t>
        </is>
      </c>
      <c r="B35" s="3" t="n"/>
      <c r="C35" s="53" t="n">
        <v>25790000</v>
      </c>
      <c r="D35" s="38" t="n">
        <v>25490000</v>
      </c>
      <c r="E35" s="37" t="n"/>
      <c r="F35" s="34" t="n">
        <v>24990000</v>
      </c>
      <c r="G35" s="34" t="n">
        <v>24990000</v>
      </c>
      <c r="H35" t="n">
        <v>-500</v>
      </c>
    </row>
    <row r="36">
      <c r="A36" t="inlineStr">
        <is>
          <t>MacBook Air 15" M4 16/256GB</t>
        </is>
      </c>
      <c r="B36" s="25" t="n"/>
      <c r="C36" s="52" t="inlineStr">
        <is>
          <t>OOS</t>
        </is>
      </c>
      <c r="D36" s="42" t="n">
        <v>29990000</v>
      </c>
      <c r="E36" s="37" t="n"/>
      <c r="F36" s="34" t="n">
        <v>29490000</v>
      </c>
      <c r="G36" s="34" t="n">
        <v>29490000</v>
      </c>
      <c r="H36" t="n">
        <v>-1500</v>
      </c>
    </row>
    <row r="37">
      <c r="A37" t="inlineStr">
        <is>
          <t>MacBook Pro 14" M4 16/512GB</t>
        </is>
      </c>
      <c r="B37" s="25" t="n"/>
      <c r="C37" s="53" t="n">
        <v>38890000</v>
      </c>
      <c r="D37" s="43" t="n">
        <v>38890000</v>
      </c>
      <c r="E37" s="37" t="n"/>
      <c r="F37" s="38" t="n">
        <v>38690000</v>
      </c>
      <c r="G37" s="4" t="n">
        <v>38590000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6.xml><?xml version="1.0" encoding="utf-8"?>
<worksheet xmlns="http://schemas.openxmlformats.org/spreadsheetml/2006/main">
  <sheetPr>
    <outlinePr summaryBelow="1" summaryRight="1"/>
    <pageSetUpPr/>
  </sheetPr>
  <dimension ref="A1:L36"/>
  <sheetViews>
    <sheetView zoomScale="75"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5" t="n">
        <v>16290000</v>
      </c>
      <c r="D2" s="48" t="n">
        <v>16090000</v>
      </c>
      <c r="E2" s="40" t="n">
        <v>15990000</v>
      </c>
      <c r="F2" s="40" t="n">
        <v>15590000</v>
      </c>
      <c r="G2" s="40" t="n">
        <v>15990000</v>
      </c>
    </row>
    <row r="3">
      <c r="A3" t="inlineStr">
        <is>
          <t>iPhone 16  128GB</t>
        </is>
      </c>
      <c r="B3" s="25" t="n"/>
      <c r="C3" s="54" t="n">
        <v>19090000</v>
      </c>
      <c r="D3" s="43" t="n">
        <v>18990000</v>
      </c>
      <c r="E3" s="40" t="n">
        <v>18490000</v>
      </c>
      <c r="F3" s="40" t="n">
        <v>18590000</v>
      </c>
      <c r="G3" s="40" t="n">
        <v>18590000</v>
      </c>
    </row>
    <row r="4">
      <c r="A4" t="inlineStr">
        <is>
          <t>iPhone 16  Plus 128GB</t>
        </is>
      </c>
      <c r="B4" s="3" t="n"/>
      <c r="C4" s="53" t="n">
        <v>22190000</v>
      </c>
      <c r="D4" s="43" t="n">
        <v>21990000</v>
      </c>
      <c r="E4" s="40" t="n">
        <v>21690000</v>
      </c>
      <c r="F4" s="40" t="n">
        <v>21890000</v>
      </c>
      <c r="G4" s="38" t="n">
        <v>21690000</v>
      </c>
      <c r="H4" t="n">
        <v>-200</v>
      </c>
    </row>
    <row r="5">
      <c r="A5" t="inlineStr">
        <is>
          <t>iPhone 16 Pro  128GB</t>
        </is>
      </c>
      <c r="B5" s="25" t="n"/>
      <c r="C5" s="53" t="n">
        <v>25090000</v>
      </c>
      <c r="D5" s="43" t="n">
        <v>25090000</v>
      </c>
      <c r="E5" s="40" t="n">
        <v>24290000</v>
      </c>
      <c r="F5" s="38" t="n">
        <v>24890000</v>
      </c>
      <c r="G5" s="40" t="n">
        <v>24450000</v>
      </c>
    </row>
    <row r="6">
      <c r="A6" t="inlineStr">
        <is>
          <t>iPhone 16 Pro Max 256GB</t>
        </is>
      </c>
      <c r="B6" s="3" t="n"/>
      <c r="C6" s="53" t="n">
        <v>30090000</v>
      </c>
      <c r="D6" s="43" t="n">
        <v>30090000</v>
      </c>
      <c r="E6" s="40" t="n">
        <v>29690000</v>
      </c>
      <c r="F6" s="38" t="n">
        <v>29690000</v>
      </c>
      <c r="G6" s="38" t="n">
        <v>29490000</v>
      </c>
      <c r="H6" t="n">
        <v>-200</v>
      </c>
    </row>
    <row r="7">
      <c r="A7" t="inlineStr">
        <is>
          <t>iPhone 15  128GB</t>
        </is>
      </c>
      <c r="B7" s="25" t="n"/>
      <c r="C7" s="54" t="n">
        <v>15290000</v>
      </c>
      <c r="D7" s="42" t="n">
        <v>15290000</v>
      </c>
      <c r="E7" s="40" t="n">
        <v>15490000</v>
      </c>
      <c r="F7" s="38" t="n">
        <v>15190000</v>
      </c>
      <c r="G7" s="38" t="n">
        <v>15090000</v>
      </c>
      <c r="H7" t="n">
        <v>-200</v>
      </c>
    </row>
    <row r="8">
      <c r="A8" t="inlineStr">
        <is>
          <t>iPhone 15  Plus 128GB</t>
        </is>
      </c>
      <c r="B8" s="25" t="n"/>
      <c r="C8" s="54" t="n">
        <v>19290000</v>
      </c>
      <c r="D8" s="43" t="n">
        <v>19090000</v>
      </c>
      <c r="E8" s="40" t="n">
        <v>18990000</v>
      </c>
      <c r="F8" s="38" t="n">
        <v>18990000</v>
      </c>
      <c r="G8" s="38" t="n">
        <v>18690000</v>
      </c>
      <c r="H8" t="n">
        <v>-200</v>
      </c>
    </row>
    <row r="9">
      <c r="A9" t="inlineStr">
        <is>
          <t>iPhone 15 Pro Max 256GB</t>
        </is>
      </c>
      <c r="B9" s="3" t="n"/>
      <c r="C9" s="53" t="n">
        <v>29390000</v>
      </c>
      <c r="D9" s="25" t="n">
        <v>28490000</v>
      </c>
      <c r="E9" s="40" t="inlineStr">
        <is>
          <t>OOS</t>
        </is>
      </c>
      <c r="F9" s="40" t="n">
        <v>28650000</v>
      </c>
      <c r="G9" s="40" t="n">
        <v>27890000</v>
      </c>
    </row>
    <row r="10">
      <c r="A10" t="inlineStr">
        <is>
          <t>iPhone 14 Plus 128GB</t>
        </is>
      </c>
      <c r="B10" s="3" t="n"/>
      <c r="C10" s="52" t="inlineStr">
        <is>
          <t>OOS</t>
        </is>
      </c>
      <c r="D10" s="25" t="inlineStr">
        <is>
          <t>OOS</t>
        </is>
      </c>
      <c r="E10" s="40" t="n">
        <v>16990000</v>
      </c>
      <c r="F10" s="43" t="inlineStr">
        <is>
          <t>OOS</t>
        </is>
      </c>
      <c r="G10" s="40" t="n">
        <v>17490000</v>
      </c>
    </row>
    <row r="11">
      <c r="A11" t="inlineStr">
        <is>
          <t>iPhone 14 128GB</t>
        </is>
      </c>
      <c r="B11" s="25" t="n"/>
      <c r="C11" s="54" t="n">
        <v>12690000</v>
      </c>
      <c r="D11" s="38" t="n">
        <v>12690000</v>
      </c>
      <c r="E11" s="40" t="n">
        <v>12690000</v>
      </c>
      <c r="F11" s="39" t="n">
        <v>12490000</v>
      </c>
      <c r="G11" s="38" t="n">
        <v>12390000</v>
      </c>
      <c r="H11" t="n">
        <v>-100</v>
      </c>
    </row>
    <row r="12">
      <c r="A12" t="inlineStr">
        <is>
          <t>iPhone 13  128GB</t>
        </is>
      </c>
      <c r="B12" s="3" t="n"/>
      <c r="C12" s="53" t="n">
        <v>11690000</v>
      </c>
      <c r="D12" s="34" t="n">
        <v>11490000</v>
      </c>
      <c r="E12" s="40" t="n">
        <v>11390000</v>
      </c>
      <c r="F12" s="39" t="n">
        <v>11390000</v>
      </c>
      <c r="G12" s="38" t="n">
        <v>11390000</v>
      </c>
      <c r="H12" t="n">
        <v>-100</v>
      </c>
    </row>
    <row r="13">
      <c r="A13" t="inlineStr">
        <is>
          <t>iPad Mini 7 128GB Wifi</t>
        </is>
      </c>
      <c r="B13" s="25" t="n"/>
      <c r="C13" s="53" t="n">
        <v>11790000</v>
      </c>
      <c r="D13" s="25" t="n">
        <v>11790000</v>
      </c>
      <c r="E13" s="3" t="n">
        <v>11672000</v>
      </c>
      <c r="F13" s="39" t="n">
        <v>11790000</v>
      </c>
      <c r="G13" s="40" t="n">
        <v>11490000</v>
      </c>
    </row>
    <row r="14">
      <c r="A14" t="inlineStr">
        <is>
          <t>iPad Gen 11th  128GB Wifi</t>
        </is>
      </c>
      <c r="B14" s="3" t="n"/>
      <c r="C14" s="53" t="n">
        <v>8980000</v>
      </c>
      <c r="D14" s="42" t="n">
        <v>8990000</v>
      </c>
      <c r="E14" s="3" t="n">
        <v>8603000</v>
      </c>
      <c r="F14" s="34" t="n">
        <v>8790000</v>
      </c>
      <c r="G14" s="34" t="n">
        <v>8450000</v>
      </c>
      <c r="H14" t="n">
        <v>-250</v>
      </c>
      <c r="J14" t="inlineStr">
        <is>
          <t xml:space="preserve">MW </t>
        </is>
      </c>
      <c r="K14" t="inlineStr">
        <is>
          <t>Duy</t>
        </is>
      </c>
      <c r="L14" t="b">
        <v>1</v>
      </c>
    </row>
    <row r="15">
      <c r="A15" t="inlineStr">
        <is>
          <t>iPad Air M3  11" 128 GB Wifi</t>
        </is>
      </c>
      <c r="B15" s="3" t="n"/>
      <c r="C15" s="53" t="n">
        <v>15090000</v>
      </c>
      <c r="D15" s="43" t="n">
        <v>15090000</v>
      </c>
      <c r="E15" s="3" t="n">
        <v>14246000</v>
      </c>
      <c r="F15" s="39" t="n">
        <v>14790000</v>
      </c>
      <c r="G15" s="3" t="n">
        <v>14590000</v>
      </c>
      <c r="H15" t="n">
        <v>-200</v>
      </c>
      <c r="J15" t="inlineStr">
        <is>
          <t>FPT</t>
        </is>
      </c>
      <c r="K15" t="inlineStr">
        <is>
          <t>Việt</t>
        </is>
      </c>
      <c r="L15" t="b">
        <v>1</v>
      </c>
    </row>
    <row r="16">
      <c r="A16" t="inlineStr">
        <is>
          <t>iPad Air M3  13" 128 GB Wifi</t>
        </is>
      </c>
      <c r="B16" s="25" t="n"/>
      <c r="C16" s="54" t="n">
        <v>20890000</v>
      </c>
      <c r="D16" s="43" t="n">
        <v>21290000</v>
      </c>
      <c r="E16" s="25" t="n">
        <v>21290000</v>
      </c>
      <c r="F16" s="34" t="n">
        <v>20790000</v>
      </c>
      <c r="G16" s="34" t="n">
        <v>20590000</v>
      </c>
      <c r="H16" t="n">
        <v>-1200</v>
      </c>
      <c r="J16" t="inlineStr">
        <is>
          <t>Viettel</t>
        </is>
      </c>
      <c r="K16" t="inlineStr">
        <is>
          <t>Nghĩa</t>
        </is>
      </c>
      <c r="L16" t="b">
        <v>1</v>
      </c>
    </row>
    <row r="17">
      <c r="A17" t="inlineStr">
        <is>
          <t>iPad Pro  M4  11" 256 GB Wifi</t>
        </is>
      </c>
      <c r="B17" s="25" t="n"/>
      <c r="C17" s="54" t="n">
        <v>26940000</v>
      </c>
      <c r="D17" s="42" t="n">
        <v>26490000</v>
      </c>
      <c r="E17" s="25" t="n">
        <v>26990000</v>
      </c>
      <c r="F17" s="34" t="n">
        <v>25990000</v>
      </c>
      <c r="G17" s="4" t="n">
        <v>26690000</v>
      </c>
      <c r="J17" t="inlineStr">
        <is>
          <t>CPS</t>
        </is>
      </c>
      <c r="K17" t="inlineStr">
        <is>
          <t>Trang</t>
        </is>
      </c>
      <c r="L17" t="b">
        <v>1</v>
      </c>
    </row>
    <row r="18">
      <c r="A18" t="inlineStr">
        <is>
          <t>iPad Pro  M4  13" 256 GB Wifi</t>
        </is>
      </c>
      <c r="B18" s="3" t="n"/>
      <c r="C18" s="53" t="n">
        <v>33990000</v>
      </c>
      <c r="D18" s="43" t="n">
        <v>33990000</v>
      </c>
      <c r="E18" s="25" t="n">
        <v>35990000</v>
      </c>
      <c r="F18" s="34" t="n">
        <v>33990000</v>
      </c>
      <c r="G18" s="34" t="n">
        <v>34990000</v>
      </c>
      <c r="H18" t="n">
        <v>-2000</v>
      </c>
      <c r="J18" t="inlineStr">
        <is>
          <t>ShopDunk</t>
        </is>
      </c>
      <c r="K18" t="inlineStr">
        <is>
          <t>Đạt</t>
        </is>
      </c>
      <c r="L18" t="b">
        <v>1</v>
      </c>
    </row>
    <row r="19">
      <c r="A19" t="inlineStr">
        <is>
          <t>AW SE 2 (40mm GPS)</t>
        </is>
      </c>
      <c r="B19" s="25" t="n"/>
      <c r="C19" s="53" t="n">
        <v>5190000</v>
      </c>
      <c r="D19" s="42" t="n">
        <v>4990000</v>
      </c>
      <c r="E19" s="25" t="n">
        <v>4940000</v>
      </c>
      <c r="F19" s="34" t="n">
        <v>4990000</v>
      </c>
      <c r="G19" s="4" t="n">
        <v>5090000</v>
      </c>
    </row>
    <row r="20">
      <c r="A20" t="inlineStr">
        <is>
          <t>AW SE 2 (40mm LTE)</t>
        </is>
      </c>
      <c r="B20" s="25" t="n"/>
      <c r="C20" s="53" t="n">
        <v>6990000</v>
      </c>
      <c r="D20" s="43" t="n">
        <v>6990000</v>
      </c>
      <c r="E20" s="25" t="n">
        <v>6920000</v>
      </c>
      <c r="F20" s="39" t="n">
        <v>6690000</v>
      </c>
      <c r="G20" s="4" t="n">
        <v>6590000</v>
      </c>
    </row>
    <row r="21">
      <c r="A21" t="inlineStr">
        <is>
          <t>AW SE 2 (44mm GPS)</t>
        </is>
      </c>
      <c r="B21" s="25" t="n"/>
      <c r="C21" s="53" t="n">
        <v>5790000</v>
      </c>
      <c r="D21" s="43" t="n">
        <v>5790000</v>
      </c>
      <c r="E21" s="3" t="n">
        <v>5435000</v>
      </c>
      <c r="F21" s="39" t="n">
        <v>5790000</v>
      </c>
      <c r="G21" s="4" t="n">
        <v>5950000</v>
      </c>
    </row>
    <row r="22">
      <c r="A22" t="inlineStr">
        <is>
          <t>AW SE 2 (44mm LTE)</t>
        </is>
      </c>
      <c r="B22" s="25" t="n"/>
      <c r="C22" s="52" t="inlineStr">
        <is>
          <t>OOS</t>
        </is>
      </c>
      <c r="D22" s="43" t="n">
        <v>7790000</v>
      </c>
      <c r="E22" s="25" t="n">
        <v>7712000</v>
      </c>
      <c r="F22" s="39" t="n">
        <v>7790000</v>
      </c>
      <c r="G22" s="4" t="n">
        <v>7690000</v>
      </c>
    </row>
    <row r="23">
      <c r="A23" t="inlineStr">
        <is>
          <t>AW S10 (42mm GPS)</t>
        </is>
      </c>
      <c r="B23" s="25" t="n"/>
      <c r="C23" s="54" t="n">
        <v>8390000</v>
      </c>
      <c r="D23" s="43" t="n">
        <v>8390000</v>
      </c>
      <c r="E23" s="25" t="n">
        <v>8207000</v>
      </c>
      <c r="F23" s="34" t="n">
        <v>8390000</v>
      </c>
      <c r="G23" s="4" t="n">
        <v>8350000</v>
      </c>
    </row>
    <row r="24">
      <c r="A24" t="inlineStr">
        <is>
          <t>AW S10 (42mm CEL)</t>
        </is>
      </c>
      <c r="B24" s="25" t="n"/>
      <c r="C24" s="53" t="n">
        <v>12790000</v>
      </c>
      <c r="D24" s="43" t="n">
        <v>12790000</v>
      </c>
      <c r="E24" s="3" t="n">
        <v>12464000</v>
      </c>
      <c r="F24" s="39" t="n">
        <v>13190000</v>
      </c>
      <c r="G24" s="4" t="n">
        <v>12890000</v>
      </c>
    </row>
    <row r="25">
      <c r="A25" t="inlineStr">
        <is>
          <t>AW S10 (46mm GPS)</t>
        </is>
      </c>
      <c r="B25" s="25" t="n"/>
      <c r="C25" s="53" t="n">
        <v>9190000</v>
      </c>
      <c r="D25" s="43" t="n">
        <v>9190000</v>
      </c>
      <c r="E25" s="25" t="n">
        <v>8900000</v>
      </c>
      <c r="F25" s="34" t="n">
        <v>9190000</v>
      </c>
      <c r="G25" s="4" t="n">
        <v>8890000</v>
      </c>
      <c r="I25" s="26" t="n"/>
    </row>
    <row r="26">
      <c r="A26" t="inlineStr">
        <is>
          <t>AW S10 (46mm CEL)</t>
        </is>
      </c>
      <c r="B26" s="3" t="n"/>
      <c r="C26" s="54" t="n">
        <v>13890000</v>
      </c>
      <c r="D26" s="3" t="n">
        <v>13990000</v>
      </c>
      <c r="E26" s="25" t="n">
        <v>13553000</v>
      </c>
      <c r="F26" s="39" t="n">
        <v>13890000</v>
      </c>
      <c r="G26" s="4" t="n">
        <v>13590000</v>
      </c>
    </row>
    <row r="27">
      <c r="A27" t="inlineStr">
        <is>
          <t>AW Ultra 2 (49mm)</t>
        </is>
      </c>
      <c r="B27" s="25" t="n"/>
      <c r="C27" s="53" t="n">
        <v>21890000</v>
      </c>
      <c r="D27" s="43" t="n">
        <v>21890000</v>
      </c>
      <c r="E27" s="25" t="n">
        <v>21790000</v>
      </c>
      <c r="F27" s="38" t="n">
        <v>21790000</v>
      </c>
      <c r="G27" s="4" t="n">
        <v>22990000</v>
      </c>
    </row>
    <row r="28">
      <c r="A28" t="inlineStr">
        <is>
          <t>AirPods Pro 2 - 2023 (C-Type)</t>
        </is>
      </c>
      <c r="B28" s="3" t="n"/>
      <c r="C28" s="53" t="n">
        <v>5390000</v>
      </c>
      <c r="D28" s="39" t="n">
        <v>5350000</v>
      </c>
      <c r="E28" s="25" t="n">
        <v>5138000</v>
      </c>
      <c r="F28" s="40" t="n">
        <v>5290000</v>
      </c>
      <c r="G28" s="4" t="n">
        <v>5390000</v>
      </c>
    </row>
    <row r="29">
      <c r="A29" t="inlineStr">
        <is>
          <t>AirPods 4 ANC</t>
        </is>
      </c>
      <c r="B29" s="3" t="n"/>
      <c r="C29" s="53" t="n">
        <v>4490000</v>
      </c>
      <c r="D29" s="40" t="n">
        <v>4450000</v>
      </c>
      <c r="E29" s="25" t="n">
        <v>4247000</v>
      </c>
      <c r="F29" s="40" t="n">
        <v>4490000</v>
      </c>
      <c r="G29" s="4" t="n">
        <v>4490000</v>
      </c>
    </row>
    <row r="30">
      <c r="A30" t="inlineStr">
        <is>
          <t>AirPods 4 with charging case</t>
        </is>
      </c>
      <c r="B30" s="3" t="n"/>
      <c r="C30" s="54" t="n">
        <v>3190000</v>
      </c>
      <c r="D30" s="40" t="n">
        <v>3090000</v>
      </c>
      <c r="E30" s="3" t="n">
        <v>2890000</v>
      </c>
      <c r="F30" s="38" t="n">
        <v>3090000</v>
      </c>
      <c r="G30" s="34" t="n">
        <v>3090000</v>
      </c>
      <c r="H30" t="n">
        <v>-100</v>
      </c>
    </row>
    <row r="31">
      <c r="A31" t="inlineStr">
        <is>
          <t>MacBook Air 13" M1 8/256Gb</t>
        </is>
      </c>
      <c r="B31" s="3" t="n"/>
      <c r="C31" s="53" t="n">
        <v>16990000</v>
      </c>
      <c r="D31" s="39" t="n">
        <v>16990000</v>
      </c>
      <c r="E31" s="37" t="n"/>
      <c r="F31" s="39" t="n">
        <v>17190000</v>
      </c>
      <c r="G31" s="4" t="n">
        <v>16890000</v>
      </c>
    </row>
    <row r="32">
      <c r="A32" t="inlineStr">
        <is>
          <t>MacBook Air 13" M2 16/256GB</t>
        </is>
      </c>
      <c r="B32" s="25" t="n"/>
      <c r="C32" s="53" t="n">
        <v>19890000</v>
      </c>
      <c r="D32" s="25" t="n">
        <v>19890000</v>
      </c>
      <c r="E32" s="37" t="n"/>
      <c r="F32" s="34" t="n">
        <v>19890000</v>
      </c>
      <c r="G32" s="34" t="n">
        <v>19590000</v>
      </c>
      <c r="H32" t="n">
        <v>-200</v>
      </c>
    </row>
    <row r="33">
      <c r="A33" t="inlineStr">
        <is>
          <t>MacBook Air 13" M3 16/256GB</t>
        </is>
      </c>
      <c r="B33" s="3" t="n"/>
      <c r="C33" s="52" t="inlineStr">
        <is>
          <t>OOS</t>
        </is>
      </c>
      <c r="D33" s="39" t="n">
        <v>23990000</v>
      </c>
      <c r="E33" s="37" t="n"/>
      <c r="F33" s="39" t="n">
        <v>24790000</v>
      </c>
      <c r="G33" s="4" t="n">
        <v>25290000</v>
      </c>
    </row>
    <row r="34">
      <c r="A34" t="inlineStr">
        <is>
          <t>MacBook Air 13" M4 16/256GB</t>
        </is>
      </c>
      <c r="B34" s="3" t="n"/>
      <c r="C34" s="54" t="n">
        <v>25590000</v>
      </c>
      <c r="D34" s="38" t="n">
        <v>24990000</v>
      </c>
      <c r="E34" s="37" t="n"/>
      <c r="F34" s="39" t="n">
        <v>24990000</v>
      </c>
      <c r="G34" s="34" t="n">
        <v>24890000</v>
      </c>
      <c r="H34" t="n">
        <v>-100</v>
      </c>
    </row>
    <row r="35">
      <c r="A35" t="inlineStr">
        <is>
          <t>MacBook Air 15" M4 16/256GB</t>
        </is>
      </c>
      <c r="B35" s="25" t="n"/>
      <c r="C35" s="53" t="n">
        <v>29990000</v>
      </c>
      <c r="D35" s="43" t="n">
        <v>29990000</v>
      </c>
      <c r="E35" s="37" t="n"/>
      <c r="F35" s="39" t="n">
        <v>29490000</v>
      </c>
      <c r="G35" s="34" t="n">
        <v>29290000</v>
      </c>
      <c r="H35" t="n">
        <v>-200</v>
      </c>
    </row>
    <row r="36">
      <c r="A36" t="inlineStr">
        <is>
          <t>MacBook Pro 14" M4 16/512GB</t>
        </is>
      </c>
      <c r="B36" s="25" t="n"/>
      <c r="C36" s="54" t="n">
        <v>38790000</v>
      </c>
      <c r="D36" s="42" t="n">
        <v>38490000</v>
      </c>
      <c r="E36" s="37" t="n"/>
      <c r="F36" s="38" t="n">
        <v>38890000</v>
      </c>
      <c r="G36" s="4" t="n">
        <v>38590000</v>
      </c>
    </row>
  </sheetData>
  <pageMargins left="0.7" right="0.7" top="0.75" bottom="0.75" header="0.3" footer="0.3"/>
  <pageSetup orientation="portrait" paperSize="9" horizontalDpi="0" verticalDpi="0"/>
  <legacyDrawing xmlns:r="http://schemas.openxmlformats.org/officeDocument/2006/relationships" r:id="anysvml"/>
</worksheet>
</file>

<file path=xl/worksheets/sheet67.xml><?xml version="1.0" encoding="utf-8"?>
<worksheet xmlns="http://schemas.openxmlformats.org/spreadsheetml/2006/main">
  <sheetPr>
    <outlinePr summaryBelow="1" summaryRight="1"/>
    <pageSetUpPr/>
  </sheetPr>
  <dimension ref="A1:L150"/>
  <sheetViews>
    <sheetView zoomScale="117" zoomScaleNormal="130" workbookViewId="0">
      <pane xSplit="2" ySplit="1" topLeftCell="C6"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8.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1" t="n">
        <v>16290000</v>
      </c>
      <c r="D2" s="56" t="n">
        <v>15790000</v>
      </c>
      <c r="E2" s="40" t="n">
        <v>15990000</v>
      </c>
      <c r="F2" s="38" t="n">
        <v>15790000</v>
      </c>
      <c r="G2" s="40" t="n">
        <v>15990000</v>
      </c>
    </row>
    <row r="3">
      <c r="A3" t="inlineStr">
        <is>
          <t>iPhone 16  128GB</t>
        </is>
      </c>
      <c r="B3" s="25" t="n"/>
      <c r="C3" s="53" t="n">
        <v>19090000</v>
      </c>
      <c r="D3" s="57" t="n">
        <v>18890000</v>
      </c>
      <c r="E3" s="40" t="n">
        <v>18490000</v>
      </c>
      <c r="F3" s="38" t="n">
        <v>18890000</v>
      </c>
      <c r="G3" s="40" t="n">
        <v>18590000</v>
      </c>
    </row>
    <row r="4">
      <c r="A4" t="inlineStr">
        <is>
          <t>iPhone 16  Plus 128GB</t>
        </is>
      </c>
      <c r="B4" s="3" t="n"/>
      <c r="C4" s="53" t="n">
        <v>22190000</v>
      </c>
      <c r="D4" s="59" t="n">
        <v>21990000</v>
      </c>
      <c r="E4" s="40" t="n">
        <v>21690000</v>
      </c>
      <c r="F4" s="40" t="n">
        <v>21890000</v>
      </c>
      <c r="G4" s="40" t="n">
        <v>21690000</v>
      </c>
    </row>
    <row r="5">
      <c r="A5" t="inlineStr">
        <is>
          <t>iPhone 16 Pro  128GB</t>
        </is>
      </c>
      <c r="B5" s="25" t="n"/>
      <c r="C5" s="53" t="n">
        <v>25090000</v>
      </c>
      <c r="D5" s="59" t="n">
        <v>25090000</v>
      </c>
      <c r="E5" s="40" t="n">
        <v>24290000</v>
      </c>
      <c r="F5" s="38" t="n">
        <v>25090000</v>
      </c>
      <c r="G5" s="40" t="n">
        <v>24450000</v>
      </c>
    </row>
    <row r="6">
      <c r="A6" t="inlineStr">
        <is>
          <t>iPhone 16 Pro Max 256GB</t>
        </is>
      </c>
      <c r="B6" s="3" t="n"/>
      <c r="C6" s="53" t="n">
        <v>30090000</v>
      </c>
      <c r="D6" s="57" t="n">
        <v>29990000</v>
      </c>
      <c r="E6" s="40" t="n">
        <v>29690000</v>
      </c>
      <c r="F6" s="38" t="n">
        <v>29990000</v>
      </c>
      <c r="G6" s="40" t="n">
        <v>29490000</v>
      </c>
    </row>
    <row r="7">
      <c r="A7" t="inlineStr">
        <is>
          <t>iPhone 15  128GB</t>
        </is>
      </c>
      <c r="B7" s="25" t="n"/>
      <c r="C7" s="54" t="n">
        <v>15390000</v>
      </c>
      <c r="D7" s="59" t="n">
        <v>15290000</v>
      </c>
      <c r="E7" s="3" t="n">
        <v>15190000</v>
      </c>
      <c r="F7" s="38" t="n">
        <v>15390000</v>
      </c>
      <c r="G7" s="40" t="n">
        <v>15090000</v>
      </c>
    </row>
    <row r="8">
      <c r="A8" t="inlineStr">
        <is>
          <t>iPhone 15  Plus 128GB</t>
        </is>
      </c>
      <c r="B8" s="25" t="n"/>
      <c r="C8" s="53" t="n">
        <v>19290000</v>
      </c>
      <c r="D8" s="57" t="n">
        <v>18990000</v>
      </c>
      <c r="E8" s="3" t="n">
        <v>18790000</v>
      </c>
      <c r="F8" s="40" t="n">
        <v>18990000</v>
      </c>
      <c r="G8" s="40" t="n">
        <v>18690000</v>
      </c>
    </row>
    <row r="9">
      <c r="A9" t="inlineStr">
        <is>
          <t>iPhone 15 Pro Max 256GB</t>
        </is>
      </c>
      <c r="B9" s="3" t="n"/>
      <c r="C9" s="54" t="n">
        <v>27690000</v>
      </c>
      <c r="D9" s="59" t="n">
        <v>28490000</v>
      </c>
      <c r="E9" s="40" t="inlineStr">
        <is>
          <t>OOS</t>
        </is>
      </c>
      <c r="F9" s="38" t="n">
        <v>27690000</v>
      </c>
      <c r="G9" s="38" t="n">
        <v>27690000</v>
      </c>
    </row>
    <row r="10">
      <c r="A10" t="inlineStr">
        <is>
          <t>iPhone 14 Plus 128GB</t>
        </is>
      </c>
      <c r="B10" s="3" t="n"/>
      <c r="C10" s="52" t="inlineStr">
        <is>
          <t>OOS</t>
        </is>
      </c>
      <c r="D10" s="58" t="inlineStr">
        <is>
          <t>OOS</t>
        </is>
      </c>
      <c r="E10" s="43" t="inlineStr">
        <is>
          <t>OOS</t>
        </is>
      </c>
      <c r="F10" s="43" t="inlineStr">
        <is>
          <t>OOS</t>
        </is>
      </c>
      <c r="G10" s="40" t="n">
        <v>17490000</v>
      </c>
    </row>
    <row r="11">
      <c r="A11" t="inlineStr">
        <is>
          <t>iPhone 14 128GB</t>
        </is>
      </c>
      <c r="B11" s="25" t="n"/>
      <c r="C11" s="53" t="n">
        <v>12690000</v>
      </c>
      <c r="D11" s="59" t="n">
        <v>12690000</v>
      </c>
      <c r="E11" s="40" t="n">
        <v>12690000</v>
      </c>
      <c r="F11" s="34" t="n">
        <v>12590000</v>
      </c>
      <c r="G11" s="40" t="n">
        <v>12390000</v>
      </c>
    </row>
    <row r="12">
      <c r="A12" t="inlineStr">
        <is>
          <t>iPhone 13  128GB</t>
        </is>
      </c>
      <c r="B12" s="3" t="n"/>
      <c r="C12" s="53" t="n">
        <v>11690000</v>
      </c>
      <c r="D12" s="57" t="n">
        <v>11190000</v>
      </c>
      <c r="E12" s="40" t="n">
        <v>11390000</v>
      </c>
      <c r="F12" s="34" t="n">
        <v>11190000</v>
      </c>
      <c r="G12" s="40" t="n">
        <v>11390000</v>
      </c>
    </row>
    <row r="13">
      <c r="A13" t="inlineStr">
        <is>
          <t>iPad Mini 7 128GB Wifi</t>
        </is>
      </c>
      <c r="B13" s="25" t="n"/>
      <c r="C13" s="53" t="n">
        <v>11790000</v>
      </c>
      <c r="D13" s="59" t="n">
        <v>11790000</v>
      </c>
      <c r="E13" s="40" t="n">
        <v>11672000</v>
      </c>
      <c r="F13" s="39" t="n">
        <v>11790000</v>
      </c>
      <c r="G13" s="40" t="n">
        <v>11490000</v>
      </c>
    </row>
    <row r="14">
      <c r="A14" t="inlineStr">
        <is>
          <t>iPad Gen 11th  128GB Wifi</t>
        </is>
      </c>
      <c r="B14" s="3" t="n"/>
      <c r="C14" s="54" t="n">
        <v>8890000</v>
      </c>
      <c r="D14" s="57" t="n">
        <v>8690000</v>
      </c>
      <c r="E14" s="3" t="n">
        <v>8801000</v>
      </c>
      <c r="F14" s="34" t="n">
        <v>8690000</v>
      </c>
      <c r="G14" s="40" t="n">
        <v>8450000</v>
      </c>
      <c r="J14" t="inlineStr">
        <is>
          <t xml:space="preserve">MW </t>
        </is>
      </c>
      <c r="K14" t="inlineStr">
        <is>
          <t>Duy</t>
        </is>
      </c>
      <c r="L14" t="b">
        <v>1</v>
      </c>
    </row>
    <row r="15">
      <c r="A15" t="inlineStr">
        <is>
          <t>iPad Air M3  11" 128 GB Wifi</t>
        </is>
      </c>
      <c r="B15" s="3" t="n"/>
      <c r="C15" s="54" t="n">
        <v>14790000</v>
      </c>
      <c r="D15" s="57" t="n">
        <v>14790000</v>
      </c>
      <c r="E15" s="3" t="n">
        <v>14543000</v>
      </c>
      <c r="F15" s="39" t="n">
        <v>14790000</v>
      </c>
      <c r="G15" s="40" t="n">
        <v>14590000</v>
      </c>
      <c r="J15" t="inlineStr">
        <is>
          <t>FPT</t>
        </is>
      </c>
      <c r="K15" t="inlineStr">
        <is>
          <t>Việt</t>
        </is>
      </c>
      <c r="L15" t="b">
        <v>1</v>
      </c>
    </row>
    <row r="16">
      <c r="A16" t="inlineStr">
        <is>
          <t>iPad Air M3  13" 128 GB Wifi</t>
        </is>
      </c>
      <c r="B16" s="25" t="n"/>
      <c r="C16" s="53" t="n">
        <v>20890000</v>
      </c>
      <c r="D16" s="57" t="n">
        <v>20990000</v>
      </c>
      <c r="E16" s="3" t="n">
        <v>20490000</v>
      </c>
      <c r="F16" s="34" t="n">
        <v>20590000</v>
      </c>
      <c r="G16" s="40" t="n">
        <v>20590000</v>
      </c>
      <c r="J16" t="inlineStr">
        <is>
          <t>Viettel</t>
        </is>
      </c>
      <c r="K16" t="inlineStr">
        <is>
          <t>Nghĩa</t>
        </is>
      </c>
      <c r="L16" t="b">
        <v>1</v>
      </c>
    </row>
    <row r="17">
      <c r="A17" t="inlineStr">
        <is>
          <t>iPad Pro  M4  11" 256 GB Wifi</t>
        </is>
      </c>
      <c r="B17" s="25" t="n"/>
      <c r="C17" s="54" t="n">
        <v>25990000</v>
      </c>
      <c r="D17" s="57" t="n">
        <v>26390000</v>
      </c>
      <c r="E17" s="3" t="n">
        <v>26490000</v>
      </c>
      <c r="F17" s="39" t="n">
        <v>25990000</v>
      </c>
      <c r="G17" s="34" t="n">
        <v>25890000</v>
      </c>
      <c r="J17" t="inlineStr">
        <is>
          <t>CPS</t>
        </is>
      </c>
      <c r="K17" t="inlineStr">
        <is>
          <t>Trang</t>
        </is>
      </c>
      <c r="L17" t="b">
        <v>1</v>
      </c>
    </row>
    <row r="18">
      <c r="A18" t="inlineStr">
        <is>
          <t>iPad Pro  M4  13" 256 GB Wifi</t>
        </is>
      </c>
      <c r="B18" s="3" t="n"/>
      <c r="C18" s="53" t="n">
        <v>33990000</v>
      </c>
      <c r="D18" s="59" t="n">
        <v>33990000</v>
      </c>
      <c r="E18" s="3" t="n">
        <v>35490000</v>
      </c>
      <c r="F18" s="39" t="n">
        <v>33990000</v>
      </c>
      <c r="G18" s="4" t="n">
        <v>34990000</v>
      </c>
      <c r="J18" t="inlineStr">
        <is>
          <t>ShopDunk</t>
        </is>
      </c>
      <c r="K18" t="inlineStr">
        <is>
          <t>Đạt</t>
        </is>
      </c>
      <c r="L18" t="b">
        <v>1</v>
      </c>
    </row>
    <row r="19">
      <c r="A19" t="inlineStr">
        <is>
          <t>AW SE 2 (40mm GPS)</t>
        </is>
      </c>
      <c r="B19" s="25" t="n"/>
      <c r="C19" s="54" t="n">
        <v>5890000</v>
      </c>
      <c r="D19" s="57" t="n">
        <v>5690000</v>
      </c>
      <c r="E19" s="3" t="n">
        <v>5732000</v>
      </c>
      <c r="F19" s="34" t="n">
        <v>5690000</v>
      </c>
      <c r="G19" s="4" t="n">
        <v>5090000</v>
      </c>
    </row>
    <row r="20">
      <c r="A20" t="inlineStr">
        <is>
          <t>AW SE 2 (40mm LTE)</t>
        </is>
      </c>
      <c r="B20" s="25" t="n"/>
      <c r="C20" s="53" t="n">
        <v>6990000</v>
      </c>
      <c r="D20" s="59" t="n">
        <v>6990000</v>
      </c>
      <c r="E20" s="25" t="n">
        <v>6920000</v>
      </c>
      <c r="F20" s="39" t="n">
        <v>6690000</v>
      </c>
      <c r="G20" s="4" t="n">
        <v>6590000</v>
      </c>
    </row>
    <row r="21">
      <c r="A21" t="inlineStr">
        <is>
          <t>AW SE 2 (44mm GPS)</t>
        </is>
      </c>
      <c r="B21" s="25" t="n"/>
      <c r="C21" s="54" t="n">
        <v>6490000</v>
      </c>
      <c r="D21" s="57" t="n">
        <v>6490000</v>
      </c>
      <c r="E21" s="3" t="n">
        <v>6128000</v>
      </c>
      <c r="F21" s="34" t="n">
        <v>6490000</v>
      </c>
      <c r="G21" s="34" t="n">
        <v>6490000</v>
      </c>
    </row>
    <row r="22">
      <c r="A22" t="inlineStr">
        <is>
          <t>AW SE 2 (44mm LTE)</t>
        </is>
      </c>
      <c r="B22" s="25" t="n"/>
      <c r="C22" s="52" t="inlineStr">
        <is>
          <t>OOS</t>
        </is>
      </c>
      <c r="D22" s="59" t="n">
        <v>7790000</v>
      </c>
      <c r="E22" s="25" t="n">
        <v>7712000</v>
      </c>
      <c r="F22" s="39" t="n">
        <v>7790000</v>
      </c>
      <c r="G22" s="4" t="n">
        <v>7690000</v>
      </c>
    </row>
    <row r="23">
      <c r="A23" t="inlineStr">
        <is>
          <t>AW S10 (42mm GPS)</t>
        </is>
      </c>
      <c r="B23" s="25" t="n"/>
      <c r="C23" s="54" t="n">
        <v>10590000</v>
      </c>
      <c r="D23" s="57" t="n">
        <v>10490000</v>
      </c>
      <c r="E23" s="3" t="n">
        <v>10187000</v>
      </c>
      <c r="F23" s="34" t="n">
        <v>10590000</v>
      </c>
      <c r="G23" s="34" t="n">
        <v>10490000</v>
      </c>
    </row>
    <row r="24">
      <c r="A24" t="inlineStr">
        <is>
          <t>AW S10 (42mm CEL)</t>
        </is>
      </c>
      <c r="B24" s="25" t="n"/>
      <c r="C24" s="53" t="n">
        <v>12790000</v>
      </c>
      <c r="D24" s="59" t="n">
        <v>12790000</v>
      </c>
      <c r="E24" s="3" t="n">
        <v>12860000</v>
      </c>
      <c r="F24" s="34" t="n">
        <v>12990000</v>
      </c>
      <c r="G24" s="4" t="n">
        <v>12890000</v>
      </c>
    </row>
    <row r="25">
      <c r="A25" t="inlineStr">
        <is>
          <t>AW S10 (46mm GPS)</t>
        </is>
      </c>
      <c r="B25" s="25" t="n"/>
      <c r="C25" s="54" t="n">
        <v>11390000</v>
      </c>
      <c r="D25" s="57" t="n">
        <v>11290000</v>
      </c>
      <c r="E25" s="3" t="n">
        <v>10880000</v>
      </c>
      <c r="F25" s="34" t="n">
        <v>11390000</v>
      </c>
      <c r="G25" s="34" t="n">
        <v>11290000</v>
      </c>
      <c r="I25" s="26" t="n"/>
    </row>
    <row r="26">
      <c r="A26" t="inlineStr">
        <is>
          <t>AW S10 (46mm CEL)</t>
        </is>
      </c>
      <c r="B26" s="3" t="n"/>
      <c r="C26" s="53" t="n">
        <v>13890000</v>
      </c>
      <c r="D26" s="57" t="n">
        <v>13690000</v>
      </c>
      <c r="E26" s="25" t="n">
        <v>13553000</v>
      </c>
      <c r="F26" s="39" t="n">
        <v>13890000</v>
      </c>
      <c r="G26" s="4" t="n">
        <v>13590000</v>
      </c>
    </row>
    <row r="27">
      <c r="A27" t="inlineStr">
        <is>
          <t>AW Ultra 2 (49mm)</t>
        </is>
      </c>
      <c r="B27" s="25" t="n"/>
      <c r="C27" s="53" t="n">
        <v>21890000</v>
      </c>
      <c r="D27" s="59" t="n">
        <v>21890000</v>
      </c>
      <c r="E27" s="25" t="n">
        <v>21790000</v>
      </c>
      <c r="F27" s="40" t="n">
        <v>21590000</v>
      </c>
      <c r="G27" s="4" t="n">
        <v>22990000</v>
      </c>
    </row>
    <row r="28">
      <c r="A28" t="inlineStr">
        <is>
          <t>AirPods Pro 2 - 2023 (C-Type)</t>
        </is>
      </c>
      <c r="B28" s="3" t="n"/>
      <c r="C28" s="54" t="n">
        <v>5590000</v>
      </c>
      <c r="D28" s="57" t="n">
        <v>5550000</v>
      </c>
      <c r="E28" s="3" t="n">
        <v>5534000</v>
      </c>
      <c r="F28" s="38" t="n">
        <v>5590000</v>
      </c>
      <c r="G28" s="34" t="n">
        <v>5590000</v>
      </c>
    </row>
    <row r="29">
      <c r="A29" t="inlineStr">
        <is>
          <t>AirPods 4 ANC</t>
        </is>
      </c>
      <c r="B29" s="3" t="n"/>
      <c r="C29" s="54" t="n">
        <v>4590000</v>
      </c>
      <c r="D29" s="59" t="n">
        <v>4450000</v>
      </c>
      <c r="E29" s="3" t="n">
        <v>4346000</v>
      </c>
      <c r="F29" s="40" t="n">
        <v>4490000</v>
      </c>
      <c r="G29" s="4" t="n">
        <v>4490000</v>
      </c>
    </row>
    <row r="30">
      <c r="A30" t="inlineStr">
        <is>
          <t>AirPods 4 with charging case</t>
        </is>
      </c>
      <c r="B30" s="3" t="n"/>
      <c r="C30" s="54" t="n">
        <v>3150000</v>
      </c>
      <c r="D30" s="57" t="n">
        <v>3190000</v>
      </c>
      <c r="E30" s="3" t="n">
        <v>3190000</v>
      </c>
      <c r="F30" s="38" t="n">
        <v>3190000</v>
      </c>
      <c r="G30" s="34" t="n">
        <v>3190000</v>
      </c>
    </row>
    <row r="31">
      <c r="A31" t="inlineStr">
        <is>
          <t>MacBook Air 13" M1 8/256Gb</t>
        </is>
      </c>
      <c r="B31" s="3" t="n"/>
      <c r="C31" s="53" t="n">
        <v>16990000</v>
      </c>
      <c r="D31" s="59" t="n">
        <v>16990000</v>
      </c>
      <c r="E31" s="37" t="n"/>
      <c r="F31" s="39" t="n">
        <v>17190000</v>
      </c>
      <c r="G31" s="4" t="n">
        <v>16890000</v>
      </c>
    </row>
    <row r="32">
      <c r="A32" t="inlineStr">
        <is>
          <t>MacBook Air 13" M2 16/256GB</t>
        </is>
      </c>
      <c r="B32" s="25" t="n"/>
      <c r="C32" s="53" t="n">
        <v>19890000</v>
      </c>
      <c r="D32" s="57" t="n">
        <v>19690000</v>
      </c>
      <c r="E32" s="37" t="n"/>
      <c r="F32" s="34" t="n">
        <v>19690000</v>
      </c>
      <c r="G32" s="4" t="n">
        <v>19490000</v>
      </c>
    </row>
    <row r="33">
      <c r="A33" t="inlineStr">
        <is>
          <t>MacBook Air 13" M3 16/256GB</t>
        </is>
      </c>
      <c r="B33" s="3" t="n"/>
      <c r="C33" s="52" t="inlineStr">
        <is>
          <t>OOS</t>
        </is>
      </c>
      <c r="D33" s="59" t="n">
        <v>23990000</v>
      </c>
      <c r="E33" s="37" t="n"/>
      <c r="F33" s="39" t="inlineStr">
        <is>
          <t>OOS</t>
        </is>
      </c>
      <c r="G33" s="4" t="n">
        <v>25290000</v>
      </c>
    </row>
    <row r="34">
      <c r="A34" t="inlineStr">
        <is>
          <t>MacBook Air 13" M4 16/256GB</t>
        </is>
      </c>
      <c r="B34" s="3" t="n"/>
      <c r="C34" s="54" t="n">
        <v>25190000</v>
      </c>
      <c r="D34" s="59" t="n">
        <v>24790000</v>
      </c>
      <c r="E34" s="37" t="n"/>
      <c r="F34" s="34" t="n">
        <v>24790000</v>
      </c>
      <c r="G34" s="34" t="n">
        <v>24690000</v>
      </c>
    </row>
    <row r="35">
      <c r="A35" t="inlineStr">
        <is>
          <t>MacBook Air 15" M4 16/256GB</t>
        </is>
      </c>
      <c r="B35" s="25" t="n"/>
      <c r="C35" s="54" t="n">
        <v>29790000</v>
      </c>
      <c r="D35" s="57" t="n">
        <v>29790000</v>
      </c>
      <c r="E35" s="37" t="n"/>
      <c r="F35" s="34" t="n">
        <v>30090000</v>
      </c>
      <c r="G35" s="4" t="n">
        <v>29290000</v>
      </c>
    </row>
    <row r="36">
      <c r="A36" t="inlineStr">
        <is>
          <t>MacBook Pro 14" M4 16/512GB</t>
        </is>
      </c>
      <c r="B36" s="25" t="n"/>
      <c r="C36" s="53" t="n">
        <v>38790000</v>
      </c>
      <c r="D36" s="57" t="n">
        <v>37990000</v>
      </c>
      <c r="E36" s="37" t="n"/>
      <c r="F36" s="38" t="n">
        <v>37990000</v>
      </c>
      <c r="G36" s="34" t="n">
        <v>38290000</v>
      </c>
    </row>
    <row r="37">
      <c r="C37" s="60" t="n"/>
      <c r="D37" s="60" t="n"/>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68.xml><?xml version="1.0" encoding="utf-8"?>
<worksheet xmlns="http://schemas.openxmlformats.org/spreadsheetml/2006/main">
  <sheetPr>
    <outlinePr summaryBelow="1" summaryRight="1"/>
    <pageSetUpPr/>
  </sheetPr>
  <dimension ref="A1:L150"/>
  <sheetViews>
    <sheetView zoomScale="118" zoomScaleNormal="15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1"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1" t="n">
        <v>16290000</v>
      </c>
      <c r="D2" s="61" t="n">
        <v>15990000</v>
      </c>
      <c r="E2" s="40" t="n">
        <v>15990000</v>
      </c>
      <c r="F2" s="38" t="n">
        <v>15590000</v>
      </c>
      <c r="G2" s="40" t="n">
        <v>15990000</v>
      </c>
    </row>
    <row r="3">
      <c r="A3" t="inlineStr">
        <is>
          <t>iPhone 16  128GB</t>
        </is>
      </c>
      <c r="B3" s="25" t="n"/>
      <c r="C3" s="53" t="n">
        <v>19090000</v>
      </c>
      <c r="D3" s="62" t="n">
        <v>18990000</v>
      </c>
      <c r="E3" s="40" t="n">
        <v>18490000</v>
      </c>
      <c r="F3" s="40" t="n">
        <v>18890000</v>
      </c>
      <c r="G3" s="40" t="n">
        <v>18590000</v>
      </c>
    </row>
    <row r="4">
      <c r="A4" t="inlineStr">
        <is>
          <t>iPhone 16  Plus 128GB</t>
        </is>
      </c>
      <c r="B4" s="3" t="n"/>
      <c r="C4" s="53" t="n">
        <v>22190000</v>
      </c>
      <c r="D4" s="64" t="n">
        <v>21990000</v>
      </c>
      <c r="E4" s="40" t="n">
        <v>21690000</v>
      </c>
      <c r="F4" s="40" t="n">
        <v>21890000</v>
      </c>
      <c r="G4" s="40" t="n">
        <v>21690000</v>
      </c>
    </row>
    <row r="5">
      <c r="A5" t="inlineStr">
        <is>
          <t>iPhone 16 Pro  128GB</t>
        </is>
      </c>
      <c r="B5" s="25" t="n"/>
      <c r="C5" s="53" t="n">
        <v>25090000</v>
      </c>
      <c r="D5" s="64" t="n">
        <v>25090000</v>
      </c>
      <c r="E5" s="40" t="n">
        <v>24290000</v>
      </c>
      <c r="F5" s="38" t="n">
        <v>24990000</v>
      </c>
      <c r="G5" s="40" t="n">
        <v>24450000</v>
      </c>
    </row>
    <row r="6">
      <c r="A6" t="inlineStr">
        <is>
          <t>iPhone 16 Pro Max 256GB</t>
        </is>
      </c>
      <c r="B6" s="3" t="n"/>
      <c r="C6" s="53" t="n">
        <v>30090000</v>
      </c>
      <c r="D6" s="64" t="n">
        <v>29990000</v>
      </c>
      <c r="E6" s="40" t="n">
        <v>29690000</v>
      </c>
      <c r="F6" s="38" t="n">
        <v>29690000</v>
      </c>
      <c r="G6" s="40" t="n">
        <v>29490000</v>
      </c>
    </row>
    <row r="7">
      <c r="A7" t="inlineStr">
        <is>
          <t>iPhone 15  128GB</t>
        </is>
      </c>
      <c r="B7" s="25" t="n"/>
      <c r="C7" s="54" t="n">
        <v>15590000</v>
      </c>
      <c r="D7" s="62" t="n">
        <v>15590000</v>
      </c>
      <c r="E7" s="25" t="n">
        <v>15190000</v>
      </c>
      <c r="F7" s="38" t="n">
        <v>15290000</v>
      </c>
      <c r="G7" s="40" t="n">
        <v>15090000</v>
      </c>
    </row>
    <row r="8">
      <c r="A8" t="inlineStr">
        <is>
          <t>iPhone 15  Plus 128GB</t>
        </is>
      </c>
      <c r="B8" s="25" t="n"/>
      <c r="C8" s="53" t="n">
        <v>19290000</v>
      </c>
      <c r="D8" s="62" t="n">
        <v>19190000</v>
      </c>
      <c r="E8" s="25" t="n">
        <v>18790000</v>
      </c>
      <c r="F8" s="38" t="n">
        <v>19190000</v>
      </c>
      <c r="G8" s="40" t="n">
        <v>18690000</v>
      </c>
    </row>
    <row r="9">
      <c r="A9" t="inlineStr">
        <is>
          <t>iPhone 15 Pro Max 256GB</t>
        </is>
      </c>
      <c r="B9" s="3" t="n"/>
      <c r="C9" s="54" t="n">
        <v>27390000</v>
      </c>
      <c r="D9" s="64" t="n">
        <v>28490000</v>
      </c>
      <c r="E9" s="40" t="inlineStr">
        <is>
          <t>OOS</t>
        </is>
      </c>
      <c r="F9" s="40" t="n">
        <v>27690000</v>
      </c>
      <c r="G9" s="40" t="n">
        <v>27690000</v>
      </c>
    </row>
    <row r="10">
      <c r="A10" t="inlineStr">
        <is>
          <t>iPhone 14 Plus 128GB</t>
        </is>
      </c>
      <c r="B10" s="3" t="n"/>
      <c r="C10" s="52" t="inlineStr">
        <is>
          <t>OOS</t>
        </is>
      </c>
      <c r="D10" s="63" t="inlineStr">
        <is>
          <t>OOS</t>
        </is>
      </c>
      <c r="E10" s="43" t="inlineStr">
        <is>
          <t>OOS</t>
        </is>
      </c>
      <c r="F10" s="43" t="inlineStr">
        <is>
          <t>OOS</t>
        </is>
      </c>
      <c r="G10" s="40" t="n">
        <v>17490000</v>
      </c>
    </row>
    <row r="11">
      <c r="A11" t="inlineStr">
        <is>
          <t>iPhone 14 128GB</t>
        </is>
      </c>
      <c r="B11" s="25" t="n"/>
      <c r="C11" s="53" t="n">
        <v>12690000</v>
      </c>
      <c r="D11" s="64" t="n">
        <v>12690000</v>
      </c>
      <c r="E11" s="40" t="n">
        <v>12690000</v>
      </c>
      <c r="F11" s="34" t="n">
        <v>12490000</v>
      </c>
      <c r="G11" s="40" t="n">
        <v>12390000</v>
      </c>
    </row>
    <row r="12">
      <c r="A12" t="inlineStr">
        <is>
          <t>iPhone 13  128GB</t>
        </is>
      </c>
      <c r="B12" s="3" t="n"/>
      <c r="C12" s="53" t="n">
        <v>11690000</v>
      </c>
      <c r="D12" s="62" t="n">
        <v>11390000</v>
      </c>
      <c r="E12" s="40" t="n">
        <v>11390000</v>
      </c>
      <c r="F12" s="39" t="n">
        <v>11290000</v>
      </c>
      <c r="G12" s="40" t="n">
        <v>11390000</v>
      </c>
    </row>
    <row r="13">
      <c r="A13" t="inlineStr">
        <is>
          <t>iPad Mini 7 128GB Wifi</t>
        </is>
      </c>
      <c r="B13" s="25" t="n"/>
      <c r="C13" s="54" t="n">
        <v>13590000</v>
      </c>
      <c r="D13" s="62" t="n">
        <v>13590000</v>
      </c>
      <c r="E13" s="3" t="n">
        <v>13652000</v>
      </c>
      <c r="F13" s="39" t="n">
        <v>11790000</v>
      </c>
      <c r="G13" s="40" t="n">
        <v>11490000</v>
      </c>
    </row>
    <row r="14">
      <c r="A14" t="inlineStr">
        <is>
          <t>iPad Gen 11th  128GB Wifi</t>
        </is>
      </c>
      <c r="B14" s="3" t="n"/>
      <c r="C14" s="54" t="n">
        <v>9790000</v>
      </c>
      <c r="D14" s="62" t="n">
        <v>9690000</v>
      </c>
      <c r="E14" s="3" t="n">
        <v>9296000</v>
      </c>
      <c r="F14" s="34" t="n">
        <v>9690000</v>
      </c>
      <c r="G14" s="38" t="inlineStr">
        <is>
          <t>9.490.000</t>
        </is>
      </c>
      <c r="H14" s="26" t="n"/>
      <c r="J14" t="inlineStr">
        <is>
          <t xml:space="preserve">MW </t>
        </is>
      </c>
      <c r="K14" t="inlineStr">
        <is>
          <t>Duy</t>
        </is>
      </c>
      <c r="L14" t="b">
        <v>1</v>
      </c>
    </row>
    <row r="15">
      <c r="A15" t="inlineStr">
        <is>
          <t>iPad Air M3  11" 128 GB Wifi</t>
        </is>
      </c>
      <c r="B15" s="3" t="n"/>
      <c r="C15" s="54" t="n">
        <v>16190000</v>
      </c>
      <c r="D15" s="62" t="n">
        <v>16190000</v>
      </c>
      <c r="E15" s="3" t="n">
        <v>15830000</v>
      </c>
      <c r="F15" s="34" t="n">
        <v>16290000</v>
      </c>
      <c r="G15" s="38" t="n">
        <v>16490000</v>
      </c>
      <c r="J15" t="inlineStr">
        <is>
          <t>FPT</t>
        </is>
      </c>
      <c r="K15" t="inlineStr">
        <is>
          <t>Việt</t>
        </is>
      </c>
      <c r="L15" t="b">
        <v>1</v>
      </c>
    </row>
    <row r="16">
      <c r="A16" t="inlineStr">
        <is>
          <t>iPad Air M3  13" 128 GB Wifi</t>
        </is>
      </c>
      <c r="B16" s="25" t="n"/>
      <c r="C16" s="54" t="n">
        <v>21790000</v>
      </c>
      <c r="D16" s="62" t="n">
        <v>21690000</v>
      </c>
      <c r="E16" s="25" t="n">
        <v>20490000</v>
      </c>
      <c r="F16" s="34" t="n">
        <v>21690000</v>
      </c>
      <c r="G16" s="40" t="n">
        <v>20590000</v>
      </c>
      <c r="J16" t="inlineStr">
        <is>
          <t>Viettel</t>
        </is>
      </c>
      <c r="K16" t="inlineStr">
        <is>
          <t>Nghĩa</t>
        </is>
      </c>
      <c r="L16" t="b">
        <v>1</v>
      </c>
    </row>
    <row r="17">
      <c r="A17" t="inlineStr">
        <is>
          <t>iPad Pro  M4  11" 256 GB Wifi</t>
        </is>
      </c>
      <c r="B17" s="25" t="n"/>
      <c r="C17" s="54" t="n">
        <v>27490000</v>
      </c>
      <c r="D17" s="62" t="n">
        <v>27290000</v>
      </c>
      <c r="E17" s="25" t="n">
        <v>26490000</v>
      </c>
      <c r="F17" s="34" t="n">
        <v>27290000</v>
      </c>
      <c r="G17" s="40" t="n">
        <v>25890000</v>
      </c>
      <c r="J17" t="inlineStr">
        <is>
          <t>CPS</t>
        </is>
      </c>
      <c r="K17" t="inlineStr">
        <is>
          <t>Trang</t>
        </is>
      </c>
      <c r="L17" t="b">
        <v>1</v>
      </c>
    </row>
    <row r="18">
      <c r="A18" t="inlineStr">
        <is>
          <t>iPad Pro  M4  13" 256 GB Wifi</t>
        </is>
      </c>
      <c r="B18" s="3" t="n"/>
      <c r="C18" s="54" t="n">
        <v>36290000</v>
      </c>
      <c r="D18" s="62" t="n">
        <v>35990000</v>
      </c>
      <c r="E18" s="25" t="n">
        <v>35490000</v>
      </c>
      <c r="F18" s="34" t="n">
        <v>35990000</v>
      </c>
      <c r="G18" s="3" t="n">
        <v>35990000</v>
      </c>
      <c r="J18" t="inlineStr">
        <is>
          <t>ShopDunk</t>
        </is>
      </c>
      <c r="K18" t="inlineStr">
        <is>
          <t>Đạt</t>
        </is>
      </c>
      <c r="L18" t="b">
        <v>1</v>
      </c>
    </row>
    <row r="19">
      <c r="A19" t="inlineStr">
        <is>
          <t>AW SE 2 (40mm GPS)</t>
        </is>
      </c>
      <c r="B19" s="25" t="n"/>
      <c r="C19" s="53" t="n">
        <v>5890000</v>
      </c>
      <c r="D19" s="64" t="n">
        <v>5690000</v>
      </c>
      <c r="E19" s="25" t="n">
        <v>5732000</v>
      </c>
      <c r="F19" s="39" t="n">
        <v>5690000</v>
      </c>
      <c r="G19" s="4" t="n">
        <v>5090000</v>
      </c>
    </row>
    <row r="20">
      <c r="A20" t="inlineStr">
        <is>
          <t>AW SE 2 (40mm LTE)</t>
        </is>
      </c>
      <c r="B20" s="25" t="n"/>
      <c r="C20" s="53" t="n">
        <v>6990000</v>
      </c>
      <c r="D20" s="64" t="n">
        <v>6990000</v>
      </c>
      <c r="E20" s="25" t="n">
        <v>6920000</v>
      </c>
      <c r="F20" s="39" t="n">
        <v>6990000</v>
      </c>
      <c r="G20" s="4" t="n">
        <v>6590000</v>
      </c>
    </row>
    <row r="21">
      <c r="A21" t="inlineStr">
        <is>
          <t>AW SE 2 (44mm GPS)</t>
        </is>
      </c>
      <c r="B21" s="25" t="n"/>
      <c r="C21" s="53" t="n">
        <v>6490000</v>
      </c>
      <c r="D21" s="64" t="n">
        <v>6490000</v>
      </c>
      <c r="E21" s="25" t="n">
        <v>6128000</v>
      </c>
      <c r="F21" s="39" t="n">
        <v>6490000</v>
      </c>
      <c r="G21" s="4" t="n">
        <v>6490000</v>
      </c>
    </row>
    <row r="22">
      <c r="A22" t="inlineStr">
        <is>
          <t>AW SE 2 (44mm LTE)</t>
        </is>
      </c>
      <c r="B22" s="25" t="n"/>
      <c r="C22" s="52" t="inlineStr">
        <is>
          <t>OOS</t>
        </is>
      </c>
      <c r="D22" s="64" t="n">
        <v>7790000</v>
      </c>
      <c r="E22" s="25" t="n">
        <v>7712000</v>
      </c>
      <c r="F22" s="39" t="n">
        <v>7790000</v>
      </c>
      <c r="G22" s="4" t="n">
        <v>7690000</v>
      </c>
    </row>
    <row r="23">
      <c r="A23" t="inlineStr">
        <is>
          <t>AW S10 (42mm GPS)</t>
        </is>
      </c>
      <c r="B23" s="25" t="n"/>
      <c r="C23" s="53" t="n">
        <v>10590000</v>
      </c>
      <c r="D23" s="64" t="n">
        <v>10490000</v>
      </c>
      <c r="E23" s="25" t="n">
        <v>10187000</v>
      </c>
      <c r="F23" s="39" t="n">
        <v>10590000</v>
      </c>
      <c r="G23" s="4" t="n">
        <v>10490000</v>
      </c>
    </row>
    <row r="24">
      <c r="A24" t="inlineStr">
        <is>
          <t>AW S10 (42mm CEL)</t>
        </is>
      </c>
      <c r="B24" s="25" t="n"/>
      <c r="C24" s="53" t="n">
        <v>12790000</v>
      </c>
      <c r="D24" s="64" t="n">
        <v>12790000</v>
      </c>
      <c r="E24" s="25" t="n">
        <v>12860000</v>
      </c>
      <c r="F24" s="39" t="n">
        <v>12990000</v>
      </c>
      <c r="G24" s="4" t="n">
        <v>12890000</v>
      </c>
    </row>
    <row r="25">
      <c r="A25" t="inlineStr">
        <is>
          <t>AW S10 (46mm GPS)</t>
        </is>
      </c>
      <c r="B25" s="25" t="n"/>
      <c r="C25" s="53" t="n">
        <v>11390000</v>
      </c>
      <c r="D25" s="64" t="n">
        <v>11290000</v>
      </c>
      <c r="E25" s="25" t="n">
        <v>10880000</v>
      </c>
      <c r="F25" s="39" t="n">
        <v>11390000</v>
      </c>
      <c r="G25" s="4" t="n">
        <v>11290000</v>
      </c>
      <c r="I25" s="26" t="n"/>
    </row>
    <row r="26">
      <c r="A26" t="inlineStr">
        <is>
          <t>AW S10 (46mm CEL)</t>
        </is>
      </c>
      <c r="B26" s="3" t="n"/>
      <c r="C26" s="53" t="n">
        <v>13890000</v>
      </c>
      <c r="D26" s="64" t="n">
        <v>13690000</v>
      </c>
      <c r="E26" s="25" t="n">
        <v>13553000</v>
      </c>
      <c r="F26" s="39" t="n">
        <v>13890000</v>
      </c>
      <c r="G26" s="4" t="n">
        <v>13590000</v>
      </c>
    </row>
    <row r="27">
      <c r="A27" t="inlineStr">
        <is>
          <t>AW Ultra 2 (49mm)</t>
        </is>
      </c>
      <c r="B27" s="25" t="n"/>
      <c r="C27" s="53" t="n">
        <v>21890000</v>
      </c>
      <c r="D27" s="64" t="n">
        <v>21890000</v>
      </c>
      <c r="E27" s="25" t="n">
        <v>21790000</v>
      </c>
      <c r="F27" s="40" t="n">
        <v>21590000</v>
      </c>
      <c r="G27" s="4" t="n">
        <v>22990000</v>
      </c>
    </row>
    <row r="28">
      <c r="A28" t="inlineStr">
        <is>
          <t>AirPods Pro 2 - 2023 (C-Type)</t>
        </is>
      </c>
      <c r="B28" s="3" t="n"/>
      <c r="C28" s="53" t="n">
        <v>5590000</v>
      </c>
      <c r="D28" s="62" t="n">
        <v>5350000</v>
      </c>
      <c r="E28" s="25" t="n">
        <v>5534000</v>
      </c>
      <c r="F28" s="40" t="n">
        <v>5590000</v>
      </c>
      <c r="G28" s="4" t="n">
        <v>5590000</v>
      </c>
    </row>
    <row r="29">
      <c r="A29" t="inlineStr">
        <is>
          <t>AirPods 4 ANC</t>
        </is>
      </c>
      <c r="B29" s="3" t="n"/>
      <c r="C29" s="53" t="n">
        <v>4590000</v>
      </c>
      <c r="D29" s="64" t="n">
        <v>4450000</v>
      </c>
      <c r="E29" s="25" t="n">
        <v>4346000</v>
      </c>
      <c r="F29" s="40" t="n">
        <v>4490000</v>
      </c>
      <c r="G29" s="4" t="n">
        <v>4490000</v>
      </c>
    </row>
    <row r="30">
      <c r="A30" t="inlineStr">
        <is>
          <t>AirPods 4 with charging case</t>
        </is>
      </c>
      <c r="B30" s="3" t="n"/>
      <c r="C30" s="54" t="n">
        <v>3290000</v>
      </c>
      <c r="D30" s="62" t="n">
        <v>3050000</v>
      </c>
      <c r="E30" s="25" t="n">
        <v>3190000</v>
      </c>
      <c r="F30" s="40" t="n">
        <v>3190000</v>
      </c>
      <c r="G30" s="4" t="n">
        <v>3190000</v>
      </c>
    </row>
    <row r="31">
      <c r="A31" t="inlineStr">
        <is>
          <t>MacBook Air 13" M1 8/256Gb</t>
        </is>
      </c>
      <c r="B31" s="3" t="n"/>
      <c r="C31" s="53" t="n">
        <v>16990000</v>
      </c>
      <c r="D31" s="64" t="n">
        <v>16990000</v>
      </c>
      <c r="E31" s="37" t="n"/>
      <c r="F31" s="39" t="n">
        <v>17190000</v>
      </c>
      <c r="G31" s="4" t="n">
        <v>16890000</v>
      </c>
    </row>
    <row r="32">
      <c r="A32" t="inlineStr">
        <is>
          <t>MacBook Air 13" M2 16/256GB</t>
        </is>
      </c>
      <c r="B32" s="25" t="n"/>
      <c r="C32" s="54" t="n">
        <v>19790000</v>
      </c>
      <c r="D32" s="64" t="n">
        <v>19690000</v>
      </c>
      <c r="E32" s="37" t="n"/>
      <c r="F32" s="39" t="n">
        <v>19690000</v>
      </c>
      <c r="G32" s="4" t="n">
        <v>19490000</v>
      </c>
    </row>
    <row r="33">
      <c r="A33" t="inlineStr">
        <is>
          <t>MacBook Air 13" M3 16/256GB</t>
        </is>
      </c>
      <c r="B33" s="3" t="n"/>
      <c r="C33" s="52" t="inlineStr">
        <is>
          <t>OOS</t>
        </is>
      </c>
      <c r="D33" s="64" t="n">
        <v>23990000</v>
      </c>
      <c r="E33" s="37" t="n"/>
      <c r="F33" s="39" t="inlineStr">
        <is>
          <t>OOS</t>
        </is>
      </c>
      <c r="G33" s="4" t="n">
        <v>25290000</v>
      </c>
    </row>
    <row r="34">
      <c r="A34" t="inlineStr">
        <is>
          <t>MacBook Air 13" M4 16/256GB</t>
        </is>
      </c>
      <c r="B34" s="3" t="n"/>
      <c r="C34" s="54" t="n">
        <v>25290000</v>
      </c>
      <c r="D34" s="62" t="n">
        <v>25290000</v>
      </c>
      <c r="E34" s="37" t="n"/>
      <c r="F34" s="34" t="n">
        <v>25190000</v>
      </c>
      <c r="G34" s="3" t="n">
        <v>24990000</v>
      </c>
    </row>
    <row r="35">
      <c r="A35" t="inlineStr">
        <is>
          <t>MacBook Air 15" M4 16/256GB</t>
        </is>
      </c>
      <c r="B35" s="25" t="n"/>
      <c r="C35" s="54" t="n">
        <v>30790000</v>
      </c>
      <c r="D35" s="62" t="n">
        <v>30690000</v>
      </c>
      <c r="E35" s="37" t="n"/>
      <c r="F35" s="34" t="n">
        <v>30490000</v>
      </c>
      <c r="G35" s="3" t="n">
        <v>31990000</v>
      </c>
    </row>
    <row r="36">
      <c r="A36" t="inlineStr">
        <is>
          <t>MacBook Pro 14" M4 16/512GB</t>
        </is>
      </c>
      <c r="B36" s="25" t="n"/>
      <c r="C36" s="53" t="n">
        <v>38790000</v>
      </c>
      <c r="D36" s="62" t="n">
        <v>38190000</v>
      </c>
      <c r="E36" s="37" t="n"/>
      <c r="F36" s="38" t="n">
        <v>38290000</v>
      </c>
      <c r="G36" s="4" t="n">
        <v>38290000</v>
      </c>
    </row>
    <row r="37">
      <c r="C37" s="60" t="n"/>
      <c r="D37" s="60" t="n"/>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69.xml><?xml version="1.0" encoding="utf-8"?>
<worksheet xmlns="http://schemas.openxmlformats.org/spreadsheetml/2006/main">
  <sheetPr>
    <outlinePr summaryBelow="1" summaryRight="1"/>
    <pageSetUpPr/>
  </sheetPr>
  <dimension ref="A1:L150"/>
  <sheetViews>
    <sheetView zoomScale="130" zoomScaleNormal="130" workbookViewId="0">
      <pane xSplit="2" ySplit="1" topLeftCell="C7"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4.125" bestFit="1"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5" t="n">
        <v>15290000</v>
      </c>
      <c r="D2" s="61" t="n">
        <v>15990000</v>
      </c>
      <c r="E2" s="40" t="n">
        <v>15990000</v>
      </c>
      <c r="F2" s="38" t="n">
        <v>15490000</v>
      </c>
      <c r="G2" s="40" t="n">
        <v>15990000</v>
      </c>
    </row>
    <row r="3">
      <c r="A3" t="inlineStr">
        <is>
          <t>iPhone 16  128GB</t>
        </is>
      </c>
      <c r="B3" s="25" t="n"/>
      <c r="C3" s="53" t="n">
        <v>19090000</v>
      </c>
      <c r="D3" s="62" t="n">
        <v>18890000</v>
      </c>
      <c r="E3" s="40" t="n">
        <v>18490000</v>
      </c>
      <c r="F3" s="38" t="n">
        <v>18790000</v>
      </c>
      <c r="G3" s="40" t="n">
        <v>18590000</v>
      </c>
    </row>
    <row r="4">
      <c r="A4" t="inlineStr">
        <is>
          <t>iPhone 16  Plus 128GB</t>
        </is>
      </c>
      <c r="B4" s="3" t="n"/>
      <c r="C4" s="53" t="n">
        <v>22190000</v>
      </c>
      <c r="D4" s="64" t="n">
        <v>21990000</v>
      </c>
      <c r="E4" s="40" t="n">
        <v>21690000</v>
      </c>
      <c r="F4" s="38" t="n">
        <v>21990000</v>
      </c>
      <c r="G4" s="40" t="n">
        <v>21690000</v>
      </c>
      <c r="H4" s="44" t="n"/>
    </row>
    <row r="5">
      <c r="A5" t="inlineStr">
        <is>
          <t>iPhone 16 Pro  128GB</t>
        </is>
      </c>
      <c r="B5" s="25" t="n"/>
      <c r="C5" s="53" t="n">
        <v>25090000</v>
      </c>
      <c r="D5" s="64" t="n">
        <v>25090000</v>
      </c>
      <c r="E5" s="40" t="n">
        <v>24290000</v>
      </c>
      <c r="F5" s="38" t="n">
        <v>24790000</v>
      </c>
      <c r="G5" s="38" t="n">
        <v>24390000</v>
      </c>
    </row>
    <row r="6">
      <c r="A6" t="inlineStr">
        <is>
          <t>iPhone 16 Pro Max 256GB</t>
        </is>
      </c>
      <c r="B6" s="3" t="n"/>
      <c r="C6" s="53" t="n">
        <v>30090000</v>
      </c>
      <c r="D6" s="64" t="n">
        <v>29990000</v>
      </c>
      <c r="E6" s="40" t="n">
        <v>29690000</v>
      </c>
      <c r="F6" s="38" t="n">
        <v>29690000</v>
      </c>
      <c r="G6" s="40" t="n">
        <v>29490000</v>
      </c>
    </row>
    <row r="7">
      <c r="A7" t="inlineStr">
        <is>
          <t>iPhone 15  128GB</t>
        </is>
      </c>
      <c r="B7" s="25" t="n"/>
      <c r="C7" s="54" t="n">
        <v>15490000</v>
      </c>
      <c r="D7" s="62" t="n">
        <v>15390000</v>
      </c>
      <c r="E7" s="25" t="n">
        <v>15190000</v>
      </c>
      <c r="F7" s="38" t="n">
        <v>15190000</v>
      </c>
      <c r="G7" s="40" t="n">
        <v>15090000</v>
      </c>
    </row>
    <row r="8">
      <c r="A8" t="inlineStr">
        <is>
          <t>iPhone 15  Plus 128GB</t>
        </is>
      </c>
      <c r="B8" s="25" t="n"/>
      <c r="C8" s="53" t="n">
        <v>19290000</v>
      </c>
      <c r="D8" s="62" t="n">
        <v>18990000</v>
      </c>
      <c r="E8" s="25" t="n">
        <v>18790000</v>
      </c>
      <c r="F8" s="38" t="n">
        <v>18990000</v>
      </c>
      <c r="G8" s="40" t="n">
        <v>18690000</v>
      </c>
    </row>
    <row r="9">
      <c r="A9" t="inlineStr">
        <is>
          <t>iPhone 15 Pro Max 256GB</t>
        </is>
      </c>
      <c r="B9" s="3" t="n"/>
      <c r="C9" s="53" t="n">
        <v>27390000</v>
      </c>
      <c r="D9" s="62" t="inlineStr">
        <is>
          <t>26.990.000</t>
        </is>
      </c>
      <c r="E9" s="40" t="inlineStr">
        <is>
          <t>OOS</t>
        </is>
      </c>
      <c r="F9" s="40" t="inlineStr">
        <is>
          <t>OOS</t>
        </is>
      </c>
      <c r="G9" s="38" t="n">
        <v>26990000</v>
      </c>
    </row>
    <row r="10">
      <c r="A10" t="inlineStr">
        <is>
          <t>iPhone 14 Plus 128GB</t>
        </is>
      </c>
      <c r="B10" s="3" t="n"/>
      <c r="C10" s="52" t="inlineStr">
        <is>
          <t>OOS</t>
        </is>
      </c>
      <c r="D10" s="63" t="inlineStr">
        <is>
          <t>OOS</t>
        </is>
      </c>
      <c r="E10" s="43" t="inlineStr">
        <is>
          <t>OOS</t>
        </is>
      </c>
      <c r="F10" s="43" t="inlineStr">
        <is>
          <t>OOS</t>
        </is>
      </c>
      <c r="G10" s="40" t="n">
        <v>17490000</v>
      </c>
    </row>
    <row r="11">
      <c r="A11" t="inlineStr">
        <is>
          <t>iPhone 14 128GB</t>
        </is>
      </c>
      <c r="B11" s="25" t="n"/>
      <c r="C11" s="54" t="n">
        <v>13190000</v>
      </c>
      <c r="D11" s="62" t="n">
        <v>12590000</v>
      </c>
      <c r="E11" s="40" t="n">
        <v>12690000</v>
      </c>
      <c r="F11" s="39" t="n">
        <v>12490000</v>
      </c>
      <c r="G11" s="38" t="n">
        <v>12390000</v>
      </c>
    </row>
    <row r="12">
      <c r="A12" t="inlineStr">
        <is>
          <t>iPhone 13  128GB</t>
        </is>
      </c>
      <c r="B12" s="3" t="n"/>
      <c r="C12" s="53" t="n">
        <v>11690000</v>
      </c>
      <c r="D12" s="53" t="n">
        <v>11390000</v>
      </c>
      <c r="E12" s="40" t="n">
        <v>11390000</v>
      </c>
      <c r="F12" s="34" t="inlineStr">
        <is>
          <t>10.990.000</t>
        </is>
      </c>
      <c r="G12" s="38" t="n">
        <v>11390000</v>
      </c>
    </row>
    <row r="13">
      <c r="A13" t="inlineStr">
        <is>
          <t>iPad Mini 7 128GB Wifi</t>
        </is>
      </c>
      <c r="B13" s="25" t="n"/>
      <c r="C13" s="53" t="n">
        <v>13590000</v>
      </c>
      <c r="D13" s="64" t="n">
        <v>13590000</v>
      </c>
      <c r="E13" s="25" t="n">
        <v>13652000</v>
      </c>
      <c r="F13" s="39" t="n">
        <v>11790000</v>
      </c>
      <c r="G13" s="40" t="n">
        <v>11490000</v>
      </c>
    </row>
    <row r="14">
      <c r="A14" t="inlineStr">
        <is>
          <t>iPad Gen 11th  128GB Wifi</t>
        </is>
      </c>
      <c r="B14" s="3" t="n"/>
      <c r="C14" s="54" t="n">
        <v>9590000</v>
      </c>
      <c r="D14" s="64" t="n">
        <v>9690000</v>
      </c>
      <c r="E14" s="25" t="n">
        <v>9296000</v>
      </c>
      <c r="F14" s="34" t="n">
        <v>9290000</v>
      </c>
      <c r="G14" s="38" t="inlineStr">
        <is>
          <t>9.290.000</t>
        </is>
      </c>
      <c r="H14" s="26" t="n"/>
      <c r="J14" t="inlineStr">
        <is>
          <t xml:space="preserve">MW </t>
        </is>
      </c>
      <c r="K14" t="inlineStr">
        <is>
          <t>Duy</t>
        </is>
      </c>
      <c r="L14" t="b">
        <v>1</v>
      </c>
    </row>
    <row r="15">
      <c r="A15" t="inlineStr">
        <is>
          <t>iPad Air M3  11" 128 GB Wifi</t>
        </is>
      </c>
      <c r="B15" s="3" t="n"/>
      <c r="C15" s="54" t="n">
        <v>15890000</v>
      </c>
      <c r="D15" s="64" t="n">
        <v>16190000</v>
      </c>
      <c r="E15" s="25" t="n">
        <v>15830000</v>
      </c>
      <c r="F15" s="34" t="n">
        <v>15990000</v>
      </c>
      <c r="G15" s="38" t="n">
        <v>15990000</v>
      </c>
      <c r="J15" t="inlineStr">
        <is>
          <t>FPT</t>
        </is>
      </c>
      <c r="K15" t="inlineStr">
        <is>
          <t>Việt</t>
        </is>
      </c>
      <c r="L15" t="b">
        <v>1</v>
      </c>
    </row>
    <row r="16">
      <c r="A16" t="inlineStr">
        <is>
          <t>iPad Air M3  13" 128 GB Wifi</t>
        </is>
      </c>
      <c r="B16" s="25" t="n"/>
      <c r="C16" s="54" t="n">
        <v>21590000</v>
      </c>
      <c r="D16" s="64" t="n">
        <v>21690000</v>
      </c>
      <c r="E16" s="25" t="n">
        <v>20490000</v>
      </c>
      <c r="F16" s="39" t="n">
        <v>21690000</v>
      </c>
      <c r="G16" s="38" t="n">
        <v>21590000</v>
      </c>
      <c r="J16" t="inlineStr">
        <is>
          <t>Viettel</t>
        </is>
      </c>
      <c r="K16" t="inlineStr">
        <is>
          <t>Nghĩa</t>
        </is>
      </c>
      <c r="L16" t="b">
        <v>1</v>
      </c>
    </row>
    <row r="17">
      <c r="A17" t="inlineStr">
        <is>
          <t>iPad Pro  M4  11" 256 GB Wifi</t>
        </is>
      </c>
      <c r="B17" s="25" t="n"/>
      <c r="C17" s="54" t="n">
        <v>26990000</v>
      </c>
      <c r="D17" s="64" t="n">
        <v>27290000</v>
      </c>
      <c r="E17" s="25" t="n">
        <v>26490000</v>
      </c>
      <c r="F17" s="34" t="n">
        <v>26890000</v>
      </c>
      <c r="G17" s="40" t="n">
        <v>25890000</v>
      </c>
      <c r="J17" t="inlineStr">
        <is>
          <t>CPS</t>
        </is>
      </c>
      <c r="K17" t="inlineStr">
        <is>
          <t>Trang</t>
        </is>
      </c>
      <c r="L17" t="b">
        <v>1</v>
      </c>
    </row>
    <row r="18">
      <c r="A18" t="inlineStr">
        <is>
          <t>iPad Pro  M4  13" 256 GB Wifi</t>
        </is>
      </c>
      <c r="B18" s="3" t="n"/>
      <c r="C18" s="54" t="n">
        <v>35790000</v>
      </c>
      <c r="D18" s="64" t="n">
        <v>35990000</v>
      </c>
      <c r="E18" s="25" t="n">
        <v>35490000</v>
      </c>
      <c r="F18" s="39" t="n">
        <v>35990000</v>
      </c>
      <c r="G18" s="40" t="n">
        <v>35990000</v>
      </c>
      <c r="J18" t="inlineStr">
        <is>
          <t>ShopDunk</t>
        </is>
      </c>
      <c r="K18" t="inlineStr">
        <is>
          <t>Đạt</t>
        </is>
      </c>
      <c r="L18" t="b">
        <v>1</v>
      </c>
    </row>
    <row r="19">
      <c r="A19" t="inlineStr">
        <is>
          <t>AW SE 2 (40mm GPS)</t>
        </is>
      </c>
      <c r="B19" s="25" t="n"/>
      <c r="C19" s="54" t="n">
        <v>5190000</v>
      </c>
      <c r="D19" s="62" t="n">
        <v>4990000</v>
      </c>
      <c r="E19" s="3" t="n">
        <v>4940000</v>
      </c>
      <c r="F19" s="34" t="n">
        <v>4990000</v>
      </c>
      <c r="G19" s="4" t="n">
        <v>5090000</v>
      </c>
    </row>
    <row r="20">
      <c r="A20" t="inlineStr">
        <is>
          <t>AW SE 2 (40mm LTE)</t>
        </is>
      </c>
      <c r="B20" s="25" t="n"/>
      <c r="C20" s="53" t="n">
        <v>6990000</v>
      </c>
      <c r="D20" s="64" t="n">
        <v>6990000</v>
      </c>
      <c r="E20" s="25" t="n">
        <v>6920000</v>
      </c>
      <c r="F20" s="39" t="n">
        <v>6990000</v>
      </c>
      <c r="G20" s="4" t="n">
        <v>6590000</v>
      </c>
    </row>
    <row r="21">
      <c r="A21" t="inlineStr">
        <is>
          <t>AW SE 2 (44mm GPS)</t>
        </is>
      </c>
      <c r="B21" s="25" t="n"/>
      <c r="C21" s="54" t="n">
        <v>5790000</v>
      </c>
      <c r="D21" s="62" t="n">
        <v>5790000</v>
      </c>
      <c r="E21" s="3" t="n">
        <v>5732000</v>
      </c>
      <c r="F21" s="34" t="n">
        <v>5790000</v>
      </c>
      <c r="G21" s="3" t="n">
        <v>5890000</v>
      </c>
    </row>
    <row r="22">
      <c r="A22" t="inlineStr">
        <is>
          <t>AW SE 2 (44mm LTE)</t>
        </is>
      </c>
      <c r="B22" s="25" t="n"/>
      <c r="C22" s="52" t="inlineStr">
        <is>
          <t>OOS</t>
        </is>
      </c>
      <c r="D22" s="62" t="n">
        <v>7590000</v>
      </c>
      <c r="E22" s="25" t="n">
        <v>7712000</v>
      </c>
      <c r="F22" s="39" t="n">
        <v>7790000</v>
      </c>
      <c r="G22" s="4" t="n">
        <v>7690000</v>
      </c>
    </row>
    <row r="23">
      <c r="A23" t="inlineStr">
        <is>
          <t>AW S10 (42mm GPS)</t>
        </is>
      </c>
      <c r="B23" s="25" t="n"/>
      <c r="C23" s="54" t="n">
        <v>8390000</v>
      </c>
      <c r="D23" s="62" t="n">
        <v>8390000</v>
      </c>
      <c r="E23" s="3" t="n">
        <v>8207000</v>
      </c>
      <c r="F23" s="34" t="n">
        <v>8290000</v>
      </c>
      <c r="G23" s="3" t="n">
        <v>8390000</v>
      </c>
      <c r="H23" s="26" t="n"/>
    </row>
    <row r="24">
      <c r="A24" t="inlineStr">
        <is>
          <t>AW S10 (42mm CEL)</t>
        </is>
      </c>
      <c r="B24" s="25" t="n"/>
      <c r="C24" s="64" t="inlineStr">
        <is>
          <t>OOS</t>
        </is>
      </c>
      <c r="D24" s="64" t="inlineStr">
        <is>
          <t>OOS</t>
        </is>
      </c>
      <c r="E24" s="25" t="n">
        <v>12860000</v>
      </c>
      <c r="F24" s="39" t="n">
        <v>12990000</v>
      </c>
      <c r="G24" s="4" t="n">
        <v>12890000</v>
      </c>
    </row>
    <row r="25">
      <c r="A25" t="inlineStr">
        <is>
          <t>AW S10 (46mm GPS)</t>
        </is>
      </c>
      <c r="B25" s="25" t="n"/>
      <c r="C25" s="54" t="n">
        <v>9190000</v>
      </c>
      <c r="D25" s="62" t="n">
        <v>9190000</v>
      </c>
      <c r="E25" s="3" t="n">
        <v>8900000</v>
      </c>
      <c r="F25" s="34" t="n">
        <v>9190000</v>
      </c>
      <c r="G25" s="3" t="n">
        <v>8990000</v>
      </c>
      <c r="H25" s="26" t="n"/>
      <c r="I25" s="26" t="n"/>
      <c r="K25" s="44" t="n"/>
    </row>
    <row r="26">
      <c r="A26" t="inlineStr">
        <is>
          <t>AW S10 (46mm CEL)</t>
        </is>
      </c>
      <c r="B26" s="3" t="n"/>
      <c r="C26" s="54" t="n">
        <v>13690000</v>
      </c>
      <c r="D26" s="64" t="n">
        <v>13690000</v>
      </c>
      <c r="E26" s="25" t="n">
        <v>13553000</v>
      </c>
      <c r="F26" s="39" t="n">
        <v>13890000</v>
      </c>
      <c r="G26" s="4" t="n">
        <v>13590000</v>
      </c>
    </row>
    <row r="27">
      <c r="A27" t="inlineStr">
        <is>
          <t>AW Ultra 2 (49mm)</t>
        </is>
      </c>
      <c r="B27" s="25" t="n"/>
      <c r="C27" s="53" t="n">
        <v>21890000</v>
      </c>
      <c r="D27" s="64" t="n">
        <v>21890000</v>
      </c>
      <c r="E27" s="25" t="n">
        <v>21790000</v>
      </c>
      <c r="F27" s="40" t="n">
        <v>21590000</v>
      </c>
      <c r="G27" s="4" t="n">
        <v>22990000</v>
      </c>
    </row>
    <row r="28">
      <c r="A28" t="inlineStr">
        <is>
          <t>AirPods Pro 2 - 2023 (C-Type)</t>
        </is>
      </c>
      <c r="B28" s="3" t="n"/>
      <c r="C28" s="54" t="n">
        <v>5390000</v>
      </c>
      <c r="D28" s="64" t="n">
        <v>5350000</v>
      </c>
      <c r="E28" s="3" t="n">
        <v>5039000</v>
      </c>
      <c r="F28" s="38" t="n">
        <v>5290000</v>
      </c>
      <c r="G28" s="3" t="n">
        <v>5390000</v>
      </c>
    </row>
    <row r="29">
      <c r="A29" t="inlineStr">
        <is>
          <t>AirPods 4 ANC</t>
        </is>
      </c>
      <c r="B29" s="3" t="n"/>
      <c r="C29" s="54" t="n">
        <v>4490000</v>
      </c>
      <c r="D29" s="64" t="n">
        <v>4450000</v>
      </c>
      <c r="E29" s="3" t="n">
        <v>4247000</v>
      </c>
      <c r="F29" s="38" t="n">
        <v>4390000</v>
      </c>
      <c r="G29" s="3" t="n">
        <v>4390000</v>
      </c>
    </row>
    <row r="30">
      <c r="A30" t="inlineStr">
        <is>
          <t>AirPods 4 with charging case</t>
        </is>
      </c>
      <c r="B30" s="3" t="n"/>
      <c r="C30" s="54" t="n">
        <v>3190000</v>
      </c>
      <c r="D30" s="64" t="n">
        <v>3050000</v>
      </c>
      <c r="E30" s="3" t="n">
        <v>2890000</v>
      </c>
      <c r="F30" s="38" t="n">
        <v>2990000</v>
      </c>
      <c r="G30" s="3" t="n">
        <v>2990000</v>
      </c>
    </row>
    <row r="31">
      <c r="A31" t="inlineStr">
        <is>
          <t>MacBook Air 13" M1 8/256Gb</t>
        </is>
      </c>
      <c r="B31" s="3" t="n"/>
      <c r="C31" s="54" t="n">
        <v>17190000</v>
      </c>
      <c r="D31" s="64" t="inlineStr">
        <is>
          <t>OOS</t>
        </is>
      </c>
      <c r="E31" s="37" t="n"/>
      <c r="F31" s="39" t="n">
        <v>17190000</v>
      </c>
      <c r="G31" s="4" t="n">
        <v>16890000</v>
      </c>
    </row>
    <row r="32">
      <c r="A32" t="inlineStr">
        <is>
          <t>MacBook Air 13" M2 16/256GB</t>
        </is>
      </c>
      <c r="B32" s="25" t="n"/>
      <c r="C32" s="54" t="n">
        <v>19590000</v>
      </c>
      <c r="D32" s="62" t="n">
        <v>20990000</v>
      </c>
      <c r="E32" s="37" t="n"/>
      <c r="F32" s="34" t="n">
        <v>19590000</v>
      </c>
      <c r="G32" s="4" t="n">
        <v>19490000</v>
      </c>
    </row>
    <row r="33">
      <c r="A33" t="inlineStr">
        <is>
          <t>MacBook Air 13" M3 16/256GB</t>
        </is>
      </c>
      <c r="B33" s="3" t="n"/>
      <c r="C33" s="52" t="inlineStr">
        <is>
          <t>OOS</t>
        </is>
      </c>
      <c r="D33" s="64" t="n">
        <v>23990000</v>
      </c>
      <c r="E33" s="37" t="n"/>
      <c r="F33" s="39" t="inlineStr">
        <is>
          <t>OOS</t>
        </is>
      </c>
      <c r="G33" s="4" t="n">
        <v>25290000</v>
      </c>
    </row>
    <row r="34">
      <c r="A34" t="inlineStr">
        <is>
          <t>MacBook Air 13" M4 16/256GB</t>
        </is>
      </c>
      <c r="B34" s="3" t="n"/>
      <c r="C34" s="54" t="n">
        <v>25090000</v>
      </c>
      <c r="D34" s="64" t="n">
        <v>25190000</v>
      </c>
      <c r="E34" s="37" t="n"/>
      <c r="F34" s="34" t="n">
        <v>24990000</v>
      </c>
      <c r="G34" s="4" t="n">
        <v>24990000</v>
      </c>
    </row>
    <row r="35">
      <c r="A35" t="inlineStr">
        <is>
          <t>MacBook Air 15" M4 16/256GB</t>
        </is>
      </c>
      <c r="B35" s="25" t="n"/>
      <c r="C35" s="53" t="n">
        <v>30790000</v>
      </c>
      <c r="D35" s="64" t="n">
        <v>30690000</v>
      </c>
      <c r="E35" s="37" t="n"/>
      <c r="F35" s="39" t="n">
        <v>30490000</v>
      </c>
      <c r="G35" s="4" t="n">
        <v>31990000</v>
      </c>
    </row>
    <row r="36">
      <c r="A36" t="inlineStr">
        <is>
          <t>MacBook Pro 14" M4 16/512GB</t>
        </is>
      </c>
      <c r="B36" s="25" t="n"/>
      <c r="C36" s="54" t="n">
        <v>38290000</v>
      </c>
      <c r="D36" s="64" t="n">
        <v>38190000</v>
      </c>
      <c r="E36" s="37" t="n"/>
      <c r="F36" s="38" t="n">
        <v>36990000</v>
      </c>
      <c r="G36" s="4" t="n">
        <v>38290000</v>
      </c>
    </row>
    <row r="37">
      <c r="C37" s="60" t="n"/>
      <c r="D37" s="60" t="n"/>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0.xml><?xml version="1.0" encoding="utf-8"?>
<worksheet xmlns="http://schemas.openxmlformats.org/spreadsheetml/2006/main">
  <sheetPr>
    <outlinePr summaryBelow="1" summaryRight="1"/>
    <pageSetUpPr/>
  </sheetPr>
  <dimension ref="A1:L150"/>
  <sheetViews>
    <sheetView zoomScale="166" zoomScaleNormal="80" workbookViewId="0">
      <pane xSplit="2" ySplit="1" topLeftCell="E3"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4.125" bestFit="1"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5" t="n">
        <v>14990000</v>
      </c>
      <c r="D2" s="65" t="n">
        <v>15990000</v>
      </c>
      <c r="E2" s="40" t="n">
        <v>15990000</v>
      </c>
      <c r="F2" s="38" t="n">
        <v>14990000</v>
      </c>
      <c r="G2" s="40" t="n">
        <v>15990000</v>
      </c>
    </row>
    <row r="3">
      <c r="A3" t="inlineStr">
        <is>
          <t>iPhone 16  128GB</t>
        </is>
      </c>
      <c r="B3" s="25" t="n"/>
      <c r="C3" s="54" t="n">
        <v>18890000</v>
      </c>
      <c r="D3" s="64" t="n">
        <v>18890000</v>
      </c>
      <c r="E3" s="40" t="n">
        <v>18490000</v>
      </c>
      <c r="F3" s="40" t="n">
        <v>18790000</v>
      </c>
      <c r="G3" s="40" t="n">
        <v>18590000</v>
      </c>
    </row>
    <row r="4">
      <c r="A4" t="inlineStr">
        <is>
          <t>iPhone 16  Plus 128GB</t>
        </is>
      </c>
      <c r="B4" s="3" t="n"/>
      <c r="C4" s="53" t="n">
        <v>22190000</v>
      </c>
      <c r="D4" s="64" t="n">
        <v>21990000</v>
      </c>
      <c r="E4" s="40" t="n">
        <v>21690000</v>
      </c>
      <c r="F4" s="38" t="n">
        <v>21890000</v>
      </c>
      <c r="G4" s="40" t="n">
        <v>21690000</v>
      </c>
      <c r="H4" s="44" t="n"/>
    </row>
    <row r="5">
      <c r="A5" t="inlineStr">
        <is>
          <t>iPhone 16 Pro  128GB</t>
        </is>
      </c>
      <c r="B5" s="25" t="n"/>
      <c r="C5" s="53" t="n">
        <v>25090000</v>
      </c>
      <c r="D5" s="64" t="n">
        <v>25090000</v>
      </c>
      <c r="E5" s="40" t="n">
        <v>24290000</v>
      </c>
      <c r="F5" s="38" t="n">
        <v>24990000</v>
      </c>
      <c r="G5" s="38" t="n">
        <v>24590000</v>
      </c>
    </row>
    <row r="6">
      <c r="A6" t="inlineStr">
        <is>
          <t>iPhone 16 Pro Max 256GB</t>
        </is>
      </c>
      <c r="B6" s="3" t="n"/>
      <c r="C6" s="53" t="n">
        <v>30090000</v>
      </c>
      <c r="D6" s="64" t="n">
        <v>29990000</v>
      </c>
      <c r="E6" s="40" t="n">
        <v>29690000</v>
      </c>
      <c r="F6" s="38" t="n">
        <v>29790000</v>
      </c>
      <c r="G6" s="38" t="n">
        <v>29550000</v>
      </c>
    </row>
    <row r="7">
      <c r="A7" t="inlineStr">
        <is>
          <t>iPhone 15  128GB</t>
        </is>
      </c>
      <c r="B7" s="25" t="n"/>
      <c r="C7" s="54" t="n">
        <v>15290000</v>
      </c>
      <c r="D7" s="64" t="n">
        <v>15390000</v>
      </c>
      <c r="E7" s="25" t="n">
        <v>15190000</v>
      </c>
      <c r="F7" s="38" t="n">
        <v>15190000</v>
      </c>
      <c r="G7" s="40" t="n">
        <v>15090000</v>
      </c>
    </row>
    <row r="8">
      <c r="A8" t="inlineStr">
        <is>
          <t>iPhone 15  Plus 128GB</t>
        </is>
      </c>
      <c r="B8" s="25" t="n"/>
      <c r="C8" s="54" t="n">
        <v>18590000</v>
      </c>
      <c r="D8" s="64" t="n">
        <v>18990000</v>
      </c>
      <c r="E8" s="25" t="n">
        <v>18790000</v>
      </c>
      <c r="F8" s="38" t="n">
        <v>18490000</v>
      </c>
      <c r="G8" s="38" t="n">
        <v>18490000</v>
      </c>
    </row>
    <row r="9">
      <c r="A9" t="inlineStr">
        <is>
          <t>iPhone 15 Pro Max 256GB</t>
        </is>
      </c>
      <c r="B9" s="3" t="n"/>
      <c r="C9" s="54" t="n">
        <v>26890000</v>
      </c>
      <c r="D9" s="64" t="n">
        <v>26990000</v>
      </c>
      <c r="E9" s="40" t="inlineStr">
        <is>
          <t>OOS</t>
        </is>
      </c>
      <c r="F9" s="40" t="inlineStr">
        <is>
          <t>OOS</t>
        </is>
      </c>
      <c r="G9" s="40" t="n">
        <v>26990000</v>
      </c>
    </row>
    <row r="10">
      <c r="A10" t="inlineStr">
        <is>
          <t>iPhone 14 Plus 128GB</t>
        </is>
      </c>
      <c r="B10" s="3" t="n"/>
      <c r="C10" s="52" t="inlineStr">
        <is>
          <t>OOS</t>
        </is>
      </c>
      <c r="D10" s="63" t="inlineStr">
        <is>
          <t>OOS</t>
        </is>
      </c>
      <c r="E10" s="43" t="inlineStr">
        <is>
          <t>OOS</t>
        </is>
      </c>
      <c r="F10" s="43" t="inlineStr">
        <is>
          <t>OOS</t>
        </is>
      </c>
      <c r="G10" s="40" t="n">
        <v>17490000</v>
      </c>
    </row>
    <row r="11">
      <c r="A11" t="inlineStr">
        <is>
          <t>iPhone 14 128GB</t>
        </is>
      </c>
      <c r="B11" s="25" t="n"/>
      <c r="C11" s="54" t="n">
        <v>12690000</v>
      </c>
      <c r="D11" s="62" t="n">
        <v>12690000</v>
      </c>
      <c r="E11" s="40" t="n">
        <v>12690000</v>
      </c>
      <c r="F11" s="39" t="n">
        <v>12490000</v>
      </c>
      <c r="G11" s="38" t="n">
        <v>12190000</v>
      </c>
    </row>
    <row r="12">
      <c r="A12" t="inlineStr">
        <is>
          <t>iPhone 13  128GB</t>
        </is>
      </c>
      <c r="B12" s="3" t="n"/>
      <c r="C12" s="53" t="n">
        <v>11690000</v>
      </c>
      <c r="D12" s="54" t="n">
        <v>11490000</v>
      </c>
      <c r="E12" s="40" t="n">
        <v>11390000</v>
      </c>
      <c r="F12" s="34" t="n">
        <v>11490000</v>
      </c>
      <c r="G12" s="38" t="n">
        <v>11390000</v>
      </c>
    </row>
    <row r="13">
      <c r="A13" t="inlineStr">
        <is>
          <t>iPad Mini 7 128GB Wifi</t>
        </is>
      </c>
      <c r="B13" s="25" t="n"/>
      <c r="C13" s="54" t="n">
        <v>11790000</v>
      </c>
      <c r="D13" s="62" t="n">
        <v>13790000</v>
      </c>
      <c r="E13" s="3" t="n">
        <v>11870000</v>
      </c>
      <c r="F13" s="39" t="n">
        <v>11790000</v>
      </c>
      <c r="G13" s="40" t="n">
        <v>11390000</v>
      </c>
    </row>
    <row r="14">
      <c r="A14" t="inlineStr">
        <is>
          <t>iPad Gen 11th  128GB Wifi</t>
        </is>
      </c>
      <c r="B14" s="3" t="n"/>
      <c r="C14" s="54" t="n">
        <v>8790000</v>
      </c>
      <c r="D14" s="62" t="n">
        <v>8490000</v>
      </c>
      <c r="E14" s="3" t="n">
        <v>8801000</v>
      </c>
      <c r="F14" s="34" t="n">
        <v>8690000</v>
      </c>
      <c r="G14" s="38" t="n">
        <v>8590000</v>
      </c>
      <c r="H14" s="26" t="n"/>
      <c r="J14" t="inlineStr">
        <is>
          <t xml:space="preserve">MW </t>
        </is>
      </c>
      <c r="K14" t="inlineStr">
        <is>
          <t>Duy</t>
        </is>
      </c>
      <c r="L14" t="b">
        <v>1</v>
      </c>
    </row>
    <row r="15">
      <c r="A15" t="inlineStr">
        <is>
          <t>iPad Air M3  11" 128 GB Wifi</t>
        </is>
      </c>
      <c r="B15" s="3" t="n"/>
      <c r="C15" s="54" t="n">
        <v>14490000</v>
      </c>
      <c r="D15" s="62" t="n">
        <v>14490000</v>
      </c>
      <c r="E15" s="3" t="n">
        <v>14543000</v>
      </c>
      <c r="F15" s="34" t="n">
        <v>14590000</v>
      </c>
      <c r="G15" s="38" t="n">
        <v>14590000</v>
      </c>
      <c r="J15" t="inlineStr">
        <is>
          <t>FPT</t>
        </is>
      </c>
      <c r="K15" t="inlineStr">
        <is>
          <t>Việt</t>
        </is>
      </c>
      <c r="L15" t="b">
        <v>1</v>
      </c>
    </row>
    <row r="16">
      <c r="A16" t="inlineStr">
        <is>
          <t>iPad Air M3  13" 128 GB Wifi</t>
        </is>
      </c>
      <c r="B16" s="25" t="n"/>
      <c r="C16" s="54" t="n">
        <v>20590000</v>
      </c>
      <c r="D16" s="62" t="n">
        <v>20590000</v>
      </c>
      <c r="E16" s="25" t="n">
        <v>20490000</v>
      </c>
      <c r="F16" s="39" t="n">
        <v>20790000</v>
      </c>
      <c r="G16" s="38" t="n">
        <v>20690000</v>
      </c>
      <c r="J16" t="inlineStr">
        <is>
          <t>Viettel</t>
        </is>
      </c>
      <c r="K16" t="inlineStr">
        <is>
          <t>Nghĩa</t>
        </is>
      </c>
      <c r="L16" t="b">
        <v>1</v>
      </c>
    </row>
    <row r="17">
      <c r="A17" t="inlineStr">
        <is>
          <t>iPad Pro  M4  11" 256 GB Wifi</t>
        </is>
      </c>
      <c r="B17" s="25" t="n"/>
      <c r="C17" s="54" t="n">
        <v>25890000</v>
      </c>
      <c r="D17" s="62" t="n">
        <v>25990000</v>
      </c>
      <c r="E17" s="25" t="n">
        <v>26490000</v>
      </c>
      <c r="F17" s="34" t="n">
        <v>25990000</v>
      </c>
      <c r="G17" s="40" t="n">
        <v>25890000</v>
      </c>
      <c r="J17" t="inlineStr">
        <is>
          <t>CPS</t>
        </is>
      </c>
      <c r="K17" t="inlineStr">
        <is>
          <t>Trang</t>
        </is>
      </c>
      <c r="L17" t="b">
        <v>1</v>
      </c>
    </row>
    <row r="18">
      <c r="A18" t="inlineStr">
        <is>
          <t>iPad Pro  M4  13" 256 GB Wifi</t>
        </is>
      </c>
      <c r="B18" s="3" t="n"/>
      <c r="C18" s="54" t="n">
        <v>33590000</v>
      </c>
      <c r="D18" s="62" t="n">
        <v>33590000</v>
      </c>
      <c r="E18" s="25" t="n">
        <v>35490000</v>
      </c>
      <c r="F18" s="34" t="n">
        <v>33690000</v>
      </c>
      <c r="G18" s="40" t="n">
        <v>35990000</v>
      </c>
      <c r="J18" t="inlineStr">
        <is>
          <t>ShopDunk</t>
        </is>
      </c>
      <c r="K18" t="inlineStr">
        <is>
          <t>Đạt</t>
        </is>
      </c>
      <c r="L18" t="b">
        <v>1</v>
      </c>
    </row>
    <row r="19">
      <c r="A19" t="inlineStr">
        <is>
          <t>AW SE 2 (40mm GPS)</t>
        </is>
      </c>
      <c r="B19" s="25" t="n"/>
      <c r="C19" s="53" t="n">
        <v>5190000</v>
      </c>
      <c r="D19" s="62" t="n">
        <v>5190000</v>
      </c>
      <c r="E19" s="25" t="n">
        <v>4940000</v>
      </c>
      <c r="F19" s="39" t="n">
        <v>4990000</v>
      </c>
      <c r="G19" s="4" t="n">
        <v>5090000</v>
      </c>
    </row>
    <row r="20">
      <c r="A20" t="inlineStr">
        <is>
          <t>AW SE 2 (40mm LTE)</t>
        </is>
      </c>
      <c r="B20" s="25" t="n"/>
      <c r="C20" s="53" t="n">
        <v>6990000</v>
      </c>
      <c r="D20" s="64" t="n">
        <v>6990000</v>
      </c>
      <c r="E20" s="25" t="n">
        <v>6920000</v>
      </c>
      <c r="F20" s="39" t="n">
        <v>6990000</v>
      </c>
      <c r="G20" s="40" t="n">
        <v>6590000</v>
      </c>
    </row>
    <row r="21">
      <c r="A21" t="inlineStr">
        <is>
          <t>AW SE 2 (44mm GPS)</t>
        </is>
      </c>
      <c r="B21" s="25" t="n"/>
      <c r="C21" s="53" t="n">
        <v>5790000</v>
      </c>
      <c r="D21" s="62" t="n">
        <v>5790000</v>
      </c>
      <c r="E21" s="25" t="n">
        <v>5732000</v>
      </c>
      <c r="F21" s="34" t="n">
        <v>5790000</v>
      </c>
      <c r="G21" s="40" t="n">
        <v>5890000</v>
      </c>
    </row>
    <row r="22">
      <c r="A22" t="inlineStr">
        <is>
          <t>AW SE 2 (44mm LTE)</t>
        </is>
      </c>
      <c r="B22" s="25" t="n"/>
      <c r="C22" s="52" t="inlineStr">
        <is>
          <t>OOS</t>
        </is>
      </c>
      <c r="D22" s="62" t="n">
        <v>7790000</v>
      </c>
      <c r="E22" s="25" t="n">
        <v>7712000</v>
      </c>
      <c r="F22" s="39" t="n">
        <v>7790000</v>
      </c>
      <c r="G22" s="40" t="n">
        <v>7690000</v>
      </c>
    </row>
    <row r="23">
      <c r="A23" t="inlineStr">
        <is>
          <t>AW S10 (42mm GPS)</t>
        </is>
      </c>
      <c r="B23" s="25" t="n"/>
      <c r="C23" s="53" t="n">
        <v>8390000</v>
      </c>
      <c r="D23" s="64" t="n">
        <v>8390000</v>
      </c>
      <c r="E23" s="25" t="n">
        <v>8207000</v>
      </c>
      <c r="F23" s="34" t="n">
        <v>8390000</v>
      </c>
      <c r="G23" s="40" t="n">
        <v>8390000</v>
      </c>
      <c r="H23" s="26" t="n"/>
    </row>
    <row r="24">
      <c r="A24" t="inlineStr">
        <is>
          <t>AW S10 (42mm CEL)</t>
        </is>
      </c>
      <c r="B24" s="25" t="n"/>
      <c r="C24" s="64" t="inlineStr">
        <is>
          <t>OOS</t>
        </is>
      </c>
      <c r="D24" s="64" t="n">
        <v>12790000</v>
      </c>
      <c r="E24" s="25" t="n">
        <v>12860000</v>
      </c>
      <c r="F24" s="39" t="n">
        <v>12990000</v>
      </c>
      <c r="G24" s="40" t="n">
        <v>12890000</v>
      </c>
    </row>
    <row r="25">
      <c r="A25" t="inlineStr">
        <is>
          <t>AW S10 (46mm GPS)</t>
        </is>
      </c>
      <c r="B25" s="25" t="n"/>
      <c r="C25" s="53" t="n">
        <v>9190000</v>
      </c>
      <c r="D25" s="64" t="n">
        <v>9190000</v>
      </c>
      <c r="E25" s="25" t="n">
        <v>8900000</v>
      </c>
      <c r="F25" s="39" t="n">
        <v>9190000</v>
      </c>
      <c r="G25" s="40" t="n">
        <v>8990000</v>
      </c>
      <c r="H25" s="26" t="n"/>
      <c r="I25" s="26" t="n"/>
    </row>
    <row r="26">
      <c r="A26" t="inlineStr">
        <is>
          <t>AW S10 (46mm CEL)</t>
        </is>
      </c>
      <c r="B26" s="3" t="n"/>
      <c r="C26" s="54" t="n">
        <v>13890000</v>
      </c>
      <c r="D26" s="64" t="n">
        <v>13690000</v>
      </c>
      <c r="E26" s="25" t="n">
        <v>13553000</v>
      </c>
      <c r="F26" s="39" t="n">
        <v>13890000</v>
      </c>
      <c r="G26" s="40" t="n">
        <v>13590000</v>
      </c>
    </row>
    <row r="27">
      <c r="A27" t="inlineStr">
        <is>
          <t>AW Ultra 2 (49mm)</t>
        </is>
      </c>
      <c r="B27" s="25" t="n"/>
      <c r="C27" s="53" t="n">
        <v>21890000</v>
      </c>
      <c r="D27" s="64" t="n">
        <v>21890000</v>
      </c>
      <c r="E27" s="25" t="n">
        <v>21790000</v>
      </c>
      <c r="F27" s="40" t="n">
        <v>21590000</v>
      </c>
      <c r="G27" s="40" t="n">
        <v>22990000</v>
      </c>
    </row>
    <row r="28">
      <c r="A28" t="inlineStr">
        <is>
          <t>AirPods Pro 2 - 2023 (C-Type)</t>
        </is>
      </c>
      <c r="B28" s="3" t="n"/>
      <c r="C28" s="53" t="n">
        <v>5390000</v>
      </c>
      <c r="D28" s="64" t="n">
        <v>5350000</v>
      </c>
      <c r="E28" s="25" t="n">
        <v>5039000</v>
      </c>
      <c r="F28" s="40" t="n">
        <v>5290000</v>
      </c>
      <c r="G28" s="40" t="n">
        <v>5390000</v>
      </c>
    </row>
    <row r="29">
      <c r="A29" t="inlineStr">
        <is>
          <t>AirPods 4 ANC</t>
        </is>
      </c>
      <c r="B29" s="3" t="n"/>
      <c r="C29" s="53" t="n">
        <v>4490000</v>
      </c>
      <c r="D29" s="62" t="n">
        <v>4350000</v>
      </c>
      <c r="E29" s="25" t="n">
        <v>4247000</v>
      </c>
      <c r="F29" s="40" t="n">
        <v>4390000</v>
      </c>
      <c r="G29" s="3" t="n">
        <v>4190000</v>
      </c>
    </row>
    <row r="30">
      <c r="A30" t="inlineStr">
        <is>
          <t>AirPods 4 with charging case</t>
        </is>
      </c>
      <c r="B30" s="3" t="n"/>
      <c r="C30" s="54" t="n">
        <v>3090000</v>
      </c>
      <c r="D30" s="64" t="n">
        <v>3050000</v>
      </c>
      <c r="E30" s="25" t="n">
        <v>2890000</v>
      </c>
      <c r="F30" s="40" t="n">
        <v>2990000</v>
      </c>
      <c r="G30" s="3" t="n">
        <v>2890000</v>
      </c>
    </row>
    <row r="31">
      <c r="A31" t="inlineStr">
        <is>
          <t>MacBook Air 13" M1 8/256Gb</t>
        </is>
      </c>
      <c r="B31" s="3" t="n"/>
      <c r="C31" s="54" t="n">
        <v>16990000</v>
      </c>
      <c r="D31" s="64" t="inlineStr">
        <is>
          <t>OOS</t>
        </is>
      </c>
      <c r="E31" s="37" t="n"/>
      <c r="F31" s="39" t="n">
        <v>17190000</v>
      </c>
      <c r="G31" s="4" t="n">
        <v>16890000</v>
      </c>
    </row>
    <row r="32">
      <c r="A32" t="inlineStr">
        <is>
          <t>MacBook Air 13" M2 16/256GB</t>
        </is>
      </c>
      <c r="B32" s="25" t="n"/>
      <c r="C32" s="53" t="n">
        <v>19590000</v>
      </c>
      <c r="D32" s="62" t="n">
        <v>19590000</v>
      </c>
      <c r="E32" s="37" t="n"/>
      <c r="F32" s="39" t="n">
        <v>19590000</v>
      </c>
      <c r="G32" s="4" t="n">
        <v>19490000</v>
      </c>
    </row>
    <row r="33">
      <c r="A33" t="inlineStr">
        <is>
          <t>MacBook Air 13" M3 16/256GB</t>
        </is>
      </c>
      <c r="B33" s="3" t="n"/>
      <c r="C33" s="52" t="inlineStr">
        <is>
          <t>OOS</t>
        </is>
      </c>
      <c r="D33" s="64" t="n">
        <v>23990000</v>
      </c>
      <c r="E33" s="37" t="n"/>
      <c r="F33" s="39" t="inlineStr">
        <is>
          <t>OOS</t>
        </is>
      </c>
      <c r="G33" s="4" t="n">
        <v>25290000</v>
      </c>
    </row>
    <row r="34">
      <c r="A34" t="inlineStr">
        <is>
          <t>MacBook Air 13" M4 16/256GB</t>
        </is>
      </c>
      <c r="B34" s="3" t="n"/>
      <c r="C34" s="54" t="n">
        <v>24290000</v>
      </c>
      <c r="D34" s="62" t="n">
        <v>24290000</v>
      </c>
      <c r="E34" s="37" t="n"/>
      <c r="F34" s="34" t="n">
        <v>24290000</v>
      </c>
      <c r="G34" s="3" t="n">
        <v>24290000</v>
      </c>
    </row>
    <row r="35">
      <c r="A35" t="inlineStr">
        <is>
          <t>MacBook Air 15" M4 16/256GB</t>
        </is>
      </c>
      <c r="B35" s="25" t="n"/>
      <c r="C35" s="62" t="n">
        <v>29490000</v>
      </c>
      <c r="D35" s="62" t="n">
        <v>29490000</v>
      </c>
      <c r="E35" s="37" t="n"/>
      <c r="F35" s="39" t="n">
        <v>30490000</v>
      </c>
      <c r="G35" s="3" t="n">
        <v>29490000</v>
      </c>
    </row>
    <row r="36">
      <c r="A36" t="inlineStr">
        <is>
          <t>MacBook Pro 14" M4 16/512GB</t>
        </is>
      </c>
      <c r="B36" s="25" t="n"/>
      <c r="C36" s="53" t="n">
        <v>38290000</v>
      </c>
      <c r="D36" s="64" t="n">
        <v>38190000</v>
      </c>
      <c r="E36" s="37" t="n"/>
      <c r="F36" s="38" t="n">
        <v>37590000</v>
      </c>
      <c r="G36" s="4" t="n">
        <v>38290000</v>
      </c>
    </row>
    <row r="37">
      <c r="C37" s="60" t="n"/>
      <c r="D37" s="60" t="n"/>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1.xml><?xml version="1.0" encoding="utf-8"?>
<worksheet xmlns="http://schemas.openxmlformats.org/spreadsheetml/2006/main">
  <sheetPr>
    <outlinePr summaryBelow="1" summaryRight="1"/>
    <pageSetUpPr/>
  </sheetPr>
  <dimension ref="A1:L150"/>
  <sheetViews>
    <sheetView zoomScale="81" zoomScaleNormal="120" workbookViewId="0">
      <pane xSplit="2" ySplit="1" topLeftCell="C9"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1" t="n">
        <v>14990000</v>
      </c>
      <c r="D2" s="65" t="n">
        <v>15990000</v>
      </c>
      <c r="E2" s="40" t="n">
        <v>15990000</v>
      </c>
      <c r="F2" s="40" t="n">
        <v>14990000</v>
      </c>
      <c r="G2" s="40" t="n">
        <v>15990000</v>
      </c>
    </row>
    <row r="3">
      <c r="A3" t="inlineStr">
        <is>
          <t>iPhone 16  128GB</t>
        </is>
      </c>
      <c r="B3" s="25" t="n"/>
      <c r="C3" s="53" t="n">
        <v>18890000</v>
      </c>
      <c r="D3" s="64" t="n">
        <v>18890000</v>
      </c>
      <c r="E3" s="40" t="n">
        <v>18490000</v>
      </c>
      <c r="F3" s="40" t="n">
        <v>18790000</v>
      </c>
      <c r="G3" s="40" t="n">
        <v>18590000</v>
      </c>
    </row>
    <row r="4">
      <c r="A4" t="inlineStr">
        <is>
          <t>iPhone 16  Plus 128GB</t>
        </is>
      </c>
      <c r="B4" s="3" t="n"/>
      <c r="C4" s="54" t="n">
        <v>21990000</v>
      </c>
      <c r="D4" s="64" t="n">
        <v>21990000</v>
      </c>
      <c r="E4" s="40" t="n">
        <v>21690000</v>
      </c>
      <c r="F4" s="40" t="n">
        <v>21890000</v>
      </c>
      <c r="G4" s="40" t="n">
        <v>21690000</v>
      </c>
      <c r="H4" s="44" t="n"/>
    </row>
    <row r="5">
      <c r="A5" t="inlineStr">
        <is>
          <t>iPhone 16 Pro  128GB</t>
        </is>
      </c>
      <c r="B5" s="25" t="n"/>
      <c r="C5" s="53" t="n">
        <v>25090000</v>
      </c>
      <c r="D5" s="64" t="n">
        <v>25090000</v>
      </c>
      <c r="E5" s="40" t="n">
        <v>24290000</v>
      </c>
      <c r="F5" s="40" t="n">
        <v>24990000</v>
      </c>
      <c r="G5" s="40" t="n">
        <v>24590000</v>
      </c>
    </row>
    <row r="6">
      <c r="A6" t="inlineStr">
        <is>
          <t>iPhone 16 Pro Max 256GB</t>
        </is>
      </c>
      <c r="B6" s="3" t="n"/>
      <c r="C6" s="53" t="n">
        <v>30090000</v>
      </c>
      <c r="D6" s="64" t="n">
        <v>29990000</v>
      </c>
      <c r="E6" s="40" t="n">
        <v>29690000</v>
      </c>
      <c r="F6" s="40" t="n">
        <v>29790000</v>
      </c>
      <c r="G6" s="40" t="n">
        <v>29550000</v>
      </c>
    </row>
    <row r="7">
      <c r="A7" t="inlineStr">
        <is>
          <t>iPhone 15  128GB</t>
        </is>
      </c>
      <c r="B7" s="25" t="n"/>
      <c r="C7" s="53" t="n">
        <v>15290000</v>
      </c>
      <c r="D7" s="62" t="n">
        <v>15290000</v>
      </c>
      <c r="E7" s="25" t="n">
        <v>15190000</v>
      </c>
      <c r="F7" s="40" t="n">
        <v>15190000</v>
      </c>
      <c r="G7" s="40" t="n">
        <v>15090000</v>
      </c>
    </row>
    <row r="8">
      <c r="A8" t="inlineStr">
        <is>
          <t>iPhone 15  Plus 128GB</t>
        </is>
      </c>
      <c r="B8" s="25" t="n"/>
      <c r="C8" s="53" t="n">
        <v>18590000</v>
      </c>
      <c r="D8" s="62" t="n">
        <v>18590000</v>
      </c>
      <c r="E8" s="25" t="n">
        <v>18790000</v>
      </c>
      <c r="F8" s="40" t="n">
        <v>18490000</v>
      </c>
      <c r="G8" s="40" t="n">
        <v>18490000</v>
      </c>
    </row>
    <row r="9">
      <c r="A9" t="inlineStr">
        <is>
          <t>iPhone 15 Pro Max 256GB</t>
        </is>
      </c>
      <c r="B9" s="3" t="n"/>
      <c r="C9" s="53" t="n">
        <v>26890000</v>
      </c>
      <c r="D9" s="64" t="n">
        <v>26990000</v>
      </c>
      <c r="E9" s="40" t="inlineStr">
        <is>
          <t>OOS</t>
        </is>
      </c>
      <c r="F9" s="40" t="inlineStr">
        <is>
          <t>OOS</t>
        </is>
      </c>
      <c r="G9" s="40" t="n">
        <v>26990000</v>
      </c>
    </row>
    <row r="10">
      <c r="A10" t="inlineStr">
        <is>
          <t>iPhone 14 Plus 128GB</t>
        </is>
      </c>
      <c r="B10" s="3" t="n"/>
      <c r="C10" s="52" t="inlineStr">
        <is>
          <t>OOS</t>
        </is>
      </c>
      <c r="D10" s="63" t="inlineStr">
        <is>
          <t>OOS</t>
        </is>
      </c>
      <c r="E10" s="43" t="inlineStr">
        <is>
          <t>OOS</t>
        </is>
      </c>
      <c r="F10" s="43" t="inlineStr">
        <is>
          <t>OOS</t>
        </is>
      </c>
      <c r="G10" s="40" t="n">
        <v>17490000</v>
      </c>
    </row>
    <row r="11">
      <c r="A11" t="inlineStr">
        <is>
          <t>iPhone 14 128GB</t>
        </is>
      </c>
      <c r="B11" s="25" t="n"/>
      <c r="C11" s="54" t="n">
        <v>12390000</v>
      </c>
      <c r="D11" s="64" t="n">
        <v>12690000</v>
      </c>
      <c r="E11" s="40" t="n">
        <v>12690000</v>
      </c>
      <c r="F11" s="39" t="n">
        <v>12490000</v>
      </c>
      <c r="G11" s="40" t="n">
        <v>12190000</v>
      </c>
    </row>
    <row r="12">
      <c r="A12" t="inlineStr">
        <is>
          <t>iPhone 13  128GB</t>
        </is>
      </c>
      <c r="B12" s="3" t="n"/>
      <c r="C12" s="54" t="n">
        <v>11490000</v>
      </c>
      <c r="D12" s="53" t="n">
        <v>11490000</v>
      </c>
      <c r="E12" s="40" t="n">
        <v>11390000</v>
      </c>
      <c r="F12" s="34" t="n">
        <v>11390000</v>
      </c>
      <c r="G12" s="38" t="n">
        <v>11190000</v>
      </c>
      <c r="H12" t="n">
        <v>-200</v>
      </c>
    </row>
    <row r="13">
      <c r="A13" t="inlineStr">
        <is>
          <t>iPad Mini 7 128GB Wifi</t>
        </is>
      </c>
      <c r="B13" s="25" t="n"/>
      <c r="C13" s="53" t="n">
        <v>11790000</v>
      </c>
      <c r="D13" s="62" t="n">
        <v>11790000</v>
      </c>
      <c r="E13" s="25" t="n">
        <v>11870000</v>
      </c>
      <c r="F13" s="39" t="n">
        <v>11790000</v>
      </c>
      <c r="G13" s="38" t="n">
        <v>11590000</v>
      </c>
      <c r="H13" t="n">
        <v>200</v>
      </c>
    </row>
    <row r="14">
      <c r="A14" t="inlineStr">
        <is>
          <t>iPad Gen 11th  128GB Wifi</t>
        </is>
      </c>
      <c r="B14" s="3" t="n"/>
      <c r="C14" s="53" t="n">
        <v>8790000</v>
      </c>
      <c r="D14" s="64" t="n">
        <v>8490000</v>
      </c>
      <c r="E14" s="25" t="n">
        <v>8801000</v>
      </c>
      <c r="F14" s="39" t="n">
        <v>8690000</v>
      </c>
      <c r="G14" s="40" t="n">
        <v>8590000</v>
      </c>
      <c r="H14" s="26" t="n"/>
      <c r="J14" t="inlineStr">
        <is>
          <t xml:space="preserve">MW </t>
        </is>
      </c>
      <c r="K14" t="inlineStr">
        <is>
          <t>Duy</t>
        </is>
      </c>
      <c r="L14" t="b">
        <v>1</v>
      </c>
    </row>
    <row r="15">
      <c r="A15" t="inlineStr">
        <is>
          <t>iPad Air M3  11" 128 GB Wifi</t>
        </is>
      </c>
      <c r="B15" s="3" t="n"/>
      <c r="C15" s="54" t="n">
        <v>14690000</v>
      </c>
      <c r="D15" s="64" t="n">
        <v>14490000</v>
      </c>
      <c r="E15" s="25" t="n">
        <v>14543000</v>
      </c>
      <c r="F15" s="39" t="n">
        <v>14590000</v>
      </c>
      <c r="G15" s="40" t="n">
        <v>14590000</v>
      </c>
      <c r="J15" t="inlineStr">
        <is>
          <t>FPT</t>
        </is>
      </c>
      <c r="K15" t="inlineStr">
        <is>
          <t>Việt</t>
        </is>
      </c>
      <c r="L15" t="b">
        <v>1</v>
      </c>
    </row>
    <row r="16">
      <c r="A16" t="inlineStr">
        <is>
          <t>iPad Air M3  13" 128 GB Wifi</t>
        </is>
      </c>
      <c r="B16" s="25" t="n"/>
      <c r="C16" s="53" t="n">
        <v>20590000</v>
      </c>
      <c r="D16" s="64" t="n">
        <v>20590000</v>
      </c>
      <c r="E16" s="25" t="n">
        <v>20490000</v>
      </c>
      <c r="F16" s="39" t="n">
        <v>20790000</v>
      </c>
      <c r="G16" s="40" t="n">
        <v>20690000</v>
      </c>
      <c r="J16" t="inlineStr">
        <is>
          <t>Viettel</t>
        </is>
      </c>
      <c r="K16" t="inlineStr">
        <is>
          <t>Nghĩa</t>
        </is>
      </c>
      <c r="L16" t="b">
        <v>1</v>
      </c>
    </row>
    <row r="17">
      <c r="A17" t="inlineStr">
        <is>
          <t>iPad Pro  M4  11" 256 GB Wifi</t>
        </is>
      </c>
      <c r="B17" s="25" t="n"/>
      <c r="C17" s="53" t="n">
        <v>25890000</v>
      </c>
      <c r="D17" s="64" t="n">
        <v>25990000</v>
      </c>
      <c r="E17" s="25" t="n">
        <v>26490000</v>
      </c>
      <c r="F17" s="39" t="n">
        <v>25890000</v>
      </c>
      <c r="G17" s="40" t="n">
        <v>25890000</v>
      </c>
      <c r="J17" t="inlineStr">
        <is>
          <t>CPS</t>
        </is>
      </c>
      <c r="K17" t="inlineStr">
        <is>
          <t>Trang</t>
        </is>
      </c>
      <c r="L17" t="b">
        <v>1</v>
      </c>
    </row>
    <row r="18">
      <c r="A18" t="inlineStr">
        <is>
          <t>iPad Pro  M4  13" 256 GB Wifi</t>
        </is>
      </c>
      <c r="B18" s="3" t="n"/>
      <c r="C18" s="53" t="n">
        <v>33590000</v>
      </c>
      <c r="D18" s="64" t="n">
        <v>33590000</v>
      </c>
      <c r="E18" s="25" t="n">
        <v>35490000</v>
      </c>
      <c r="F18" s="34" t="n">
        <v>33590000</v>
      </c>
      <c r="G18" s="40" t="n">
        <v>35990000</v>
      </c>
      <c r="J18" t="inlineStr">
        <is>
          <t>ShopDunk</t>
        </is>
      </c>
      <c r="K18" t="inlineStr">
        <is>
          <t>Đạt</t>
        </is>
      </c>
      <c r="L18" t="b">
        <v>1</v>
      </c>
    </row>
    <row r="19">
      <c r="A19" t="inlineStr">
        <is>
          <t>AW SE 2 (40mm GPS)</t>
        </is>
      </c>
      <c r="B19" s="25" t="n"/>
      <c r="C19" s="53" t="n">
        <v>5190000</v>
      </c>
      <c r="D19" s="64" t="n">
        <v>5190000</v>
      </c>
      <c r="E19" s="25" t="n">
        <v>4940000</v>
      </c>
      <c r="F19" s="39" t="n">
        <v>4990000</v>
      </c>
      <c r="G19" s="4" t="n">
        <v>5090000</v>
      </c>
    </row>
    <row r="20">
      <c r="A20" t="inlineStr">
        <is>
          <t>AW SE 2 (40mm LTE)</t>
        </is>
      </c>
      <c r="B20" s="25" t="n"/>
      <c r="C20" s="53" t="n">
        <v>6990000</v>
      </c>
      <c r="D20" s="64" t="n">
        <v>6990000</v>
      </c>
      <c r="E20" s="25" t="n">
        <v>6920000</v>
      </c>
      <c r="F20" s="39" t="n">
        <v>6990000</v>
      </c>
      <c r="G20" s="40" t="n">
        <v>6590000</v>
      </c>
    </row>
    <row r="21">
      <c r="A21" t="inlineStr">
        <is>
          <t>AW SE 2 (44mm GPS)</t>
        </is>
      </c>
      <c r="B21" s="25" t="n"/>
      <c r="C21" s="53" t="n">
        <v>5790000</v>
      </c>
      <c r="D21" s="64" t="n">
        <v>5790000</v>
      </c>
      <c r="E21" s="25" t="n">
        <v>5732000</v>
      </c>
      <c r="F21" s="39" t="n">
        <v>5790000</v>
      </c>
      <c r="G21" s="40" t="n">
        <v>5890000</v>
      </c>
    </row>
    <row r="22">
      <c r="A22" t="inlineStr">
        <is>
          <t>AW SE 2 (44mm LTE)</t>
        </is>
      </c>
      <c r="B22" s="25" t="n"/>
      <c r="C22" s="52" t="inlineStr">
        <is>
          <t>OOS</t>
        </is>
      </c>
      <c r="D22" s="64" t="n">
        <v>7790000</v>
      </c>
      <c r="E22" s="25" t="n">
        <v>7712000</v>
      </c>
      <c r="F22" s="39" t="n">
        <v>7790000</v>
      </c>
      <c r="G22" s="40" t="n">
        <v>7690000</v>
      </c>
    </row>
    <row r="23">
      <c r="A23" t="inlineStr">
        <is>
          <t>AW S10 (42mm GPS)</t>
        </is>
      </c>
      <c r="B23" s="25" t="n"/>
      <c r="C23" s="53" t="n">
        <v>8390000</v>
      </c>
      <c r="D23" s="64" t="n">
        <v>8390000</v>
      </c>
      <c r="E23" s="25" t="n">
        <v>8207000</v>
      </c>
      <c r="F23" s="34" t="n">
        <v>8490000</v>
      </c>
      <c r="G23" s="40" t="n">
        <v>8390000</v>
      </c>
      <c r="H23" s="26" t="n"/>
    </row>
    <row r="24">
      <c r="A24" t="inlineStr">
        <is>
          <t>AW S10 (42mm CEL)</t>
        </is>
      </c>
      <c r="B24" s="25" t="n"/>
      <c r="C24" s="64" t="inlineStr">
        <is>
          <t>OOS</t>
        </is>
      </c>
      <c r="D24" s="64" t="n">
        <v>12790000</v>
      </c>
      <c r="E24" s="25" t="n">
        <v>12860000</v>
      </c>
      <c r="F24" s="39" t="n">
        <v>12990000</v>
      </c>
      <c r="G24" s="40" t="n">
        <v>12890000</v>
      </c>
    </row>
    <row r="25">
      <c r="A25" t="inlineStr">
        <is>
          <t>AW S10 (46mm GPS)</t>
        </is>
      </c>
      <c r="B25" s="25" t="n"/>
      <c r="C25" s="53" t="n">
        <v>9190000</v>
      </c>
      <c r="D25" s="64" t="n">
        <v>9190000</v>
      </c>
      <c r="E25" s="25" t="n">
        <v>8900000</v>
      </c>
      <c r="F25" s="39" t="n">
        <v>9190000</v>
      </c>
      <c r="G25" s="40" t="n">
        <v>8990000</v>
      </c>
      <c r="H25" s="26" t="n"/>
      <c r="I25" s="26" t="n"/>
    </row>
    <row r="26">
      <c r="A26" t="inlineStr">
        <is>
          <t>AW S10 (46mm CEL)</t>
        </is>
      </c>
      <c r="B26" s="3" t="n"/>
      <c r="C26" s="53" t="n">
        <v>13890000</v>
      </c>
      <c r="D26" s="64" t="n">
        <v>13690000</v>
      </c>
      <c r="E26" s="25" t="n">
        <v>13553000</v>
      </c>
      <c r="F26" s="39" t="n">
        <v>13890000</v>
      </c>
      <c r="G26" s="40" t="n">
        <v>13590000</v>
      </c>
    </row>
    <row r="27">
      <c r="A27" t="inlineStr">
        <is>
          <t>AW Ultra 2 (49mm)</t>
        </is>
      </c>
      <c r="B27" s="25" t="n"/>
      <c r="C27" s="53" t="n">
        <v>21890000</v>
      </c>
      <c r="D27" s="64" t="n">
        <v>21890000</v>
      </c>
      <c r="E27" s="25" t="n">
        <v>21790000</v>
      </c>
      <c r="F27" s="38" t="n">
        <v>21990000</v>
      </c>
      <c r="G27" s="40" t="n">
        <v>22990000</v>
      </c>
    </row>
    <row r="28">
      <c r="A28" t="inlineStr">
        <is>
          <t>AirPods Pro 2 - 2023 (C-Type)</t>
        </is>
      </c>
      <c r="B28" s="3" t="n"/>
      <c r="C28" s="53" t="n">
        <v>5390000</v>
      </c>
      <c r="D28" s="64" t="n">
        <v>5350000</v>
      </c>
      <c r="E28" s="25" t="n">
        <v>5039000</v>
      </c>
      <c r="F28" s="40" t="n">
        <v>5290000</v>
      </c>
      <c r="G28" s="40" t="n">
        <v>5390000</v>
      </c>
    </row>
    <row r="29">
      <c r="A29" t="inlineStr">
        <is>
          <t>AirPods 4 ANC</t>
        </is>
      </c>
      <c r="B29" s="3" t="n"/>
      <c r="C29" s="53" t="n">
        <v>4490000</v>
      </c>
      <c r="D29" s="64" t="n">
        <v>4350000</v>
      </c>
      <c r="E29" s="25" t="n">
        <v>4247000</v>
      </c>
      <c r="F29" s="40" t="n">
        <v>4390000</v>
      </c>
      <c r="G29" s="40" t="n">
        <v>4190000</v>
      </c>
    </row>
    <row r="30">
      <c r="A30" t="inlineStr">
        <is>
          <t>AirPods 4 with charging case</t>
        </is>
      </c>
      <c r="B30" s="3" t="n"/>
      <c r="C30" s="54" t="n">
        <v>3190000</v>
      </c>
      <c r="D30" s="64" t="n">
        <v>3050000</v>
      </c>
      <c r="E30" s="25" t="n">
        <v>2890000</v>
      </c>
      <c r="F30" s="40" t="n">
        <v>2990000</v>
      </c>
      <c r="G30" s="40" t="n">
        <v>2890000</v>
      </c>
    </row>
    <row r="31">
      <c r="A31" t="inlineStr">
        <is>
          <t>MacBook Air 13" M1 8/256Gb</t>
        </is>
      </c>
      <c r="B31" s="3" t="n"/>
      <c r="C31" s="54" t="n">
        <v>17190000</v>
      </c>
      <c r="D31" s="64" t="inlineStr">
        <is>
          <t>OOS</t>
        </is>
      </c>
      <c r="E31" s="37" t="n"/>
      <c r="F31" s="39" t="n">
        <v>17190000</v>
      </c>
      <c r="G31" s="40" t="n">
        <v>16890000</v>
      </c>
    </row>
    <row r="32">
      <c r="A32" t="inlineStr">
        <is>
          <t>MacBook Air 13" M2 16/256GB</t>
        </is>
      </c>
      <c r="B32" s="25" t="n"/>
      <c r="C32" s="53" t="n">
        <v>19590000</v>
      </c>
      <c r="D32" s="64" t="n">
        <v>19590000</v>
      </c>
      <c r="E32" s="37" t="n"/>
      <c r="F32" s="39" t="n">
        <v>19590000</v>
      </c>
      <c r="G32" s="40" t="n">
        <v>19490000</v>
      </c>
    </row>
    <row r="33">
      <c r="A33" t="inlineStr">
        <is>
          <t>MacBook Air 13" M3 16/256GB</t>
        </is>
      </c>
      <c r="B33" s="3" t="n"/>
      <c r="C33" s="52" t="inlineStr">
        <is>
          <t>OOS</t>
        </is>
      </c>
      <c r="D33" s="64" t="n">
        <v>23990000</v>
      </c>
      <c r="E33" s="37" t="n"/>
      <c r="F33" s="39" t="inlineStr">
        <is>
          <t>OOS</t>
        </is>
      </c>
      <c r="G33" s="40" t="n">
        <v>25290000</v>
      </c>
    </row>
    <row r="34">
      <c r="A34" t="inlineStr">
        <is>
          <t>MacBook Air 13" M4 16/256GB</t>
        </is>
      </c>
      <c r="B34" s="3" t="n"/>
      <c r="C34" s="53" t="n">
        <v>24290000</v>
      </c>
      <c r="D34" s="64" t="n">
        <v>24290000</v>
      </c>
      <c r="E34" s="37" t="n"/>
      <c r="F34" s="39" t="n">
        <v>24290000</v>
      </c>
      <c r="G34" s="40" t="n">
        <v>24290000</v>
      </c>
    </row>
    <row r="35">
      <c r="A35" t="inlineStr">
        <is>
          <t>MacBook Air 15" M4 16/256GB</t>
        </is>
      </c>
      <c r="B35" s="25" t="n"/>
      <c r="C35" s="64" t="n">
        <v>29490000</v>
      </c>
      <c r="D35" s="64" t="n">
        <v>29490000</v>
      </c>
      <c r="E35" s="37" t="n"/>
      <c r="F35" s="34" t="n">
        <v>29490000</v>
      </c>
      <c r="G35" s="40" t="n">
        <v>29490000</v>
      </c>
    </row>
    <row r="36">
      <c r="A36" t="inlineStr">
        <is>
          <t>MacBook Pro 14" M4 16/512GB</t>
        </is>
      </c>
      <c r="B36" s="25" t="n"/>
      <c r="C36" s="53" t="n">
        <v>38290000</v>
      </c>
      <c r="D36" s="64" t="n">
        <v>38190000</v>
      </c>
      <c r="E36" s="37" t="n"/>
      <c r="F36" s="40" t="n">
        <v>37590000</v>
      </c>
      <c r="G36" s="40" t="n">
        <v>38290000</v>
      </c>
    </row>
    <row r="37">
      <c r="C37" s="60" t="n"/>
      <c r="D37" s="60" t="n"/>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2.xml><?xml version="1.0" encoding="utf-8"?>
<worksheet xmlns="http://schemas.openxmlformats.org/spreadsheetml/2006/main">
  <sheetPr>
    <outlinePr summaryBelow="1" summaryRight="1"/>
    <pageSetUpPr/>
  </sheetPr>
  <dimension ref="A1:L150"/>
  <sheetViews>
    <sheetView zoomScale="91" zoomScaleNormal="130" workbookViewId="0">
      <pane xSplit="2" ySplit="1" topLeftCell="C7"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5" t="n">
        <v>15990000</v>
      </c>
      <c r="D2" s="65" t="n">
        <v>15990000</v>
      </c>
      <c r="E2" s="40" t="n">
        <v>15990000</v>
      </c>
      <c r="F2" s="40" t="n">
        <v>14990000</v>
      </c>
      <c r="G2" s="38" t="n">
        <v>15890000</v>
      </c>
      <c r="H2" s="66" t="n"/>
    </row>
    <row r="3">
      <c r="A3" t="inlineStr">
        <is>
          <t>iPhone 16  128GB</t>
        </is>
      </c>
      <c r="B3" s="25" t="n"/>
      <c r="C3" s="53" t="n">
        <v>18890000</v>
      </c>
      <c r="D3" s="64" t="n">
        <v>18890000</v>
      </c>
      <c r="E3" s="40" t="n">
        <v>18490000</v>
      </c>
      <c r="F3" s="40" t="n">
        <v>18790000</v>
      </c>
      <c r="G3" s="40" t="n">
        <v>18590000</v>
      </c>
    </row>
    <row r="4">
      <c r="A4" t="inlineStr">
        <is>
          <t>iPhone 16  Plus 128GB</t>
        </is>
      </c>
      <c r="B4" s="3" t="n"/>
      <c r="C4" s="53" t="n">
        <v>21990000</v>
      </c>
      <c r="D4" s="64" t="n">
        <v>21990000</v>
      </c>
      <c r="E4" s="40" t="n">
        <v>21690000</v>
      </c>
      <c r="F4" s="40" t="n">
        <v>21890000</v>
      </c>
      <c r="G4" s="40" t="n">
        <v>21690000</v>
      </c>
      <c r="H4" s="44" t="n"/>
    </row>
    <row r="5">
      <c r="A5" t="inlineStr">
        <is>
          <t>iPhone 16 Pro  128GB</t>
        </is>
      </c>
      <c r="B5" s="25" t="n"/>
      <c r="C5" s="54" t="n">
        <v>24990000</v>
      </c>
      <c r="D5" s="64" t="n">
        <v>25090000</v>
      </c>
      <c r="E5" s="40" t="n">
        <v>24290000</v>
      </c>
      <c r="F5" s="40" t="n">
        <v>24990000</v>
      </c>
      <c r="G5" s="40" t="n">
        <v>24590000</v>
      </c>
    </row>
    <row r="6">
      <c r="A6" t="inlineStr">
        <is>
          <t>iPhone 16 Pro Max 256GB</t>
        </is>
      </c>
      <c r="B6" s="3" t="n"/>
      <c r="C6" s="53" t="n">
        <v>30090000</v>
      </c>
      <c r="D6" s="64" t="n">
        <v>29990000</v>
      </c>
      <c r="E6" s="40" t="n">
        <v>29690000</v>
      </c>
      <c r="F6" s="40" t="n">
        <v>29790000</v>
      </c>
      <c r="G6" s="40" t="n">
        <v>29550000</v>
      </c>
    </row>
    <row r="7">
      <c r="A7" t="inlineStr">
        <is>
          <t>iPhone 15  128GB</t>
        </is>
      </c>
      <c r="B7" s="25" t="n"/>
      <c r="C7" s="53" t="n">
        <v>15290000</v>
      </c>
      <c r="D7" s="64" t="n">
        <v>15290000</v>
      </c>
      <c r="E7" s="25" t="n">
        <v>15190000</v>
      </c>
      <c r="F7" s="40" t="n">
        <v>15190000</v>
      </c>
      <c r="G7" s="40" t="n">
        <v>15090000</v>
      </c>
    </row>
    <row r="8">
      <c r="A8" t="inlineStr">
        <is>
          <t>iPhone 15  Plus 128GB</t>
        </is>
      </c>
      <c r="B8" s="25" t="n"/>
      <c r="C8" s="54" t="n">
        <v>18790000</v>
      </c>
      <c r="D8" s="64" t="n">
        <v>18590000</v>
      </c>
      <c r="E8" s="25" t="n">
        <v>18790000</v>
      </c>
      <c r="F8" s="40" t="n">
        <v>18490000</v>
      </c>
      <c r="G8" s="40" t="n">
        <v>18490000</v>
      </c>
    </row>
    <row r="9">
      <c r="A9" t="inlineStr">
        <is>
          <t>iPhone 15 Pro Max 256GB</t>
        </is>
      </c>
      <c r="B9" s="3" t="n"/>
      <c r="C9" s="54" t="n">
        <v>29390000</v>
      </c>
      <c r="D9" s="64" t="n">
        <v>26990000</v>
      </c>
      <c r="E9" s="40" t="inlineStr">
        <is>
          <t>OOS</t>
        </is>
      </c>
      <c r="F9" s="40" t="inlineStr">
        <is>
          <t>OOS</t>
        </is>
      </c>
      <c r="G9" s="40" t="n">
        <v>26990000</v>
      </c>
    </row>
    <row r="10">
      <c r="A10" t="inlineStr">
        <is>
          <t>iPhone 14 Plus 128GB</t>
        </is>
      </c>
      <c r="B10" s="3" t="n"/>
      <c r="C10" s="52" t="inlineStr">
        <is>
          <t>OOS</t>
        </is>
      </c>
      <c r="D10" s="63" t="inlineStr">
        <is>
          <t>OOS</t>
        </is>
      </c>
      <c r="E10" s="43" t="inlineStr">
        <is>
          <t>OOS</t>
        </is>
      </c>
      <c r="F10" s="43" t="inlineStr">
        <is>
          <t>OOS</t>
        </is>
      </c>
      <c r="G10" s="40" t="n">
        <v>17490000</v>
      </c>
    </row>
    <row r="11">
      <c r="A11" t="inlineStr">
        <is>
          <t>iPhone 14 128GB</t>
        </is>
      </c>
      <c r="B11" s="25" t="n"/>
      <c r="C11" s="53" t="n">
        <v>12390000</v>
      </c>
      <c r="D11" s="64" t="n">
        <v>12690000</v>
      </c>
      <c r="E11" s="62" t="n">
        <v>12290000</v>
      </c>
      <c r="F11" s="39" t="n">
        <v>12290000</v>
      </c>
      <c r="G11" s="40" t="n">
        <v>12190000</v>
      </c>
    </row>
    <row r="12">
      <c r="A12" t="inlineStr">
        <is>
          <t>iPhone 13  128GB</t>
        </is>
      </c>
      <c r="B12" s="3" t="n"/>
      <c r="C12" s="54" t="n">
        <v>11590000</v>
      </c>
      <c r="D12" s="53" t="n">
        <v>11490000</v>
      </c>
      <c r="E12" s="40" t="n">
        <v>11390000</v>
      </c>
      <c r="F12" s="39" t="n">
        <v>11390000</v>
      </c>
      <c r="G12" s="40" t="n">
        <v>11190000</v>
      </c>
    </row>
    <row r="13">
      <c r="A13" t="inlineStr">
        <is>
          <t>iPad Mini 7 128GB Wifi</t>
        </is>
      </c>
      <c r="B13" s="25" t="n"/>
      <c r="C13" s="53" t="n">
        <v>11790000</v>
      </c>
      <c r="D13" s="64" t="n">
        <v>11790000</v>
      </c>
      <c r="E13" s="62" t="n">
        <v>11276000</v>
      </c>
      <c r="F13" s="39" t="n">
        <v>11790000</v>
      </c>
      <c r="G13" s="40" t="n">
        <v>11590000</v>
      </c>
    </row>
    <row r="14">
      <c r="A14" t="inlineStr">
        <is>
          <t>iPad Gen 11th  128GB Wifi</t>
        </is>
      </c>
      <c r="B14" s="3" t="n"/>
      <c r="C14" s="53" t="n">
        <v>8790000</v>
      </c>
      <c r="D14" s="64" t="n">
        <v>8490000</v>
      </c>
      <c r="E14" s="62" t="n">
        <v>8603000</v>
      </c>
      <c r="F14" s="39" t="n">
        <v>8690000</v>
      </c>
      <c r="G14" s="40" t="n">
        <v>8590000</v>
      </c>
      <c r="H14" s="26" t="n"/>
      <c r="J14" t="inlineStr">
        <is>
          <t xml:space="preserve">MW </t>
        </is>
      </c>
      <c r="K14" t="inlineStr">
        <is>
          <t>Duy</t>
        </is>
      </c>
      <c r="L14" t="b">
        <v>1</v>
      </c>
    </row>
    <row r="15">
      <c r="A15" t="inlineStr">
        <is>
          <t>iPad Air M3  11" 128 GB Wifi</t>
        </is>
      </c>
      <c r="B15" s="3" t="n"/>
      <c r="C15" s="53" t="n">
        <v>14690000</v>
      </c>
      <c r="D15" s="64" t="n">
        <v>14490000</v>
      </c>
      <c r="E15" s="62" t="n">
        <v>14048000</v>
      </c>
      <c r="F15" s="39" t="n">
        <v>14590000</v>
      </c>
      <c r="G15" s="38" t="n">
        <v>14490000</v>
      </c>
      <c r="J15" t="inlineStr">
        <is>
          <t>FPT</t>
        </is>
      </c>
      <c r="K15" t="inlineStr">
        <is>
          <t>Việt</t>
        </is>
      </c>
      <c r="L15" t="b">
        <v>1</v>
      </c>
    </row>
    <row r="16">
      <c r="A16" t="inlineStr">
        <is>
          <t>iPad Air M3  13" 128 GB Wifi</t>
        </is>
      </c>
      <c r="B16" s="25" t="n"/>
      <c r="C16" s="54" t="n">
        <v>20790000</v>
      </c>
      <c r="D16" s="64" t="n">
        <v>20590000</v>
      </c>
      <c r="E16" s="25" t="n">
        <v>20490000</v>
      </c>
      <c r="F16" s="34" t="n">
        <v>19990000</v>
      </c>
      <c r="G16" s="38" t="n">
        <v>19990000</v>
      </c>
      <c r="J16" t="inlineStr">
        <is>
          <t>Viettel</t>
        </is>
      </c>
      <c r="K16" t="inlineStr">
        <is>
          <t>Nghĩa</t>
        </is>
      </c>
      <c r="L16" t="b">
        <v>1</v>
      </c>
    </row>
    <row r="17">
      <c r="A17" t="inlineStr">
        <is>
          <t>iPad Pro  M4  11" 256 GB Wifi</t>
        </is>
      </c>
      <c r="B17" s="25" t="n"/>
      <c r="C17" s="54" t="n">
        <v>25990000</v>
      </c>
      <c r="D17" s="64" t="n">
        <v>25990000</v>
      </c>
      <c r="E17" s="62" t="n">
        <v>26290000</v>
      </c>
      <c r="F17" s="39" t="n">
        <v>25890000</v>
      </c>
      <c r="G17" s="40" t="n">
        <v>25890000</v>
      </c>
      <c r="J17" t="inlineStr">
        <is>
          <t>CPS</t>
        </is>
      </c>
      <c r="K17" t="inlineStr">
        <is>
          <t>Trang</t>
        </is>
      </c>
      <c r="L17" t="b">
        <v>1</v>
      </c>
    </row>
    <row r="18">
      <c r="A18" t="inlineStr">
        <is>
          <t>iPad Pro  M4  13" 256 GB Wifi</t>
        </is>
      </c>
      <c r="B18" s="3" t="n"/>
      <c r="C18" s="54" t="n">
        <v>33090000</v>
      </c>
      <c r="D18" s="64" t="n">
        <v>33590000</v>
      </c>
      <c r="E18" s="62" t="n">
        <v>35290000</v>
      </c>
      <c r="F18" s="34" t="n">
        <v>32990000</v>
      </c>
      <c r="G18" s="40" t="n">
        <v>35990000</v>
      </c>
      <c r="J18" t="inlineStr">
        <is>
          <t>ShopDunk</t>
        </is>
      </c>
      <c r="K18" t="inlineStr">
        <is>
          <t>Đạt</t>
        </is>
      </c>
      <c r="L18" t="b">
        <v>1</v>
      </c>
    </row>
    <row r="19">
      <c r="A19" t="inlineStr">
        <is>
          <t>AW SE 2 (40mm GPS)</t>
        </is>
      </c>
      <c r="B19" s="25" t="n"/>
      <c r="C19" s="54" t="n">
        <v>5790000</v>
      </c>
      <c r="D19" s="62" t="n">
        <v>5690000</v>
      </c>
      <c r="E19" s="62" t="n">
        <v>5732000</v>
      </c>
      <c r="F19" s="34" t="n">
        <v>5590000</v>
      </c>
      <c r="G19" s="3" t="n">
        <v>5690000</v>
      </c>
    </row>
    <row r="20">
      <c r="A20" t="inlineStr">
        <is>
          <t>AW SE 2 (40mm LTE)</t>
        </is>
      </c>
      <c r="B20" s="25" t="n"/>
      <c r="C20" s="53" t="n">
        <v>6990000</v>
      </c>
      <c r="D20" s="64" t="n">
        <v>6990000</v>
      </c>
      <c r="E20" s="25" t="n">
        <v>6920000</v>
      </c>
      <c r="F20" s="39" t="n">
        <v>6990000</v>
      </c>
      <c r="G20" s="40" t="n">
        <v>6590000</v>
      </c>
    </row>
    <row r="21">
      <c r="A21" t="inlineStr">
        <is>
          <t>AW SE 2 (44mm GPS)</t>
        </is>
      </c>
      <c r="B21" s="25" t="n"/>
      <c r="C21" s="54" t="n">
        <v>6490000</v>
      </c>
      <c r="D21" s="62" t="n">
        <v>6490000</v>
      </c>
      <c r="E21" s="62" t="n">
        <v>6128000</v>
      </c>
      <c r="F21" s="34" t="n">
        <v>6290000</v>
      </c>
      <c r="G21" s="38" t="n">
        <v>6590000</v>
      </c>
    </row>
    <row r="22">
      <c r="A22" t="inlineStr">
        <is>
          <t>AW SE 2 (44mm LTE)</t>
        </is>
      </c>
      <c r="B22" s="25" t="n"/>
      <c r="C22" s="52" t="inlineStr">
        <is>
          <t>OOS</t>
        </is>
      </c>
      <c r="D22" s="64" t="n">
        <v>7790000</v>
      </c>
      <c r="E22" s="25" t="n">
        <v>7712000</v>
      </c>
      <c r="F22" s="39" t="n">
        <v>7790000</v>
      </c>
      <c r="G22" s="40" t="n">
        <v>7690000</v>
      </c>
    </row>
    <row r="23">
      <c r="A23" t="inlineStr">
        <is>
          <t>AW S10 (42mm GPS)</t>
        </is>
      </c>
      <c r="B23" s="25" t="n"/>
      <c r="C23" s="54" t="n">
        <v>10590000</v>
      </c>
      <c r="D23" s="62" t="n">
        <v>10490000</v>
      </c>
      <c r="E23" s="62" t="n">
        <v>10187000</v>
      </c>
      <c r="F23" s="34" t="n">
        <v>10390000</v>
      </c>
      <c r="G23" s="40" t="n">
        <v>10390000</v>
      </c>
      <c r="H23" s="26" t="n"/>
    </row>
    <row r="24">
      <c r="A24" t="inlineStr">
        <is>
          <t>AW S10 (42mm CEL)</t>
        </is>
      </c>
      <c r="B24" s="25" t="n"/>
      <c r="C24" s="64" t="inlineStr">
        <is>
          <t>OOS</t>
        </is>
      </c>
      <c r="D24" s="64" t="n">
        <v>12790000</v>
      </c>
      <c r="E24" s="25" t="n">
        <v>12860000</v>
      </c>
      <c r="F24" s="39" t="n">
        <v>12990000</v>
      </c>
      <c r="G24" s="40" t="n">
        <v>12890000</v>
      </c>
    </row>
    <row r="25">
      <c r="A25" t="inlineStr">
        <is>
          <t>AW S10 (46mm GPS)</t>
        </is>
      </c>
      <c r="B25" s="25" t="n"/>
      <c r="C25" s="54" t="n">
        <v>11390000</v>
      </c>
      <c r="D25" s="62" t="n">
        <v>11290000</v>
      </c>
      <c r="E25" s="62" t="n">
        <v>10880000</v>
      </c>
      <c r="F25" s="34" t="n">
        <v>11290000</v>
      </c>
      <c r="G25" s="38" t="n">
        <v>10990000</v>
      </c>
      <c r="H25" s="26" t="n"/>
      <c r="I25" s="26" t="n"/>
    </row>
    <row r="26">
      <c r="A26" t="inlineStr">
        <is>
          <t>AW S10 (46mm CEL)</t>
        </is>
      </c>
      <c r="B26" s="3" t="n"/>
      <c r="C26" s="53" t="n">
        <v>13890000</v>
      </c>
      <c r="D26" s="64" t="n">
        <v>13690000</v>
      </c>
      <c r="E26" s="25" t="n">
        <v>13553000</v>
      </c>
      <c r="F26" s="39" t="n">
        <v>13890000</v>
      </c>
      <c r="G26" s="40" t="n">
        <v>13590000</v>
      </c>
    </row>
    <row r="27">
      <c r="A27" t="inlineStr">
        <is>
          <t>AW Ultra 2 (49mm)</t>
        </is>
      </c>
      <c r="B27" s="25" t="n"/>
      <c r="C27" s="53" t="n">
        <v>21890000</v>
      </c>
      <c r="D27" s="64" t="n">
        <v>21890000</v>
      </c>
      <c r="E27" s="25" t="n">
        <v>21790000</v>
      </c>
      <c r="F27" s="38" t="n">
        <v>18190000</v>
      </c>
      <c r="G27" s="40" t="n">
        <v>22990000</v>
      </c>
    </row>
    <row r="28">
      <c r="A28" t="inlineStr">
        <is>
          <t>AirPods Pro 2 - 2023 (C-Type)</t>
        </is>
      </c>
      <c r="B28" s="3" t="n"/>
      <c r="C28" s="54" t="n">
        <v>5590000</v>
      </c>
      <c r="D28" s="62" t="n">
        <v>5590000</v>
      </c>
      <c r="E28" s="62" t="n">
        <v>5534000</v>
      </c>
      <c r="F28" s="38" t="n">
        <v>5590000</v>
      </c>
      <c r="G28" s="38" t="n">
        <v>5590000</v>
      </c>
    </row>
    <row r="29">
      <c r="A29" t="inlineStr">
        <is>
          <t>AirPods 4 ANC</t>
        </is>
      </c>
      <c r="B29" s="3" t="n"/>
      <c r="C29" s="54" t="n">
        <v>4690000</v>
      </c>
      <c r="D29" s="62" t="n">
        <v>4490000</v>
      </c>
      <c r="E29" s="62" t="n">
        <v>4346000</v>
      </c>
      <c r="F29" s="38" t="n">
        <v>4490000</v>
      </c>
      <c r="G29" s="38" t="n">
        <v>4350000</v>
      </c>
    </row>
    <row r="30">
      <c r="A30" t="inlineStr">
        <is>
          <t>AirPods 4 with charging case</t>
        </is>
      </c>
      <c r="B30" s="3" t="n"/>
      <c r="C30" s="54" t="n">
        <v>3390000</v>
      </c>
      <c r="D30" s="62" t="n">
        <v>3290000</v>
      </c>
      <c r="E30" s="62" t="n">
        <v>3190000</v>
      </c>
      <c r="F30" s="38" t="n">
        <v>3290000</v>
      </c>
      <c r="G30" s="38" t="n">
        <v>3090000</v>
      </c>
    </row>
    <row r="31">
      <c r="A31" t="inlineStr">
        <is>
          <t>MacBook Air 13" M1 8/256Gb</t>
        </is>
      </c>
      <c r="B31" s="3" t="n"/>
      <c r="C31" s="53" t="n">
        <v>17190000</v>
      </c>
      <c r="D31" s="64" t="inlineStr">
        <is>
          <t>OOS</t>
        </is>
      </c>
      <c r="E31" s="37" t="n"/>
      <c r="F31" s="39" t="n">
        <v>17190000</v>
      </c>
      <c r="G31" s="40" t="n">
        <v>16890000</v>
      </c>
    </row>
    <row r="32">
      <c r="A32" t="inlineStr">
        <is>
          <t>MacBook Air 13" M2 16/256GB</t>
        </is>
      </c>
      <c r="B32" s="25" t="n"/>
      <c r="C32" s="53" t="n">
        <v>19590000</v>
      </c>
      <c r="D32" s="64" t="n">
        <v>19590000</v>
      </c>
      <c r="E32" s="37" t="n"/>
      <c r="F32" s="39" t="n">
        <v>19590000</v>
      </c>
      <c r="G32" s="40" t="n">
        <v>19490000</v>
      </c>
    </row>
    <row r="33">
      <c r="A33" t="inlineStr">
        <is>
          <t>MacBook Air 13" M3 16/256GB</t>
        </is>
      </c>
      <c r="B33" s="3" t="n"/>
      <c r="C33" s="52" t="inlineStr">
        <is>
          <t>OOS</t>
        </is>
      </c>
      <c r="D33" s="64" t="n">
        <v>23990000</v>
      </c>
      <c r="E33" s="37" t="n"/>
      <c r="F33" s="39" t="inlineStr">
        <is>
          <t>OOS</t>
        </is>
      </c>
      <c r="G33" s="40" t="n">
        <v>25290000</v>
      </c>
    </row>
    <row r="34">
      <c r="A34" t="inlineStr">
        <is>
          <t>MacBook Air 13" M4 16/256GB</t>
        </is>
      </c>
      <c r="B34" s="3" t="n"/>
      <c r="C34" s="53" t="n">
        <v>24290000</v>
      </c>
      <c r="D34" s="64" t="n">
        <v>24290000</v>
      </c>
      <c r="E34" s="37" t="n"/>
      <c r="F34" s="39" t="n">
        <v>24290000</v>
      </c>
      <c r="G34" s="40" t="n">
        <v>24290000</v>
      </c>
    </row>
    <row r="35">
      <c r="A35" t="inlineStr">
        <is>
          <t>MacBook Air 15" M4 16/256GB</t>
        </is>
      </c>
      <c r="B35" s="25" t="n"/>
      <c r="C35" s="64" t="n">
        <v>29490000</v>
      </c>
      <c r="D35" s="64" t="n">
        <v>29490000</v>
      </c>
      <c r="E35" s="37" t="n"/>
      <c r="F35" s="34" t="n">
        <v>28990000</v>
      </c>
      <c r="G35" s="40" t="n">
        <v>29490000</v>
      </c>
    </row>
    <row r="36">
      <c r="A36" t="inlineStr">
        <is>
          <t>MacBook Pro 14" M4 16/512GB</t>
        </is>
      </c>
      <c r="B36" s="25" t="n"/>
      <c r="C36" s="53" t="n">
        <v>38290000</v>
      </c>
      <c r="D36" s="64" t="n">
        <v>38190000</v>
      </c>
      <c r="E36" s="37" t="n"/>
      <c r="F36" s="40" t="n">
        <v>37590000</v>
      </c>
      <c r="G36" s="40" t="n">
        <v>38290000</v>
      </c>
    </row>
    <row r="37">
      <c r="C37" s="60" t="n"/>
      <c r="D37" s="60" t="n"/>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3.xml><?xml version="1.0" encoding="utf-8"?>
<worksheet xmlns="http://schemas.openxmlformats.org/spreadsheetml/2006/main">
  <sheetPr>
    <outlinePr summaryBelow="1" summaryRight="1"/>
    <pageSetUpPr/>
  </sheetPr>
  <dimension ref="A1:L150"/>
  <sheetViews>
    <sheetView zoomScale="86"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47" t="inlineStr">
        <is>
          <t>MW</t>
        </is>
      </c>
      <c r="D1" s="47" t="inlineStr">
        <is>
          <t>FPT</t>
        </is>
      </c>
      <c r="E1" s="82" t="inlineStr">
        <is>
          <t>Viettel</t>
        </is>
      </c>
      <c r="F1" s="82" t="inlineStr">
        <is>
          <t>CPS</t>
        </is>
      </c>
      <c r="G1" s="82" t="inlineStr">
        <is>
          <t>Shopdunk</t>
        </is>
      </c>
    </row>
    <row r="2">
      <c r="A2" t="inlineStr">
        <is>
          <t>iPhone 16e  128GB</t>
        </is>
      </c>
      <c r="B2" s="47" t="n"/>
      <c r="C2" s="51" t="n">
        <v>15990000</v>
      </c>
      <c r="D2" s="65" t="n">
        <v>15990000</v>
      </c>
      <c r="E2" s="40" t="n">
        <v>15990000</v>
      </c>
      <c r="F2" s="40" t="n">
        <v>14990000</v>
      </c>
      <c r="G2" s="38" t="n">
        <v>14990000</v>
      </c>
    </row>
    <row r="3">
      <c r="A3" t="inlineStr">
        <is>
          <t>iPhone 16  128GB</t>
        </is>
      </c>
      <c r="B3" s="25" t="n"/>
      <c r="C3" s="53" t="n">
        <v>18890000</v>
      </c>
      <c r="D3" s="64" t="n">
        <v>18890000</v>
      </c>
      <c r="E3" s="40" t="n">
        <v>18490000</v>
      </c>
      <c r="F3" s="40" t="n">
        <v>18790000</v>
      </c>
      <c r="G3" s="40" t="n">
        <v>18590000</v>
      </c>
    </row>
    <row r="4">
      <c r="A4" t="inlineStr">
        <is>
          <t>iPhone 16  Plus 128GB</t>
        </is>
      </c>
      <c r="B4" s="3" t="n"/>
      <c r="C4" s="53" t="n">
        <v>21990000</v>
      </c>
      <c r="D4" s="64" t="n">
        <v>21990000</v>
      </c>
      <c r="E4" s="40" t="n">
        <v>21690000</v>
      </c>
      <c r="F4" s="40" t="n">
        <v>21890000</v>
      </c>
      <c r="G4" s="40" t="n">
        <v>21690000</v>
      </c>
    </row>
    <row r="5">
      <c r="A5" t="inlineStr">
        <is>
          <t>iPhone 16 Pro  128GB</t>
        </is>
      </c>
      <c r="B5" s="25" t="n"/>
      <c r="C5" s="53" t="n">
        <v>24990000</v>
      </c>
      <c r="D5" s="62" t="n">
        <v>24990000</v>
      </c>
      <c r="E5" s="40" t="n">
        <v>24290000</v>
      </c>
      <c r="F5" s="40" t="n">
        <v>24890000</v>
      </c>
      <c r="G5" s="40" t="n">
        <v>24590000</v>
      </c>
    </row>
    <row r="6">
      <c r="A6" t="inlineStr">
        <is>
          <t>iPhone 16 Pro Max 256GB</t>
        </is>
      </c>
      <c r="B6" s="3" t="n"/>
      <c r="C6" s="53" t="n">
        <v>30090000</v>
      </c>
      <c r="D6" s="64" t="n">
        <v>29990000</v>
      </c>
      <c r="E6" s="40" t="n">
        <v>29690000</v>
      </c>
      <c r="F6" s="40" t="n">
        <v>29790000</v>
      </c>
      <c r="G6" s="38" t="n">
        <v>29490000</v>
      </c>
    </row>
    <row r="7">
      <c r="A7" t="inlineStr">
        <is>
          <t>iPhone 15  128GB</t>
        </is>
      </c>
      <c r="B7" s="25" t="n"/>
      <c r="C7" s="53" t="n">
        <v>15290000</v>
      </c>
      <c r="D7" s="64" t="n">
        <v>15290000</v>
      </c>
      <c r="E7" s="25" t="n">
        <v>15190000</v>
      </c>
      <c r="F7" s="40" t="n">
        <v>15190000</v>
      </c>
      <c r="G7" s="40" t="n">
        <v>15090000</v>
      </c>
    </row>
    <row r="8">
      <c r="A8" t="inlineStr">
        <is>
          <t>iPhone 15  Plus 128GB</t>
        </is>
      </c>
      <c r="B8" s="25" t="n"/>
      <c r="C8" s="54" t="n">
        <v>18590000</v>
      </c>
      <c r="D8" s="62" t="n">
        <v>18790000</v>
      </c>
      <c r="E8" s="25" t="n">
        <v>18790000</v>
      </c>
      <c r="F8" s="40" t="n">
        <v>18490000</v>
      </c>
      <c r="G8" s="40" t="n">
        <v>18490000</v>
      </c>
    </row>
    <row r="9">
      <c r="A9" t="inlineStr">
        <is>
          <t>iPhone 15 Pro Max 256GB</t>
        </is>
      </c>
      <c r="B9" s="3" t="n"/>
      <c r="C9" s="53" t="n">
        <v>29390000</v>
      </c>
      <c r="D9" s="64" t="n">
        <v>26990000</v>
      </c>
      <c r="E9" s="40" t="inlineStr">
        <is>
          <t>OOS</t>
        </is>
      </c>
      <c r="F9" s="40" t="inlineStr">
        <is>
          <t>OOS</t>
        </is>
      </c>
      <c r="G9" s="40" t="n">
        <v>26990000</v>
      </c>
    </row>
    <row r="10">
      <c r="A10" t="inlineStr">
        <is>
          <t>iPhone 14 Plus 128GB</t>
        </is>
      </c>
      <c r="B10" s="3" t="n"/>
      <c r="C10" s="52" t="inlineStr">
        <is>
          <t>OOS</t>
        </is>
      </c>
      <c r="D10" s="63" t="inlineStr">
        <is>
          <t>OOS</t>
        </is>
      </c>
      <c r="E10" s="43" t="inlineStr">
        <is>
          <t>OOS</t>
        </is>
      </c>
      <c r="F10" s="43" t="inlineStr">
        <is>
          <t>OOS</t>
        </is>
      </c>
      <c r="G10" s="40" t="n">
        <v>17490000</v>
      </c>
    </row>
    <row r="11">
      <c r="A11" t="inlineStr">
        <is>
          <t>iPhone 14 128GB</t>
        </is>
      </c>
      <c r="B11" s="25" t="n"/>
      <c r="C11" s="53" t="n">
        <v>12390000</v>
      </c>
      <c r="D11" s="62" t="n">
        <v>12390000</v>
      </c>
      <c r="E11" s="25" t="n">
        <v>12290000</v>
      </c>
      <c r="F11" s="39" t="n">
        <v>12290000</v>
      </c>
      <c r="G11" s="40" t="n">
        <v>12190000</v>
      </c>
    </row>
    <row r="12">
      <c r="A12" t="inlineStr">
        <is>
          <t>iPhone 13  128GB</t>
        </is>
      </c>
      <c r="B12" s="3" t="n"/>
      <c r="C12" s="53" t="n">
        <v>11590000</v>
      </c>
      <c r="D12" s="53" t="n">
        <v>11490000</v>
      </c>
      <c r="E12" s="40" t="n">
        <v>11390000</v>
      </c>
      <c r="F12" s="34" t="n">
        <v>11290000</v>
      </c>
      <c r="G12" s="40" t="n">
        <v>11190000</v>
      </c>
    </row>
    <row r="13">
      <c r="A13" t="inlineStr">
        <is>
          <t>iPad Mini 7 128GB Wifi</t>
        </is>
      </c>
      <c r="B13" s="25" t="n"/>
      <c r="C13" s="54" t="n">
        <v>13590000</v>
      </c>
      <c r="D13" s="62" t="n">
        <v>13590000</v>
      </c>
      <c r="E13" s="62" t="n">
        <v>13652000</v>
      </c>
      <c r="F13" s="34" t="n">
        <v>13490000</v>
      </c>
      <c r="G13" s="40" t="n">
        <v>11590000</v>
      </c>
    </row>
    <row r="14">
      <c r="A14" t="inlineStr">
        <is>
          <t>iPad Gen 11th  128GB Wifi</t>
        </is>
      </c>
      <c r="B14" s="3" t="n"/>
      <c r="C14" s="54" t="n">
        <v>9690000</v>
      </c>
      <c r="D14" s="64" t="n">
        <v>8490000</v>
      </c>
      <c r="E14" s="62" t="n">
        <v>9296000</v>
      </c>
      <c r="F14" s="34" t="n">
        <v>9590000</v>
      </c>
      <c r="G14" s="38" t="n">
        <v>9490000</v>
      </c>
      <c r="H14" s="26" t="n"/>
      <c r="J14" t="inlineStr">
        <is>
          <t xml:space="preserve">MW </t>
        </is>
      </c>
      <c r="K14" t="inlineStr">
        <is>
          <t>Duy</t>
        </is>
      </c>
      <c r="L14" t="b">
        <v>1</v>
      </c>
    </row>
    <row r="15">
      <c r="A15" t="inlineStr">
        <is>
          <t>iPad Air M3  11" 128 GB Wifi</t>
        </is>
      </c>
      <c r="B15" s="3" t="n"/>
      <c r="C15" s="54" t="n">
        <v>16290000</v>
      </c>
      <c r="D15" s="62" t="n">
        <v>16190000</v>
      </c>
      <c r="E15" s="62" t="n">
        <v>15830000</v>
      </c>
      <c r="F15" s="34" t="n">
        <v>16090000</v>
      </c>
      <c r="G15" s="38" t="n">
        <v>15990000</v>
      </c>
      <c r="J15" t="inlineStr">
        <is>
          <t>FPT</t>
        </is>
      </c>
      <c r="K15" t="inlineStr">
        <is>
          <t>Việt</t>
        </is>
      </c>
      <c r="L15" t="b">
        <v>1</v>
      </c>
    </row>
    <row r="16">
      <c r="A16" t="inlineStr">
        <is>
          <t>iPad Air M3  13" 128 GB Wifi</t>
        </is>
      </c>
      <c r="B16" s="25" t="n"/>
      <c r="C16" s="54" t="n">
        <v>21690000</v>
      </c>
      <c r="D16" s="62" t="n">
        <v>21690000</v>
      </c>
      <c r="E16" s="25" t="n">
        <v>20490000</v>
      </c>
      <c r="F16" s="34" t="n">
        <v>21690000</v>
      </c>
      <c r="G16" s="38" t="n">
        <v>21490000</v>
      </c>
      <c r="J16" t="inlineStr">
        <is>
          <t>Viettel</t>
        </is>
      </c>
      <c r="K16" t="inlineStr">
        <is>
          <t>Nghĩa</t>
        </is>
      </c>
      <c r="L16" t="b">
        <v>1</v>
      </c>
    </row>
    <row r="17">
      <c r="A17" t="inlineStr">
        <is>
          <t>iPad Pro  M4  11" 256 GB Wifi</t>
        </is>
      </c>
      <c r="B17" s="25" t="n"/>
      <c r="C17" s="54" t="n">
        <v>26990000</v>
      </c>
      <c r="D17" s="62" t="n">
        <v>26890000</v>
      </c>
      <c r="E17" s="25" t="n">
        <v>26290000</v>
      </c>
      <c r="F17" s="34" t="n">
        <v>26790000</v>
      </c>
      <c r="G17" s="40" t="n">
        <v>25890000</v>
      </c>
      <c r="J17" t="inlineStr">
        <is>
          <t>CPS</t>
        </is>
      </c>
      <c r="K17" t="inlineStr">
        <is>
          <t>Trang</t>
        </is>
      </c>
      <c r="L17" t="b">
        <v>1</v>
      </c>
    </row>
    <row r="18">
      <c r="A18" t="inlineStr">
        <is>
          <t>iPad Pro  M4  13" 256 GB Wifi</t>
        </is>
      </c>
      <c r="B18" s="3" t="n"/>
      <c r="C18" s="54" t="n">
        <v>36090000</v>
      </c>
      <c r="D18" s="62" t="n">
        <v>35990000</v>
      </c>
      <c r="E18" s="25" t="n">
        <v>35290000</v>
      </c>
      <c r="F18" s="34" t="n">
        <v>36290000</v>
      </c>
      <c r="G18" s="38" t="n">
        <v>33690000</v>
      </c>
      <c r="J18" t="inlineStr">
        <is>
          <t>ShopDunk</t>
        </is>
      </c>
      <c r="K18" t="inlineStr">
        <is>
          <t>Đạt</t>
        </is>
      </c>
      <c r="L18" t="b">
        <v>1</v>
      </c>
    </row>
    <row r="19">
      <c r="A19" t="inlineStr">
        <is>
          <t>AW SE 2 (40mm GPS)</t>
        </is>
      </c>
      <c r="B19" s="25" t="n"/>
      <c r="C19" s="53" t="n">
        <v>5790000</v>
      </c>
      <c r="D19" s="64" t="n">
        <v>5690000</v>
      </c>
      <c r="E19" s="25" t="n">
        <v>5732000</v>
      </c>
      <c r="F19" s="39" t="n">
        <v>5590000</v>
      </c>
      <c r="G19" s="3" t="n">
        <v>5890000</v>
      </c>
    </row>
    <row r="20">
      <c r="A20" t="inlineStr">
        <is>
          <t>AW SE 2 (40mm LTE)</t>
        </is>
      </c>
      <c r="B20" s="25" t="n"/>
      <c r="C20" s="53" t="n">
        <v>6990000</v>
      </c>
      <c r="D20" s="64" t="n">
        <v>6990000</v>
      </c>
      <c r="E20" s="25" t="n">
        <v>6920000</v>
      </c>
      <c r="F20" s="39" t="n">
        <v>6990000</v>
      </c>
      <c r="G20" s="38" t="n">
        <v>7190000</v>
      </c>
    </row>
    <row r="21">
      <c r="A21" t="inlineStr">
        <is>
          <t>AW SE 2 (44mm GPS)</t>
        </is>
      </c>
      <c r="B21" s="25" t="n"/>
      <c r="C21" s="53" t="n">
        <v>6490000</v>
      </c>
      <c r="D21" s="64" t="n">
        <v>6490000</v>
      </c>
      <c r="E21" s="25" t="n">
        <v>6128000</v>
      </c>
      <c r="F21" s="39" t="n">
        <v>6290000</v>
      </c>
      <c r="G21" s="38" t="n">
        <v>6790000</v>
      </c>
    </row>
    <row r="22">
      <c r="A22" t="inlineStr">
        <is>
          <t>AW SE 2 (44mm LTE)</t>
        </is>
      </c>
      <c r="B22" s="25" t="n"/>
      <c r="C22" s="52" t="inlineStr">
        <is>
          <t>OOS</t>
        </is>
      </c>
      <c r="D22" s="64" t="n">
        <v>7790000</v>
      </c>
      <c r="E22" s="25" t="n">
        <v>7712000</v>
      </c>
      <c r="F22" s="39" t="n">
        <v>7790000</v>
      </c>
      <c r="G22" s="38" t="n">
        <v>7790000</v>
      </c>
    </row>
    <row r="23">
      <c r="A23" t="inlineStr">
        <is>
          <t>AW S10 (42mm GPS)</t>
        </is>
      </c>
      <c r="B23" s="25" t="n"/>
      <c r="C23" s="53" t="n">
        <v>10590000</v>
      </c>
      <c r="D23" s="64" t="n">
        <v>10490000</v>
      </c>
      <c r="E23" s="25" t="n">
        <v>10187000</v>
      </c>
      <c r="F23" s="39" t="n">
        <v>10390000</v>
      </c>
      <c r="G23" s="40" t="n">
        <v>10390000</v>
      </c>
      <c r="H23" s="26" t="n"/>
    </row>
    <row r="24">
      <c r="A24" t="inlineStr">
        <is>
          <t>AW S10 (42mm CEL)</t>
        </is>
      </c>
      <c r="B24" s="25" t="n"/>
      <c r="C24" s="64" t="inlineStr">
        <is>
          <t>OOS</t>
        </is>
      </c>
      <c r="D24" s="64" t="n">
        <v>12790000</v>
      </c>
      <c r="E24" s="25" t="n">
        <v>12860000</v>
      </c>
      <c r="F24" s="39" t="n">
        <v>12990000</v>
      </c>
      <c r="G24" s="40" t="n">
        <v>12890000</v>
      </c>
    </row>
    <row r="25">
      <c r="A25" t="inlineStr">
        <is>
          <t>AW S10 (46mm GPS)</t>
        </is>
      </c>
      <c r="B25" s="25" t="n"/>
      <c r="C25" s="53" t="n">
        <v>11390000</v>
      </c>
      <c r="D25" s="64" t="n">
        <v>11290000</v>
      </c>
      <c r="E25" s="25" t="n">
        <v>10880000</v>
      </c>
      <c r="F25" s="39" t="n">
        <v>11290000</v>
      </c>
      <c r="G25" s="40" t="n">
        <v>10990000</v>
      </c>
      <c r="H25" s="26" t="n"/>
      <c r="I25" s="26" t="n"/>
    </row>
    <row r="26">
      <c r="A26" t="inlineStr">
        <is>
          <t>AW S10 (46mm CEL)</t>
        </is>
      </c>
      <c r="B26" s="3" t="n"/>
      <c r="C26" s="53" t="n">
        <v>13890000</v>
      </c>
      <c r="D26" s="64" t="n">
        <v>13690000</v>
      </c>
      <c r="E26" s="25" t="n">
        <v>13553000</v>
      </c>
      <c r="F26" s="39" t="n">
        <v>13890000</v>
      </c>
      <c r="G26" s="40" t="n">
        <v>13590000</v>
      </c>
    </row>
    <row r="27">
      <c r="A27" t="inlineStr">
        <is>
          <t>AW Ultra 2 (49mm)</t>
        </is>
      </c>
      <c r="B27" s="25" t="n"/>
      <c r="C27" s="53" t="n">
        <v>21890000</v>
      </c>
      <c r="D27" s="64" t="n">
        <v>21890000</v>
      </c>
      <c r="E27" s="25" t="n">
        <v>21790000</v>
      </c>
      <c r="F27" s="40" t="n">
        <v>21590000</v>
      </c>
      <c r="G27" s="40" t="n">
        <v>22990000</v>
      </c>
    </row>
    <row r="28">
      <c r="A28" t="inlineStr">
        <is>
          <t>AirPods Pro 2 - 2023 (C-Type)</t>
        </is>
      </c>
      <c r="B28" s="3" t="n"/>
      <c r="C28" s="53" t="n">
        <v>5590000</v>
      </c>
      <c r="D28" s="64" t="n">
        <v>5590000</v>
      </c>
      <c r="E28" s="25" t="n">
        <v>5534000</v>
      </c>
      <c r="F28" s="40" t="n">
        <v>5590000</v>
      </c>
      <c r="G28" s="40" t="n">
        <v>5590000</v>
      </c>
    </row>
    <row r="29">
      <c r="A29" t="inlineStr">
        <is>
          <t>AirPods 4 ANC</t>
        </is>
      </c>
      <c r="B29" s="3" t="n"/>
      <c r="C29" s="53" t="n">
        <v>4690000</v>
      </c>
      <c r="D29" s="64" t="n">
        <v>4490000</v>
      </c>
      <c r="E29" s="25" t="n">
        <v>4346000</v>
      </c>
      <c r="F29" s="38" t="n">
        <v>4590000</v>
      </c>
      <c r="G29" s="38" t="n">
        <v>4490000</v>
      </c>
    </row>
    <row r="30">
      <c r="A30" t="inlineStr">
        <is>
          <t>AirPods 4 with charging case</t>
        </is>
      </c>
      <c r="B30" s="3" t="n"/>
      <c r="C30" s="53" t="n">
        <v>3390000</v>
      </c>
      <c r="D30" s="64" t="n">
        <v>3290000</v>
      </c>
      <c r="E30" s="25" t="n">
        <v>3190000</v>
      </c>
      <c r="F30" s="38" t="n">
        <v>3490000</v>
      </c>
      <c r="G30" s="38" t="n">
        <v>3290000</v>
      </c>
    </row>
    <row r="31">
      <c r="A31" t="inlineStr">
        <is>
          <t>MacBook Air 13" M1 8/256Gb</t>
        </is>
      </c>
      <c r="B31" s="3" t="n"/>
      <c r="C31" s="54" t="n">
        <v>16990000</v>
      </c>
      <c r="D31" s="64" t="inlineStr">
        <is>
          <t>OOS</t>
        </is>
      </c>
      <c r="E31" s="37" t="n"/>
      <c r="F31" s="39" t="n">
        <v>17190000</v>
      </c>
      <c r="G31" s="40" t="n">
        <v>16890000</v>
      </c>
    </row>
    <row r="32">
      <c r="A32" t="inlineStr">
        <is>
          <t>MacBook Air 13" M2 16/256GB</t>
        </is>
      </c>
      <c r="B32" s="25" t="n"/>
      <c r="C32" s="53" t="n">
        <v>19590000</v>
      </c>
      <c r="D32" s="64" t="n">
        <v>19590000</v>
      </c>
      <c r="E32" s="37" t="n"/>
      <c r="F32" s="34" t="n">
        <v>19790000</v>
      </c>
      <c r="G32" s="40" t="n">
        <v>19490000</v>
      </c>
    </row>
    <row r="33">
      <c r="A33" t="inlineStr">
        <is>
          <t>MacBook Air 13" M3 16/256GB</t>
        </is>
      </c>
      <c r="B33" s="3" t="n"/>
      <c r="C33" s="52" t="inlineStr">
        <is>
          <t>OOS</t>
        </is>
      </c>
      <c r="D33" s="64" t="n">
        <v>23990000</v>
      </c>
      <c r="E33" s="37" t="n"/>
      <c r="F33" s="39" t="inlineStr">
        <is>
          <t>OOS</t>
        </is>
      </c>
      <c r="G33" s="40" t="n">
        <v>25290000</v>
      </c>
    </row>
    <row r="34">
      <c r="A34" t="inlineStr">
        <is>
          <t>MacBook Air 13" M4 16/256GB</t>
        </is>
      </c>
      <c r="B34" s="3" t="n"/>
      <c r="C34" s="54" t="n">
        <v>25090000</v>
      </c>
      <c r="D34" s="62" t="n">
        <v>24990000</v>
      </c>
      <c r="E34" s="37" t="n"/>
      <c r="F34" s="34" t="n">
        <v>24990000</v>
      </c>
      <c r="G34" s="38" t="n">
        <v>24990000</v>
      </c>
    </row>
    <row r="35">
      <c r="A35" t="inlineStr">
        <is>
          <t>MacBook Air 15" M4 16/256GB</t>
        </is>
      </c>
      <c r="B35" s="25" t="n"/>
      <c r="C35" s="64" t="n">
        <v>29490000</v>
      </c>
      <c r="D35" s="62" t="n">
        <v>30490000</v>
      </c>
      <c r="E35" s="37" t="n"/>
      <c r="F35" s="34" t="n">
        <v>29290000</v>
      </c>
      <c r="G35" s="38" t="n">
        <v>29290000</v>
      </c>
    </row>
    <row r="36">
      <c r="A36" t="inlineStr">
        <is>
          <t>MacBook Pro 14" M4 16/512GB</t>
        </is>
      </c>
      <c r="B36" s="25" t="n"/>
      <c r="C36" s="53" t="n">
        <v>38290000</v>
      </c>
      <c r="D36" s="64" t="n">
        <v>38190000</v>
      </c>
      <c r="E36" s="37" t="n"/>
      <c r="F36" s="40" t="n">
        <v>37590000</v>
      </c>
      <c r="G36" s="38" t="n">
        <v>37590000</v>
      </c>
    </row>
    <row r="37">
      <c r="A37" t="inlineStr">
        <is>
          <t>MacBook Pro 16" M4 16/512GB</t>
        </is>
      </c>
      <c r="B37" s="25" t="n"/>
      <c r="C37" s="53" t="n"/>
      <c r="D37" s="64" t="n">
        <v>64990000</v>
      </c>
      <c r="E37" s="37" t="n"/>
      <c r="F37" s="40" t="n"/>
      <c r="G37" s="40" t="n">
        <v>63990000</v>
      </c>
    </row>
    <row r="38">
      <c r="C38" s="60" t="n"/>
      <c r="D38" s="60" t="n"/>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4.xml><?xml version="1.0" encoding="utf-8"?>
<worksheet xmlns="http://schemas.openxmlformats.org/spreadsheetml/2006/main">
  <sheetPr>
    <outlinePr summaryBelow="1" summaryRight="1"/>
    <pageSetUpPr/>
  </sheetPr>
  <dimension ref="A1:L154"/>
  <sheetViews>
    <sheetView zoomScale="86" zoomScaleNormal="130" workbookViewId="0">
      <pane xSplit="2" ySplit="1" topLeftCell="C6"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7" t="n"/>
      <c r="D2" s="68" t="n"/>
      <c r="E2" s="72" t="n"/>
      <c r="F2" s="40" t="n">
        <v>24990000</v>
      </c>
      <c r="G2" s="38" t="n"/>
    </row>
    <row r="3">
      <c r="A3" t="inlineStr">
        <is>
          <t>iPhone Air 256G</t>
        </is>
      </c>
      <c r="B3" s="83" t="n"/>
      <c r="C3" s="67" t="n"/>
      <c r="D3" s="68" t="n"/>
      <c r="E3" s="72" t="n"/>
      <c r="F3" s="40" t="n">
        <v>31990000</v>
      </c>
      <c r="G3" s="38" t="n"/>
    </row>
    <row r="4">
      <c r="A4" t="inlineStr">
        <is>
          <t>iPhone 17 Pro 256GB</t>
        </is>
      </c>
      <c r="B4" s="83" t="n"/>
      <c r="C4" s="67" t="n"/>
      <c r="D4" s="68" t="n"/>
      <c r="E4" s="72" t="n"/>
      <c r="F4" s="40" t="n">
        <v>34990000</v>
      </c>
      <c r="G4" s="38" t="n"/>
    </row>
    <row r="5">
      <c r="A5" t="inlineStr">
        <is>
          <t>iPhone 17 Pro Max 256GB</t>
        </is>
      </c>
      <c r="B5" s="83" t="n"/>
      <c r="C5" s="67" t="n"/>
      <c r="D5" s="68" t="n"/>
      <c r="E5" s="72" t="n"/>
      <c r="F5" s="40" t="n">
        <v>37990000</v>
      </c>
      <c r="G5" s="38" t="n"/>
    </row>
    <row r="6">
      <c r="A6" t="inlineStr">
        <is>
          <t>iPhone 16e  128GB</t>
        </is>
      </c>
      <c r="B6" s="83" t="n"/>
      <c r="C6" s="67" t="n">
        <v>15990000</v>
      </c>
      <c r="D6" s="68" t="n">
        <v>15990000</v>
      </c>
      <c r="E6" s="72" t="n">
        <v>15990000</v>
      </c>
      <c r="F6" s="40" t="n">
        <v>15590000</v>
      </c>
      <c r="G6" s="38" t="n">
        <v>14990000</v>
      </c>
    </row>
    <row r="7">
      <c r="A7" t="inlineStr">
        <is>
          <t>iPhone 16  128GB</t>
        </is>
      </c>
      <c r="B7" s="71" t="n"/>
      <c r="C7" s="69" t="n">
        <v>18890000</v>
      </c>
      <c r="D7" s="70" t="n">
        <v>18890000</v>
      </c>
      <c r="E7" s="72" t="n">
        <v>18490000</v>
      </c>
      <c r="F7" s="40" t="n">
        <v>18790000</v>
      </c>
      <c r="G7" s="40" t="n">
        <v>18590000</v>
      </c>
    </row>
    <row r="8">
      <c r="A8" t="inlineStr">
        <is>
          <t>iPhone 16  Plus 128GB</t>
        </is>
      </c>
      <c r="B8" s="3" t="n"/>
      <c r="C8" s="53" t="n">
        <v>21990000</v>
      </c>
      <c r="D8" s="64" t="n">
        <v>21990000</v>
      </c>
      <c r="E8" s="40" t="n">
        <v>21690000</v>
      </c>
      <c r="F8" s="40" t="n">
        <v>21890000</v>
      </c>
      <c r="G8" s="40" t="n">
        <v>21690000</v>
      </c>
    </row>
    <row r="9">
      <c r="A9" t="inlineStr">
        <is>
          <t>iPhone 16 Pro  128GB</t>
        </is>
      </c>
      <c r="B9" s="25" t="n"/>
      <c r="C9" s="53" t="n">
        <v>24990000</v>
      </c>
      <c r="D9" s="62" t="n">
        <v>24990000</v>
      </c>
      <c r="E9" s="40" t="n">
        <v>24290000</v>
      </c>
      <c r="F9" s="40" t="n">
        <v>24890000</v>
      </c>
      <c r="G9" s="40" t="n">
        <v>24590000</v>
      </c>
    </row>
    <row r="10">
      <c r="A10" t="inlineStr">
        <is>
          <t>iPhone 16 Pro Max 256GB</t>
        </is>
      </c>
      <c r="B10" s="3" t="n"/>
      <c r="C10" s="53" t="n">
        <v>30090000</v>
      </c>
      <c r="D10" s="64" t="n">
        <v>29990000</v>
      </c>
      <c r="E10" s="40" t="n">
        <v>29690000</v>
      </c>
      <c r="F10" s="40" t="n">
        <v>29990000</v>
      </c>
      <c r="G10" s="38" t="n">
        <v>29490000</v>
      </c>
    </row>
    <row r="11">
      <c r="A11" t="inlineStr">
        <is>
          <t>iPhone 15  128GB</t>
        </is>
      </c>
      <c r="B11" s="25" t="n"/>
      <c r="C11" s="53" t="n">
        <v>15290000</v>
      </c>
      <c r="D11" s="64" t="n">
        <v>15290000</v>
      </c>
      <c r="E11" s="25" t="n">
        <v>15190000</v>
      </c>
      <c r="F11" s="40" t="n">
        <v>15190000</v>
      </c>
      <c r="G11" s="40" t="n">
        <v>15090000</v>
      </c>
    </row>
    <row r="12">
      <c r="A12" t="inlineStr">
        <is>
          <t>iPhone 15  Plus 128GB</t>
        </is>
      </c>
      <c r="B12" s="25" t="n"/>
      <c r="C12" s="54" t="n">
        <v>18590000</v>
      </c>
      <c r="D12" s="62" t="n">
        <v>18790000</v>
      </c>
      <c r="E12" s="25" t="n">
        <v>18790000</v>
      </c>
      <c r="F12" s="40" t="n">
        <v>18790000</v>
      </c>
      <c r="G12" s="40" t="n">
        <v>18490000</v>
      </c>
    </row>
    <row r="13">
      <c r="A13" t="inlineStr">
        <is>
          <t>iPhone 15 Pro Max 256GB</t>
        </is>
      </c>
      <c r="B13" s="3" t="n"/>
      <c r="C13" s="53" t="n">
        <v>29390000</v>
      </c>
      <c r="D13" s="64" t="n">
        <v>26990000</v>
      </c>
      <c r="E13" s="40" t="inlineStr">
        <is>
          <t>OOS</t>
        </is>
      </c>
      <c r="F13" s="40" t="inlineStr">
        <is>
          <t>OOS</t>
        </is>
      </c>
      <c r="G13" s="40" t="n">
        <v>26990000</v>
      </c>
    </row>
    <row r="14">
      <c r="A14" t="inlineStr">
        <is>
          <t>iPhone 14 Plus 128GB</t>
        </is>
      </c>
      <c r="B14" s="3" t="n"/>
      <c r="C14" s="52" t="inlineStr">
        <is>
          <t>OOS</t>
        </is>
      </c>
      <c r="D14" s="63" t="inlineStr">
        <is>
          <t>OOS</t>
        </is>
      </c>
      <c r="E14" s="43" t="inlineStr">
        <is>
          <t>OOS</t>
        </is>
      </c>
      <c r="F14" s="43" t="inlineStr">
        <is>
          <t>OOS</t>
        </is>
      </c>
      <c r="G14" s="40" t="n">
        <v>17490000</v>
      </c>
    </row>
    <row r="15">
      <c r="A15" t="inlineStr">
        <is>
          <t>iPhone 14 128GB</t>
        </is>
      </c>
      <c r="B15" s="25" t="n"/>
      <c r="C15" s="53" t="n">
        <v>12390000</v>
      </c>
      <c r="D15" s="62" t="n">
        <v>12390000</v>
      </c>
      <c r="E15" s="25" t="n">
        <v>12290000</v>
      </c>
      <c r="F15" s="39" t="n">
        <v>12390000</v>
      </c>
      <c r="G15" s="40" t="n">
        <v>12190000</v>
      </c>
    </row>
    <row r="16">
      <c r="A16" t="inlineStr">
        <is>
          <t>iPhone 13  128GB</t>
        </is>
      </c>
      <c r="B16" s="3" t="n"/>
      <c r="C16" s="53" t="n">
        <v>11590000</v>
      </c>
      <c r="D16" s="53" t="n">
        <v>11490000</v>
      </c>
      <c r="E16" s="40" t="n">
        <v>11390000</v>
      </c>
      <c r="F16" s="34" t="n">
        <v>11290000</v>
      </c>
      <c r="G16" s="40" t="n">
        <v>11190000</v>
      </c>
    </row>
    <row r="17">
      <c r="A17" t="inlineStr">
        <is>
          <t>iPad Mini 7 128GB Wifi</t>
        </is>
      </c>
      <c r="B17" s="25" t="n"/>
      <c r="C17" s="54" t="n">
        <v>13590000</v>
      </c>
      <c r="D17" s="62" t="n">
        <v>13590000</v>
      </c>
      <c r="E17" s="62" t="n">
        <v>13652000</v>
      </c>
      <c r="F17" s="34" t="n">
        <v>13490000</v>
      </c>
      <c r="G17" s="40" t="n">
        <v>11590000</v>
      </c>
    </row>
    <row r="18">
      <c r="A18" t="inlineStr">
        <is>
          <t>iPad Gen 11th  128GB Wifi</t>
        </is>
      </c>
      <c r="B18" s="3" t="n"/>
      <c r="C18" s="54" t="n">
        <v>9690000</v>
      </c>
      <c r="D18" s="64" t="n">
        <v>8490000</v>
      </c>
      <c r="E18" s="62" t="n">
        <v>9296000</v>
      </c>
      <c r="F18" s="34" t="n">
        <v>9590000</v>
      </c>
      <c r="G18" s="38" t="n">
        <v>9490000</v>
      </c>
      <c r="H18" s="26" t="n"/>
      <c r="J18" t="inlineStr">
        <is>
          <t xml:space="preserve">MW </t>
        </is>
      </c>
      <c r="K18" t="inlineStr">
        <is>
          <t>Duy</t>
        </is>
      </c>
      <c r="L18" t="b">
        <v>0</v>
      </c>
    </row>
    <row r="19">
      <c r="A19" t="inlineStr">
        <is>
          <t>iPad Air M3  11" 128 GB Wifi</t>
        </is>
      </c>
      <c r="B19" s="3" t="n"/>
      <c r="C19" s="54" t="n">
        <v>16290000</v>
      </c>
      <c r="D19" s="62" t="n">
        <v>16190000</v>
      </c>
      <c r="E19" s="62" t="n">
        <v>15830000</v>
      </c>
      <c r="F19" s="34" t="n">
        <v>16090000</v>
      </c>
      <c r="G19" s="38" t="n">
        <v>15990000</v>
      </c>
      <c r="J19" t="inlineStr">
        <is>
          <t>FPT</t>
        </is>
      </c>
      <c r="K19" t="inlineStr">
        <is>
          <t>Việt</t>
        </is>
      </c>
      <c r="L19" t="b">
        <v>0</v>
      </c>
    </row>
    <row r="20">
      <c r="A20" t="inlineStr">
        <is>
          <t>iPad Air M3  13" 128 GB Wifi</t>
        </is>
      </c>
      <c r="B20" s="25" t="n"/>
      <c r="C20" s="54" t="n">
        <v>21690000</v>
      </c>
      <c r="D20" s="62" t="n">
        <v>21690000</v>
      </c>
      <c r="E20" s="25" t="n">
        <v>20490000</v>
      </c>
      <c r="F20" s="34" t="n">
        <v>21690000</v>
      </c>
      <c r="G20" s="38" t="n">
        <v>21490000</v>
      </c>
      <c r="J20" t="inlineStr">
        <is>
          <t>Viettel</t>
        </is>
      </c>
      <c r="K20" t="inlineStr">
        <is>
          <t>Nghĩa</t>
        </is>
      </c>
      <c r="L20" t="b">
        <v>0</v>
      </c>
    </row>
    <row r="21">
      <c r="A21" t="inlineStr">
        <is>
          <t>iPad Pro  M4  11" 256 GB Wifi</t>
        </is>
      </c>
      <c r="B21" s="25" t="n"/>
      <c r="C21" s="54" t="n">
        <v>26990000</v>
      </c>
      <c r="D21" s="62" t="n">
        <v>26890000</v>
      </c>
      <c r="E21" s="25" t="n">
        <v>26290000</v>
      </c>
      <c r="F21" s="34" t="n">
        <v>26790000</v>
      </c>
      <c r="G21" s="40" t="n">
        <v>25890000</v>
      </c>
      <c r="J21" t="inlineStr">
        <is>
          <t>CPS</t>
        </is>
      </c>
      <c r="K21" t="inlineStr">
        <is>
          <t>Trang</t>
        </is>
      </c>
      <c r="L21" t="b">
        <v>1</v>
      </c>
    </row>
    <row r="22">
      <c r="A22" t="inlineStr">
        <is>
          <t>iPad Pro  M4  13" 256 GB Wifi</t>
        </is>
      </c>
      <c r="B22" s="3" t="n"/>
      <c r="C22" s="54" t="n">
        <v>36090000</v>
      </c>
      <c r="D22" s="62" t="n">
        <v>35990000</v>
      </c>
      <c r="E22" s="25" t="n">
        <v>35290000</v>
      </c>
      <c r="F22" s="34" t="n">
        <v>36290000</v>
      </c>
      <c r="G22" s="38" t="n">
        <v>33690000</v>
      </c>
      <c r="J22" t="inlineStr">
        <is>
          <t>ShopDunk</t>
        </is>
      </c>
      <c r="K22" t="inlineStr">
        <is>
          <t>Đạt</t>
        </is>
      </c>
      <c r="L22" t="b">
        <v>0</v>
      </c>
    </row>
    <row r="23">
      <c r="A23" t="inlineStr">
        <is>
          <t>AW SE 2 (40mm GPS)</t>
        </is>
      </c>
      <c r="B23" s="25" t="n"/>
      <c r="C23" s="53" t="n">
        <v>5790000</v>
      </c>
      <c r="D23" s="64" t="n">
        <v>5690000</v>
      </c>
      <c r="E23" s="25" t="n">
        <v>5732000</v>
      </c>
      <c r="F23" s="39" t="n">
        <v>5590000</v>
      </c>
      <c r="G23" s="3" t="n">
        <v>5890000</v>
      </c>
    </row>
    <row r="24">
      <c r="A24" t="inlineStr">
        <is>
          <t>AW SE 2 (40mm LTE)</t>
        </is>
      </c>
      <c r="B24" s="25" t="n"/>
      <c r="C24" s="53" t="n">
        <v>6990000</v>
      </c>
      <c r="D24" s="64" t="n">
        <v>6990000</v>
      </c>
      <c r="E24" s="25" t="n">
        <v>6920000</v>
      </c>
      <c r="F24" s="39" t="n">
        <v>6990000</v>
      </c>
      <c r="G24" s="38" t="n">
        <v>7190000</v>
      </c>
    </row>
    <row r="25">
      <c r="A25" t="inlineStr">
        <is>
          <t>AW SE 2 (44mm GPS)</t>
        </is>
      </c>
      <c r="B25" s="25" t="n"/>
      <c r="C25" s="53" t="n">
        <v>6490000</v>
      </c>
      <c r="D25" s="64" t="n">
        <v>6490000</v>
      </c>
      <c r="E25" s="25" t="n">
        <v>6128000</v>
      </c>
      <c r="F25" s="39" t="n">
        <v>6290000</v>
      </c>
      <c r="G25" s="38" t="n">
        <v>6790000</v>
      </c>
    </row>
    <row r="26">
      <c r="A26" t="inlineStr">
        <is>
          <t>AW SE 2 (44mm LTE)</t>
        </is>
      </c>
      <c r="B26" s="25" t="n"/>
      <c r="C26" s="52" t="inlineStr">
        <is>
          <t>OOS</t>
        </is>
      </c>
      <c r="D26" s="64" t="n">
        <v>7790000</v>
      </c>
      <c r="E26" s="25" t="n">
        <v>7712000</v>
      </c>
      <c r="F26" s="39" t="n">
        <v>7790000</v>
      </c>
      <c r="G26" s="38" t="n">
        <v>7790000</v>
      </c>
    </row>
    <row r="27">
      <c r="A27" t="inlineStr">
        <is>
          <t>AW S10 (42mm GPS)</t>
        </is>
      </c>
      <c r="B27" s="25" t="n"/>
      <c r="C27" s="53" t="n">
        <v>10590000</v>
      </c>
      <c r="D27" s="64" t="n">
        <v>10490000</v>
      </c>
      <c r="E27" s="25" t="n">
        <v>10187000</v>
      </c>
      <c r="F27" s="39" t="n">
        <v>10390000</v>
      </c>
      <c r="G27" s="40" t="n">
        <v>10390000</v>
      </c>
      <c r="H27" s="26" t="n"/>
    </row>
    <row r="28">
      <c r="A28" t="inlineStr">
        <is>
          <t>AW S10 (42mm CEL)</t>
        </is>
      </c>
      <c r="B28" s="25" t="n"/>
      <c r="C28" s="64" t="inlineStr">
        <is>
          <t>OOS</t>
        </is>
      </c>
      <c r="D28" s="64" t="n">
        <v>12790000</v>
      </c>
      <c r="E28" s="25" t="n">
        <v>12860000</v>
      </c>
      <c r="F28" s="39" t="n">
        <v>12990000</v>
      </c>
      <c r="G28" s="40" t="n">
        <v>12890000</v>
      </c>
    </row>
    <row r="29">
      <c r="A29" t="inlineStr">
        <is>
          <t>AW S10 (46mm GPS)</t>
        </is>
      </c>
      <c r="B29" s="25" t="n"/>
      <c r="C29" s="53" t="n">
        <v>11390000</v>
      </c>
      <c r="D29" s="64" t="n">
        <v>11290000</v>
      </c>
      <c r="E29" s="25" t="n">
        <v>10880000</v>
      </c>
      <c r="F29" s="39" t="n">
        <v>11290000</v>
      </c>
      <c r="G29" s="40" t="n">
        <v>10990000</v>
      </c>
      <c r="H29" s="26" t="n"/>
      <c r="I29" s="26" t="n"/>
    </row>
    <row r="30">
      <c r="A30" t="inlineStr">
        <is>
          <t>AW S10 (46mm CEL)</t>
        </is>
      </c>
      <c r="B30" s="3" t="n"/>
      <c r="C30" s="53" t="n">
        <v>13890000</v>
      </c>
      <c r="D30" s="64" t="n">
        <v>13690000</v>
      </c>
      <c r="E30" s="25" t="n">
        <v>13553000</v>
      </c>
      <c r="F30" s="39" t="n">
        <v>13890000</v>
      </c>
      <c r="G30" s="40" t="n">
        <v>13590000</v>
      </c>
    </row>
    <row r="31">
      <c r="A31" t="inlineStr">
        <is>
          <t>AW Ultra 2 (49mm)</t>
        </is>
      </c>
      <c r="B31" s="25" t="n"/>
      <c r="C31" s="53" t="n">
        <v>21890000</v>
      </c>
      <c r="D31" s="64" t="n">
        <v>21890000</v>
      </c>
      <c r="E31" s="25" t="n">
        <v>21790000</v>
      </c>
      <c r="F31" s="40" t="n">
        <v>21590000</v>
      </c>
      <c r="G31" s="40" t="n">
        <v>22990000</v>
      </c>
    </row>
    <row r="32">
      <c r="A32" t="inlineStr">
        <is>
          <t>AirPods Pro 2 - 2023 (C-Type)</t>
        </is>
      </c>
      <c r="B32" s="3" t="n"/>
      <c r="C32" s="53" t="n">
        <v>5590000</v>
      </c>
      <c r="D32" s="64" t="n">
        <v>5590000</v>
      </c>
      <c r="E32" s="25" t="n">
        <v>5534000</v>
      </c>
      <c r="F32" s="40" t="n">
        <v>5590000</v>
      </c>
      <c r="G32" s="40" t="n">
        <v>5590000</v>
      </c>
    </row>
    <row r="33">
      <c r="A33" t="inlineStr">
        <is>
          <t>AirPods 4 ANC</t>
        </is>
      </c>
      <c r="B33" s="3" t="n"/>
      <c r="C33" s="53" t="n">
        <v>4690000</v>
      </c>
      <c r="D33" s="64" t="n">
        <v>4490000</v>
      </c>
      <c r="E33" s="25" t="n">
        <v>4346000</v>
      </c>
      <c r="F33" s="38" t="n">
        <v>4590000</v>
      </c>
      <c r="G33" s="38" t="n">
        <v>4490000</v>
      </c>
    </row>
    <row r="34">
      <c r="A34" t="inlineStr">
        <is>
          <t>AirPods 4 with charging case</t>
        </is>
      </c>
      <c r="B34" s="3" t="n"/>
      <c r="C34" s="53" t="n">
        <v>3390000</v>
      </c>
      <c r="D34" s="64" t="n">
        <v>3290000</v>
      </c>
      <c r="E34" s="25" t="n">
        <v>3190000</v>
      </c>
      <c r="F34" s="38" t="n">
        <v>3490000</v>
      </c>
      <c r="G34" s="38" t="n">
        <v>3290000</v>
      </c>
    </row>
    <row r="35">
      <c r="A35" t="inlineStr">
        <is>
          <t>MacBook Air 13" M1 8/256Gb</t>
        </is>
      </c>
      <c r="B35" s="3" t="n"/>
      <c r="C35" s="54" t="n">
        <v>16990000</v>
      </c>
      <c r="D35" s="64" t="inlineStr">
        <is>
          <t>OOS</t>
        </is>
      </c>
      <c r="E35" s="37" t="n"/>
      <c r="F35" s="39" t="n">
        <v>17190000</v>
      </c>
      <c r="G35" s="40" t="n">
        <v>16890000</v>
      </c>
    </row>
    <row r="36">
      <c r="A36" t="inlineStr">
        <is>
          <t>MacBook Air 13" M2 16/256GB</t>
        </is>
      </c>
      <c r="B36" s="25" t="n"/>
      <c r="C36" s="53" t="n">
        <v>19590000</v>
      </c>
      <c r="D36" s="64" t="n">
        <v>19590000</v>
      </c>
      <c r="E36" s="37" t="n"/>
      <c r="F36" s="34" t="n">
        <v>19790000</v>
      </c>
      <c r="G36" s="40" t="n">
        <v>19490000</v>
      </c>
    </row>
    <row r="37">
      <c r="A37" t="inlineStr">
        <is>
          <t>MacBook Air 13" M3 16/256GB</t>
        </is>
      </c>
      <c r="B37" s="3" t="n"/>
      <c r="C37" s="52" t="inlineStr">
        <is>
          <t>OOS</t>
        </is>
      </c>
      <c r="D37" s="64" t="n">
        <v>23990000</v>
      </c>
      <c r="E37" s="37" t="n"/>
      <c r="F37" s="39" t="inlineStr">
        <is>
          <t>OOS</t>
        </is>
      </c>
      <c r="G37" s="40" t="n">
        <v>25290000</v>
      </c>
    </row>
    <row r="38">
      <c r="A38" t="inlineStr">
        <is>
          <t>MacBook Air 13" M4 16/256GB</t>
        </is>
      </c>
      <c r="B38" s="3" t="n"/>
      <c r="C38" s="54" t="n">
        <v>25090000</v>
      </c>
      <c r="D38" s="62" t="n">
        <v>24990000</v>
      </c>
      <c r="E38" s="37" t="n"/>
      <c r="F38" s="34" t="n">
        <v>24990000</v>
      </c>
      <c r="G38" s="38" t="n">
        <v>24990000</v>
      </c>
    </row>
    <row r="39">
      <c r="A39" t="inlineStr">
        <is>
          <t>MacBook Air 15" M4 16/256GB</t>
        </is>
      </c>
      <c r="B39" s="25" t="n"/>
      <c r="C39" s="64" t="n">
        <v>29490000</v>
      </c>
      <c r="D39" s="62" t="n">
        <v>30490000</v>
      </c>
      <c r="E39" s="37" t="n"/>
      <c r="F39" s="34" t="n">
        <v>29290000</v>
      </c>
      <c r="G39" s="38" t="n">
        <v>29290000</v>
      </c>
    </row>
    <row r="40">
      <c r="A40" t="inlineStr">
        <is>
          <t>MacBook Pro 14" M4 16/512GB</t>
        </is>
      </c>
      <c r="B40" s="25" t="n"/>
      <c r="C40" s="53" t="n">
        <v>38290000</v>
      </c>
      <c r="D40" s="64" t="n">
        <v>38190000</v>
      </c>
      <c r="E40" s="37" t="n"/>
      <c r="F40" s="40" t="n">
        <v>37590000</v>
      </c>
      <c r="G40" s="38" t="n">
        <v>37590000</v>
      </c>
    </row>
    <row r="41">
      <c r="A41" t="inlineStr">
        <is>
          <t>MacBook Pro 16" M4 16/512GB</t>
        </is>
      </c>
      <c r="B41" s="25" t="n"/>
      <c r="C41" s="53" t="n"/>
      <c r="D41" s="64" t="n">
        <v>64990000</v>
      </c>
      <c r="E41" s="37" t="n"/>
      <c r="F41" s="40" t="n"/>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row r="154">
      <c r="C154" s="60" t="n"/>
      <c r="D154"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5.xml><?xml version="1.0" encoding="utf-8"?>
<worksheet xmlns="http://schemas.openxmlformats.org/spreadsheetml/2006/main">
  <sheetPr>
    <outlinePr summaryBelow="1" summaryRight="1"/>
    <pageSetUpPr/>
  </sheetPr>
  <dimension ref="A1:L153"/>
  <sheetViews>
    <sheetView zoomScale="110"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24590000</v>
      </c>
      <c r="F2" s="40" t="n">
        <v>24990000</v>
      </c>
      <c r="G2" s="40" t="n">
        <v>24990000</v>
      </c>
    </row>
    <row r="3">
      <c r="A3" t="inlineStr">
        <is>
          <t>iPhone Air 256G</t>
        </is>
      </c>
      <c r="B3" s="83" t="n"/>
      <c r="C3" s="68" t="n">
        <v>31990000</v>
      </c>
      <c r="D3" s="68" t="n">
        <v>31990000</v>
      </c>
      <c r="E3" s="72" t="n">
        <v>30990000</v>
      </c>
      <c r="F3" s="40" t="n">
        <v>31990000</v>
      </c>
      <c r="G3" s="40" t="n">
        <v>31990000</v>
      </c>
    </row>
    <row r="4">
      <c r="A4" t="inlineStr">
        <is>
          <t>iPhone 17 Pro 256GB</t>
        </is>
      </c>
      <c r="B4" s="83" t="n"/>
      <c r="C4" s="68" t="n">
        <v>34990000</v>
      </c>
      <c r="D4" s="68" t="n">
        <v>34990000</v>
      </c>
      <c r="E4" s="72" t="n">
        <v>34490000</v>
      </c>
      <c r="F4" s="40" t="n">
        <v>34990000</v>
      </c>
      <c r="G4" s="40" t="n">
        <v>34990000</v>
      </c>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67" t="n">
        <v>15990000</v>
      </c>
      <c r="D6" s="68" t="n">
        <v>15990000</v>
      </c>
      <c r="E6" s="72" t="n">
        <v>15990000</v>
      </c>
      <c r="F6" s="40" t="n">
        <v>15590000</v>
      </c>
      <c r="G6" s="40" t="n">
        <v>14990000</v>
      </c>
    </row>
    <row r="7">
      <c r="A7" t="inlineStr">
        <is>
          <t>iPhone 16  128GB</t>
        </is>
      </c>
      <c r="B7" s="71" t="n"/>
      <c r="C7" s="69" t="n">
        <v>18890000</v>
      </c>
      <c r="D7" s="70" t="n">
        <v>18890000</v>
      </c>
      <c r="E7" s="72" t="n">
        <v>18490000</v>
      </c>
      <c r="F7" s="40" t="n">
        <v>18790000</v>
      </c>
      <c r="G7" s="40" t="n">
        <v>18590000</v>
      </c>
    </row>
    <row r="8">
      <c r="A8" t="inlineStr">
        <is>
          <t>iPhone 16  Plus 128GB</t>
        </is>
      </c>
      <c r="B8" s="3" t="n"/>
      <c r="C8" s="53" t="n">
        <v>21990000</v>
      </c>
      <c r="D8" s="64" t="n">
        <v>21990000</v>
      </c>
      <c r="E8" s="40" t="n">
        <v>21690000</v>
      </c>
      <c r="F8" s="40" t="n">
        <v>21890000</v>
      </c>
      <c r="G8" s="40" t="n">
        <v>21690000</v>
      </c>
    </row>
    <row r="9">
      <c r="A9" t="inlineStr">
        <is>
          <t>iPhone 16 Pro  128GB</t>
        </is>
      </c>
      <c r="B9" s="25" t="n"/>
      <c r="C9" s="54" t="n">
        <v>25090000</v>
      </c>
      <c r="D9" s="64" t="n">
        <v>24990000</v>
      </c>
      <c r="E9" s="40" t="n">
        <v>24290000</v>
      </c>
      <c r="F9" s="40" t="n">
        <v>24890000</v>
      </c>
      <c r="G9" s="40" t="n">
        <v>24590000</v>
      </c>
    </row>
    <row r="10">
      <c r="A10" t="inlineStr">
        <is>
          <t>iPhone 16 Pro Max 256GB</t>
        </is>
      </c>
      <c r="B10" s="3" t="n"/>
      <c r="C10" s="53" t="n">
        <v>30090000</v>
      </c>
      <c r="D10" s="64" t="n">
        <v>29990000</v>
      </c>
      <c r="E10" s="40" t="n">
        <v>29690000</v>
      </c>
      <c r="F10" s="40" t="n">
        <v>29990000</v>
      </c>
      <c r="G10" s="38" t="n">
        <v>29790000</v>
      </c>
    </row>
    <row r="11">
      <c r="A11" t="inlineStr">
        <is>
          <t>iPhone 15  128GB</t>
        </is>
      </c>
      <c r="B11" s="25" t="n"/>
      <c r="C11" s="54" t="n">
        <v>15490000</v>
      </c>
      <c r="D11" s="64" t="n">
        <v>15290000</v>
      </c>
      <c r="E11" s="25" t="n">
        <v>15190000</v>
      </c>
      <c r="F11" s="40" t="n">
        <v>15190000</v>
      </c>
      <c r="G11" s="40" t="n">
        <v>15090000</v>
      </c>
    </row>
    <row r="12">
      <c r="A12" t="inlineStr">
        <is>
          <t>iPhone 15  Plus 128GB</t>
        </is>
      </c>
      <c r="B12" s="25" t="n"/>
      <c r="C12" s="54" t="n">
        <v>18890000</v>
      </c>
      <c r="D12" s="64" t="n">
        <v>18790000</v>
      </c>
      <c r="E12" s="25" t="n">
        <v>18790000</v>
      </c>
      <c r="F12" s="40" t="n">
        <v>18790000</v>
      </c>
      <c r="G12" s="40" t="n">
        <v>18490000</v>
      </c>
    </row>
    <row r="13">
      <c r="A13" t="inlineStr">
        <is>
          <t>iPhone 14 128GB</t>
        </is>
      </c>
      <c r="B13" s="25" t="n"/>
      <c r="C13" s="54" t="n">
        <v>12590000</v>
      </c>
      <c r="D13" s="62" t="n">
        <v>12490000</v>
      </c>
      <c r="E13" s="25" t="n">
        <v>12290000</v>
      </c>
      <c r="F13" s="34" t="n">
        <v>12190000</v>
      </c>
      <c r="G13" s="40" t="n">
        <v>12190000</v>
      </c>
    </row>
    <row r="14">
      <c r="A14" t="inlineStr">
        <is>
          <t>iPhone 13  128GB</t>
        </is>
      </c>
      <c r="B14" s="3" t="n"/>
      <c r="C14" s="53" t="n">
        <v>11590000</v>
      </c>
      <c r="D14" s="53" t="n">
        <v>11490000</v>
      </c>
      <c r="E14" s="40" t="n">
        <v>11390000</v>
      </c>
      <c r="F14" s="34" t="n">
        <v>11390000</v>
      </c>
      <c r="G14" s="40" t="n">
        <v>11190000</v>
      </c>
    </row>
    <row r="15">
      <c r="A15" t="inlineStr">
        <is>
          <t>iPad Mini 7 128GB Wifi</t>
        </is>
      </c>
      <c r="B15" s="25" t="n"/>
      <c r="C15" s="53" t="n">
        <v>13590000</v>
      </c>
      <c r="D15" s="64" t="n">
        <v>13590000</v>
      </c>
      <c r="E15" s="25" t="n">
        <v>13652000</v>
      </c>
      <c r="F15" s="39" t="n">
        <v>13490000</v>
      </c>
      <c r="G15" s="40" t="n">
        <v>11590000</v>
      </c>
    </row>
    <row r="16">
      <c r="A16" t="inlineStr">
        <is>
          <t>iPad Gen 11th  128GB Wifi</t>
        </is>
      </c>
      <c r="B16" s="3" t="n"/>
      <c r="C16" s="53" t="n">
        <v>9690000</v>
      </c>
      <c r="D16" s="64" t="n">
        <v>8490000</v>
      </c>
      <c r="E16" s="25" t="n">
        <v>9296000</v>
      </c>
      <c r="F16" s="39" t="n">
        <v>9590000</v>
      </c>
      <c r="G16" s="38" t="n">
        <v>9190000</v>
      </c>
      <c r="H16" s="26" t="n"/>
      <c r="J16" t="inlineStr">
        <is>
          <t xml:space="preserve">MW </t>
        </is>
      </c>
      <c r="K16" t="inlineStr">
        <is>
          <t>Duy</t>
        </is>
      </c>
      <c r="L16" t="b">
        <v>1</v>
      </c>
    </row>
    <row r="17">
      <c r="A17" t="inlineStr">
        <is>
          <t>iPad Air M3  11" 128 GB Wifi</t>
        </is>
      </c>
      <c r="B17" s="3" t="n"/>
      <c r="C17" s="53" t="n">
        <v>16290000</v>
      </c>
      <c r="D17" s="64" t="n">
        <v>16190000</v>
      </c>
      <c r="E17" s="25" t="n">
        <v>15830000</v>
      </c>
      <c r="F17" s="39" t="n">
        <v>16090000</v>
      </c>
      <c r="G17" s="40" t="n">
        <v>15990000</v>
      </c>
      <c r="J17" t="inlineStr">
        <is>
          <t>FPT</t>
        </is>
      </c>
      <c r="K17" t="inlineStr">
        <is>
          <t>Việt</t>
        </is>
      </c>
      <c r="L17" t="b">
        <v>1</v>
      </c>
    </row>
    <row r="18">
      <c r="A18" t="inlineStr">
        <is>
          <t>iPad Air M3  13" 128 GB Wifi</t>
        </is>
      </c>
      <c r="B18" s="25" t="n"/>
      <c r="C18" s="54" t="n">
        <v>21590000</v>
      </c>
      <c r="D18" s="64" t="n">
        <v>21690000</v>
      </c>
      <c r="E18" s="25" t="n">
        <v>20490000</v>
      </c>
      <c r="F18" s="34" t="n">
        <v>21690000</v>
      </c>
      <c r="G18" s="40" t="n">
        <v>21490000</v>
      </c>
      <c r="J18" t="inlineStr">
        <is>
          <t>Viettel</t>
        </is>
      </c>
      <c r="K18" t="inlineStr">
        <is>
          <t>Nghĩa</t>
        </is>
      </c>
      <c r="L18" t="b">
        <v>1</v>
      </c>
    </row>
    <row r="19">
      <c r="A19" t="inlineStr">
        <is>
          <t>iPad Pro  M4  11" 256 GB Wifi</t>
        </is>
      </c>
      <c r="B19" s="25" t="n"/>
      <c r="C19" s="54" t="n">
        <v>27090000</v>
      </c>
      <c r="D19" s="64" t="n">
        <v>26890000</v>
      </c>
      <c r="E19" s="25" t="n">
        <v>26290000</v>
      </c>
      <c r="F19" s="34" t="n">
        <v>26990000</v>
      </c>
      <c r="G19" s="38" t="n">
        <v>26590000</v>
      </c>
      <c r="J19" t="inlineStr">
        <is>
          <t>CPS</t>
        </is>
      </c>
      <c r="K19" t="inlineStr">
        <is>
          <t>Trang</t>
        </is>
      </c>
      <c r="L19" t="b">
        <v>1</v>
      </c>
    </row>
    <row r="20">
      <c r="A20" t="inlineStr">
        <is>
          <t>iPad Pro  M4  13" 256 GB Wifi</t>
        </is>
      </c>
      <c r="B20" s="3" t="n"/>
      <c r="C20" s="53" t="n">
        <v>36090000</v>
      </c>
      <c r="D20" s="64" t="n">
        <v>35990000</v>
      </c>
      <c r="E20" s="25" t="n">
        <v>35290000</v>
      </c>
      <c r="F20" s="39" t="n">
        <v>36290000</v>
      </c>
      <c r="G20" s="40" t="n">
        <v>33690000</v>
      </c>
      <c r="J20" t="inlineStr">
        <is>
          <t>ShopDunk</t>
        </is>
      </c>
      <c r="K20" t="inlineStr">
        <is>
          <t>Đạt</t>
        </is>
      </c>
      <c r="L20" t="b">
        <v>1</v>
      </c>
    </row>
    <row r="21">
      <c r="A21" t="inlineStr">
        <is>
          <t>AW SE 2 (40mm GPS)</t>
        </is>
      </c>
      <c r="B21" s="25" t="n"/>
      <c r="C21" s="53" t="n">
        <v>5790000</v>
      </c>
      <c r="D21" s="64" t="n">
        <v>5690000</v>
      </c>
      <c r="E21" s="38" t="n">
        <v>5435000</v>
      </c>
      <c r="F21" s="39" t="n">
        <v>5590000</v>
      </c>
      <c r="G21" s="3" t="n">
        <v>6990000</v>
      </c>
    </row>
    <row r="22">
      <c r="A22" t="inlineStr">
        <is>
          <t>AW SE 2 (40mm LTE)</t>
        </is>
      </c>
      <c r="B22" s="25" t="n"/>
      <c r="C22" s="52" t="inlineStr">
        <is>
          <t>OOS</t>
        </is>
      </c>
      <c r="D22" s="64" t="n">
        <v>6990000</v>
      </c>
      <c r="E22" s="25" t="n">
        <v>6920000</v>
      </c>
      <c r="F22" s="39" t="n">
        <v>6990000</v>
      </c>
      <c r="G22" s="38" t="n">
        <v>8499000</v>
      </c>
    </row>
    <row r="23">
      <c r="A23" t="inlineStr">
        <is>
          <t>AW SE 2 (44mm GPS)</t>
        </is>
      </c>
      <c r="B23" s="25" t="n"/>
      <c r="C23" s="53" t="n">
        <v>6490000</v>
      </c>
      <c r="D23" s="64" t="n">
        <v>6490000</v>
      </c>
      <c r="E23" s="38" t="n">
        <v>6326000</v>
      </c>
      <c r="F23" s="39" t="n">
        <v>6290000</v>
      </c>
      <c r="G23" s="38" t="n">
        <v>7849000</v>
      </c>
    </row>
    <row r="24">
      <c r="A24" t="inlineStr">
        <is>
          <t>AW SE 2 (44mm LTE)</t>
        </is>
      </c>
      <c r="B24" s="25" t="n"/>
      <c r="C24" s="52" t="inlineStr">
        <is>
          <t>OOS</t>
        </is>
      </c>
      <c r="D24" s="64" t="n">
        <v>7790000</v>
      </c>
      <c r="E24" s="25" t="n">
        <v>7712000</v>
      </c>
      <c r="F24" s="39" t="n">
        <v>7790000</v>
      </c>
      <c r="G24" s="38" t="n">
        <v>8490000</v>
      </c>
    </row>
    <row r="25">
      <c r="A25" t="inlineStr">
        <is>
          <t>AW S10 (42mm GPS)</t>
        </is>
      </c>
      <c r="B25" s="25" t="n"/>
      <c r="C25" s="53" t="n">
        <v>10590000</v>
      </c>
      <c r="D25" s="64" t="n">
        <v>10490000</v>
      </c>
      <c r="E25" s="38" t="n">
        <v>9890000</v>
      </c>
      <c r="F25" s="34" t="n">
        <v>10790000</v>
      </c>
      <c r="G25" s="40" t="n">
        <v>10390000</v>
      </c>
      <c r="H25" s="26" t="n"/>
    </row>
    <row r="26">
      <c r="A26" t="inlineStr">
        <is>
          <t>AW S10 (42mm CEL)</t>
        </is>
      </c>
      <c r="B26" s="25" t="n"/>
      <c r="C26" s="64" t="inlineStr">
        <is>
          <t>OOS</t>
        </is>
      </c>
      <c r="D26" s="64" t="n">
        <v>12790000</v>
      </c>
      <c r="E26" s="38" t="n">
        <v>12365000</v>
      </c>
      <c r="F26" s="39" t="n">
        <v>12990000</v>
      </c>
      <c r="G26" s="40" t="n">
        <v>12890000</v>
      </c>
    </row>
    <row r="27">
      <c r="A27" t="inlineStr">
        <is>
          <t>AW S10 (46mm GPS)</t>
        </is>
      </c>
      <c r="B27" s="25" t="n"/>
      <c r="C27" s="53" t="n">
        <v>11390000</v>
      </c>
      <c r="D27" s="64" t="n">
        <v>11290000</v>
      </c>
      <c r="E27" s="38" t="n">
        <v>10583000</v>
      </c>
      <c r="F27" s="39" t="n">
        <v>11290000</v>
      </c>
      <c r="G27" s="40" t="n">
        <v>10990000</v>
      </c>
      <c r="H27" s="26" t="n"/>
      <c r="I27" s="26" t="n"/>
    </row>
    <row r="28">
      <c r="A28" t="inlineStr">
        <is>
          <t>AW S10 (46mm CEL)</t>
        </is>
      </c>
      <c r="B28" s="3" t="n"/>
      <c r="C28" s="54" t="n">
        <v>13690000</v>
      </c>
      <c r="D28" s="64" t="n">
        <v>13690000</v>
      </c>
      <c r="E28" s="38" t="n">
        <v>13150000</v>
      </c>
      <c r="F28" s="39" t="n">
        <v>13890000</v>
      </c>
      <c r="G28" s="40" t="n">
        <v>13590000</v>
      </c>
    </row>
    <row r="29">
      <c r="A29" t="inlineStr">
        <is>
          <t>AW Ultra 2 (49mm)</t>
        </is>
      </c>
      <c r="B29" s="25" t="n"/>
      <c r="C29" s="53" t="n">
        <v>21890000</v>
      </c>
      <c r="D29" s="64" t="n">
        <v>21890000</v>
      </c>
      <c r="E29" s="25" t="n">
        <v>21790000</v>
      </c>
      <c r="F29" s="38" t="n">
        <v>21290000</v>
      </c>
      <c r="G29" s="40" t="n">
        <v>22990000</v>
      </c>
    </row>
    <row r="30">
      <c r="A30" t="inlineStr">
        <is>
          <t>AirPods Pro 2 - 2023 (C-Type)</t>
        </is>
      </c>
      <c r="B30" s="3" t="n"/>
      <c r="C30" s="53" t="n">
        <v>5590000</v>
      </c>
      <c r="D30" s="64" t="n">
        <v>5590000</v>
      </c>
      <c r="E30" s="25" t="n">
        <v>5534000</v>
      </c>
      <c r="F30" s="40" t="n">
        <v>5590000</v>
      </c>
      <c r="G30" s="40" t="n">
        <v>5590000</v>
      </c>
    </row>
    <row r="31">
      <c r="A31" t="inlineStr">
        <is>
          <t>AirPods 4 ANC</t>
        </is>
      </c>
      <c r="B31" s="3" t="n"/>
      <c r="C31" s="53" t="n">
        <v>4690000</v>
      </c>
      <c r="D31" s="64" t="n">
        <v>4490000</v>
      </c>
      <c r="E31" s="25" t="n">
        <v>4346000</v>
      </c>
      <c r="F31" s="40" t="n">
        <v>4590000</v>
      </c>
      <c r="G31" s="40" t="n">
        <v>4490000</v>
      </c>
    </row>
    <row r="32">
      <c r="A32" t="inlineStr">
        <is>
          <t>AirPods 4 with charging case</t>
        </is>
      </c>
      <c r="B32" s="3" t="n"/>
      <c r="C32" s="53" t="n">
        <v>3390000</v>
      </c>
      <c r="D32" s="64" t="n">
        <v>3290000</v>
      </c>
      <c r="E32" s="38" t="n">
        <v>3390000</v>
      </c>
      <c r="F32" s="40" t="n">
        <v>3390000</v>
      </c>
      <c r="G32" s="40" t="n">
        <v>3290000</v>
      </c>
    </row>
    <row r="33">
      <c r="A33" t="inlineStr">
        <is>
          <t>AirPods Pro 3</t>
        </is>
      </c>
      <c r="B33" s="3" t="n"/>
      <c r="C33" s="40" t="n">
        <v>6790000</v>
      </c>
      <c r="D33" s="64" t="n">
        <v>6690000</v>
      </c>
      <c r="E33" s="25" t="n"/>
      <c r="F33" s="40" t="n"/>
      <c r="G33" s="40" t="n">
        <v>6799000</v>
      </c>
    </row>
    <row r="34">
      <c r="A34" t="inlineStr">
        <is>
          <t>MacBook Air 13" M1 8/256Gb</t>
        </is>
      </c>
      <c r="B34" s="3" t="n"/>
      <c r="C34" s="54" t="n">
        <v>17190000</v>
      </c>
      <c r="D34" s="64" t="inlineStr">
        <is>
          <t>OOS</t>
        </is>
      </c>
      <c r="E34" s="37" t="n"/>
      <c r="F34" s="39" t="n">
        <v>17190000</v>
      </c>
      <c r="G34" s="40" t="n">
        <v>16890000</v>
      </c>
    </row>
    <row r="35">
      <c r="A35" t="inlineStr">
        <is>
          <t>MacBook Air 13" M2 16/256GB</t>
        </is>
      </c>
      <c r="B35" s="25" t="n"/>
      <c r="C35" s="54" t="n">
        <v>19790000</v>
      </c>
      <c r="D35" s="64" t="n">
        <v>19590000</v>
      </c>
      <c r="E35" s="37" t="n"/>
      <c r="F35" s="39" t="n">
        <v>19790000</v>
      </c>
      <c r="G35" s="40" t="n">
        <v>19390000</v>
      </c>
    </row>
    <row r="36">
      <c r="A36" t="inlineStr">
        <is>
          <t>MacBook Air 13" M3 16/256GB</t>
        </is>
      </c>
      <c r="B36" s="3" t="n"/>
      <c r="C36" s="52" t="inlineStr">
        <is>
          <t>OOS</t>
        </is>
      </c>
      <c r="D36" s="64" t="n">
        <v>23990000</v>
      </c>
      <c r="E36" s="37" t="n"/>
      <c r="F36" s="39" t="inlineStr">
        <is>
          <t>OOS</t>
        </is>
      </c>
      <c r="G36" s="40" t="n">
        <v>25290000</v>
      </c>
    </row>
    <row r="37">
      <c r="A37" t="inlineStr">
        <is>
          <t>MacBook Air 13" M4 16/256GB</t>
        </is>
      </c>
      <c r="B37" s="3" t="n"/>
      <c r="C37" s="53" t="n">
        <v>25090000</v>
      </c>
      <c r="D37" s="64" t="n">
        <v>24990000</v>
      </c>
      <c r="E37" s="37" t="n"/>
      <c r="F37" s="34" t="n">
        <v>25090000</v>
      </c>
      <c r="G37" s="40" t="n">
        <v>24990000</v>
      </c>
    </row>
    <row r="38">
      <c r="A38" t="inlineStr">
        <is>
          <t>MacBook Air 15" M4 16/256GB</t>
        </is>
      </c>
      <c r="B38" s="25" t="n"/>
      <c r="C38" s="64" t="n">
        <v>29490000</v>
      </c>
      <c r="D38" s="64" t="n">
        <v>30490000</v>
      </c>
      <c r="E38" s="37" t="n"/>
      <c r="F38" s="39" t="n">
        <v>29290000</v>
      </c>
      <c r="G38" s="40" t="n">
        <v>29290000</v>
      </c>
    </row>
    <row r="39">
      <c r="A39" t="inlineStr">
        <is>
          <t>MacBook Pro 14" M4 16/512GB</t>
        </is>
      </c>
      <c r="B39" s="25" t="n"/>
      <c r="C39" s="53" t="n">
        <v>38290000</v>
      </c>
      <c r="D39" s="64" t="n">
        <v>38190000</v>
      </c>
      <c r="E39" s="37" t="n"/>
      <c r="F39" s="40" t="n">
        <v>37590000</v>
      </c>
      <c r="G39" s="40" t="n">
        <v>37590000</v>
      </c>
    </row>
    <row r="40">
      <c r="A40" t="inlineStr">
        <is>
          <t>MacBook Pro 16" M4 16/512GB</t>
        </is>
      </c>
      <c r="B40" s="25" t="n"/>
      <c r="C40" s="53" t="n"/>
      <c r="D40" s="64" t="n">
        <v>64990000</v>
      </c>
      <c r="E40" s="37" t="n"/>
      <c r="F40" s="40" t="n"/>
      <c r="G40" s="40" t="n">
        <v>63990000</v>
      </c>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6.xml><?xml version="1.0" encoding="utf-8"?>
<worksheet xmlns="http://schemas.openxmlformats.org/spreadsheetml/2006/main">
  <sheetPr>
    <outlinePr summaryBelow="1" summaryRight="1"/>
    <pageSetUpPr/>
  </sheetPr>
  <dimension ref="A1:L153"/>
  <sheetViews>
    <sheetView zoomScale="110" zoomScaleNormal="130" workbookViewId="0">
      <pane xSplit="2" ySplit="1" topLeftCell="C2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31990000</v>
      </c>
      <c r="D3" s="68" t="n">
        <v>31990000</v>
      </c>
      <c r="E3" s="72" t="n">
        <v>30990000</v>
      </c>
      <c r="F3" s="40" t="n">
        <v>31990000</v>
      </c>
      <c r="G3" s="40" t="n">
        <v>31990000</v>
      </c>
    </row>
    <row r="4">
      <c r="A4" t="inlineStr">
        <is>
          <t>iPhone 17 Pro 256GB</t>
        </is>
      </c>
      <c r="B4" s="83" t="n"/>
      <c r="C4" s="68" t="n">
        <v>34990000</v>
      </c>
      <c r="D4" s="68" t="n">
        <v>34990000</v>
      </c>
      <c r="E4" s="38" t="n">
        <v>33990000</v>
      </c>
      <c r="F4" s="40" t="n">
        <v>34990000</v>
      </c>
      <c r="G4" s="40" t="n">
        <v>34990000</v>
      </c>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67" t="n">
        <v>15990000</v>
      </c>
      <c r="D6" s="68" t="n">
        <v>15990000</v>
      </c>
      <c r="E6" s="72" t="n">
        <v>15790000</v>
      </c>
      <c r="F6" s="40" t="n">
        <v>15590000</v>
      </c>
      <c r="G6" s="40" t="n">
        <v>14990000</v>
      </c>
    </row>
    <row r="7">
      <c r="A7" t="inlineStr">
        <is>
          <t>iPhone 16  128GB</t>
        </is>
      </c>
      <c r="B7" s="71" t="n"/>
      <c r="C7" s="74" t="n">
        <v>19990000</v>
      </c>
      <c r="D7" s="73" t="n">
        <v>19990000</v>
      </c>
      <c r="E7" s="72" t="n">
        <v>18490000</v>
      </c>
      <c r="F7" s="38" t="n">
        <v>18990000</v>
      </c>
      <c r="G7" s="40" t="n">
        <v>18590000</v>
      </c>
    </row>
    <row r="8">
      <c r="A8" t="inlineStr">
        <is>
          <t>iPhone 16  Plus 128GB</t>
        </is>
      </c>
      <c r="B8" s="3" t="n"/>
      <c r="C8" s="54" t="n">
        <v>22990000</v>
      </c>
      <c r="D8" s="62" t="n">
        <v>22990000</v>
      </c>
      <c r="E8" s="40" t="n">
        <v>21890000</v>
      </c>
      <c r="F8" s="38" t="n">
        <v>22890000</v>
      </c>
      <c r="G8" s="40" t="n">
        <v>21690000</v>
      </c>
    </row>
    <row r="9">
      <c r="A9" t="inlineStr">
        <is>
          <t>iPhone 16 Pro  128GB</t>
        </is>
      </c>
      <c r="B9" s="25" t="n"/>
      <c r="C9" s="54" t="n">
        <v>25590000</v>
      </c>
      <c r="D9" s="62" t="n">
        <v>25590000</v>
      </c>
      <c r="E9" s="40" t="n">
        <v>24290000</v>
      </c>
      <c r="F9" s="38" t="n">
        <v>25390000</v>
      </c>
      <c r="G9" s="38" t="n">
        <v>25490000</v>
      </c>
      <c r="H9" t="n">
        <v>900</v>
      </c>
    </row>
    <row r="10">
      <c r="A10" t="inlineStr">
        <is>
          <t>iPhone 16 Pro Max 256GB</t>
        </is>
      </c>
      <c r="B10" s="3" t="n"/>
      <c r="C10" s="54" t="n">
        <v>30590000</v>
      </c>
      <c r="D10" s="62" t="n">
        <v>30490000</v>
      </c>
      <c r="E10" s="40" t="n">
        <v>29690000</v>
      </c>
      <c r="F10" s="38" t="n">
        <v>30390000</v>
      </c>
      <c r="G10" s="38" t="n">
        <v>30390000</v>
      </c>
      <c r="H10" t="n">
        <v>600</v>
      </c>
    </row>
    <row r="11">
      <c r="A11" t="inlineStr">
        <is>
          <t>iPhone 15  128GB</t>
        </is>
      </c>
      <c r="B11" s="25" t="n"/>
      <c r="C11" s="54" t="n">
        <v>15990000</v>
      </c>
      <c r="D11" s="62" t="n">
        <v>15990000</v>
      </c>
      <c r="E11" s="25" t="n">
        <v>15190000</v>
      </c>
      <c r="F11" s="38" t="n">
        <v>15990000</v>
      </c>
      <c r="G11" s="38" t="n">
        <v>15990000</v>
      </c>
      <c r="H11" t="n">
        <v>900</v>
      </c>
    </row>
    <row r="12">
      <c r="A12" t="inlineStr">
        <is>
          <t>iPhone 15  Plus 128GB</t>
        </is>
      </c>
      <c r="B12" s="25" t="n"/>
      <c r="C12" s="54" t="n">
        <v>19590000</v>
      </c>
      <c r="D12" s="62" t="n">
        <v>18890000</v>
      </c>
      <c r="E12" s="25" t="n">
        <v>18490000</v>
      </c>
      <c r="F12" s="40" t="n">
        <v>18790000</v>
      </c>
      <c r="G12" s="40" t="n">
        <v>18490000</v>
      </c>
    </row>
    <row r="13">
      <c r="A13" t="inlineStr">
        <is>
          <t>iPhone 14 128GB</t>
        </is>
      </c>
      <c r="B13" s="25" t="n"/>
      <c r="C13" s="54" t="n">
        <v>12990000</v>
      </c>
      <c r="D13" s="62" t="n">
        <v>12990000</v>
      </c>
      <c r="E13" s="25" t="n">
        <v>12490000</v>
      </c>
      <c r="F13" s="34" t="n">
        <v>12990000</v>
      </c>
      <c r="G13" s="40" t="n">
        <v>12190000</v>
      </c>
    </row>
    <row r="14">
      <c r="A14" t="inlineStr">
        <is>
          <t>iPhone 13  128GB</t>
        </is>
      </c>
      <c r="B14" s="3" t="n"/>
      <c r="C14" s="54" t="n">
        <v>11990000</v>
      </c>
      <c r="D14" s="54" t="n">
        <v>11890000</v>
      </c>
      <c r="E14" s="40" t="n">
        <v>11290000</v>
      </c>
      <c r="F14" s="34" t="n">
        <v>11890000</v>
      </c>
      <c r="G14" s="40" t="n">
        <v>11190000</v>
      </c>
    </row>
    <row r="15">
      <c r="A15" t="inlineStr">
        <is>
          <t>iPad Mini 7 128GB Wifi</t>
        </is>
      </c>
      <c r="B15" s="25" t="n"/>
      <c r="C15" s="53" t="n">
        <v>13590000</v>
      </c>
      <c r="D15" s="64" t="n">
        <v>13590000</v>
      </c>
      <c r="E15" s="25" t="n">
        <v>13652000</v>
      </c>
      <c r="F15" s="39" t="n">
        <v>13390000</v>
      </c>
      <c r="G15" s="40" t="n">
        <v>11590000</v>
      </c>
    </row>
    <row r="16">
      <c r="A16" t="inlineStr">
        <is>
          <t>iPad Gen 11th  128GB Wifi</t>
        </is>
      </c>
      <c r="B16" s="3" t="n"/>
      <c r="C16" s="53" t="n">
        <v>9690000</v>
      </c>
      <c r="D16" s="62" t="n">
        <v>9590000</v>
      </c>
      <c r="E16" s="38" t="n">
        <v>9390000</v>
      </c>
      <c r="F16" s="39" t="n">
        <v>9590000</v>
      </c>
      <c r="G16" s="40" t="n">
        <v>9190000</v>
      </c>
      <c r="H16" s="26" t="n"/>
      <c r="J16" t="inlineStr">
        <is>
          <t xml:space="preserve">MW </t>
        </is>
      </c>
      <c r="K16" t="inlineStr">
        <is>
          <t>Duy</t>
        </is>
      </c>
      <c r="L16" t="b">
        <v>1</v>
      </c>
    </row>
    <row r="17">
      <c r="A17" t="inlineStr">
        <is>
          <t>iPad Air M3  11" 128 GB Wifi</t>
        </is>
      </c>
      <c r="B17" s="3" t="n"/>
      <c r="C17" s="53" t="n">
        <v>16290000</v>
      </c>
      <c r="D17" s="64" t="n">
        <v>16190000</v>
      </c>
      <c r="E17" s="38" t="n">
        <v>15790000</v>
      </c>
      <c r="F17" s="39" t="n">
        <v>16090000</v>
      </c>
      <c r="G17" s="40" t="n">
        <v>15990000</v>
      </c>
      <c r="J17" t="inlineStr">
        <is>
          <t>FPT</t>
        </is>
      </c>
      <c r="K17" t="inlineStr">
        <is>
          <t>Việt</t>
        </is>
      </c>
      <c r="L17" t="b">
        <v>1</v>
      </c>
    </row>
    <row r="18">
      <c r="A18" t="inlineStr">
        <is>
          <t>iPad Air M3  13" 128 GB Wifi</t>
        </is>
      </c>
      <c r="B18" s="25" t="n"/>
      <c r="C18" s="54" t="n">
        <v>21590000</v>
      </c>
      <c r="D18" s="64" t="n">
        <v>21690000</v>
      </c>
      <c r="E18" s="25" t="n">
        <v>20490000</v>
      </c>
      <c r="F18" s="39" t="n">
        <v>21690000</v>
      </c>
      <c r="G18" s="40" t="n">
        <v>21490000</v>
      </c>
      <c r="J18" t="inlineStr">
        <is>
          <t>Viettel</t>
        </is>
      </c>
      <c r="K18" t="inlineStr">
        <is>
          <t>Nghĩa</t>
        </is>
      </c>
      <c r="L18" t="b">
        <v>1</v>
      </c>
    </row>
    <row r="19">
      <c r="A19" t="inlineStr">
        <is>
          <t>iPad Pro  M4  11" 256 GB Wifi</t>
        </is>
      </c>
      <c r="B19" s="25" t="n"/>
      <c r="C19" s="54" t="n">
        <v>27090000</v>
      </c>
      <c r="D19" s="62" t="n">
        <v>27190000</v>
      </c>
      <c r="E19" s="38" t="n">
        <v>26490000</v>
      </c>
      <c r="F19" s="34" t="n">
        <v>27490000</v>
      </c>
      <c r="G19" s="38" t="n">
        <v>27390000</v>
      </c>
      <c r="H19" t="n">
        <v>800</v>
      </c>
      <c r="J19" t="inlineStr">
        <is>
          <t>CPS</t>
        </is>
      </c>
      <c r="K19" t="inlineStr">
        <is>
          <t>Trang</t>
        </is>
      </c>
      <c r="L19" t="b">
        <v>1</v>
      </c>
    </row>
    <row r="20">
      <c r="A20" t="inlineStr">
        <is>
          <t>iPad Pro  M4  13" 256 GB Wifi</t>
        </is>
      </c>
      <c r="B20" s="3" t="n"/>
      <c r="C20" s="53" t="n">
        <v>36090000</v>
      </c>
      <c r="D20" s="62" t="n">
        <v>36290000</v>
      </c>
      <c r="E20" s="38" t="n">
        <v>35490000</v>
      </c>
      <c r="F20" s="34" t="n">
        <v>35890000</v>
      </c>
      <c r="G20" s="40" t="n">
        <v>33690000</v>
      </c>
      <c r="J20" t="inlineStr">
        <is>
          <t>ShopDunk</t>
        </is>
      </c>
      <c r="K20" t="inlineStr">
        <is>
          <t>Đạt</t>
        </is>
      </c>
      <c r="L20" t="b">
        <v>1</v>
      </c>
    </row>
    <row r="21">
      <c r="A21" t="inlineStr">
        <is>
          <t>AW SE 2 (40mm GPS)</t>
        </is>
      </c>
      <c r="B21" s="25" t="n"/>
      <c r="C21" s="53" t="n">
        <v>5790000</v>
      </c>
      <c r="D21" s="64" t="n">
        <v>5690000</v>
      </c>
      <c r="E21" s="38" t="n">
        <v>5490000</v>
      </c>
      <c r="F21" s="39" t="n">
        <v>5590000</v>
      </c>
      <c r="G21" s="40" t="n">
        <v>6990000</v>
      </c>
    </row>
    <row r="22">
      <c r="A22" t="inlineStr">
        <is>
          <t>AW SE 2 (40mm LTE)</t>
        </is>
      </c>
      <c r="B22" s="25" t="n"/>
      <c r="C22" s="52" t="inlineStr">
        <is>
          <t>OOS</t>
        </is>
      </c>
      <c r="D22" s="64" t="n">
        <v>6990000</v>
      </c>
      <c r="E22" s="38" t="n">
        <v>6990000</v>
      </c>
      <c r="F22" s="39" t="n">
        <v>6990000</v>
      </c>
      <c r="G22" s="40" t="n">
        <v>8499000</v>
      </c>
    </row>
    <row r="23">
      <c r="A23" t="inlineStr">
        <is>
          <t>AW SE 2 (44mm GPS)</t>
        </is>
      </c>
      <c r="B23" s="25" t="n"/>
      <c r="C23" s="53" t="n">
        <v>6490000</v>
      </c>
      <c r="D23" s="64" t="n">
        <v>6490000</v>
      </c>
      <c r="E23" s="38" t="n">
        <v>6390000</v>
      </c>
      <c r="F23" s="39" t="n">
        <v>6290000</v>
      </c>
      <c r="G23" s="40" t="n">
        <v>7849000</v>
      </c>
    </row>
    <row r="24">
      <c r="A24" t="inlineStr">
        <is>
          <t>AW SE 2 (44mm LTE)</t>
        </is>
      </c>
      <c r="B24" s="25" t="n"/>
      <c r="C24" s="52" t="inlineStr">
        <is>
          <t>OOS</t>
        </is>
      </c>
      <c r="D24" s="64" t="n">
        <v>7790000</v>
      </c>
      <c r="E24" s="38" t="n">
        <v>7790000</v>
      </c>
      <c r="F24" s="39" t="n">
        <v>7790000</v>
      </c>
      <c r="G24" s="40" t="n">
        <v>8490000</v>
      </c>
    </row>
    <row r="25">
      <c r="A25" t="inlineStr">
        <is>
          <t>AW S10 (42mm GPS)</t>
        </is>
      </c>
      <c r="B25" s="25" t="n"/>
      <c r="C25" s="53" t="n">
        <v>10590000</v>
      </c>
      <c r="D25" s="64" t="n">
        <v>10490000</v>
      </c>
      <c r="E25" s="38" t="n">
        <v>9990000</v>
      </c>
      <c r="F25" s="34" t="n">
        <v>10190000</v>
      </c>
      <c r="G25" s="40" t="n">
        <v>10390000</v>
      </c>
      <c r="H25" s="26" t="n"/>
    </row>
    <row r="26">
      <c r="A26" t="inlineStr">
        <is>
          <t>AW S10 (42mm CEL)</t>
        </is>
      </c>
      <c r="B26" s="25" t="n"/>
      <c r="C26" s="64" t="inlineStr">
        <is>
          <t>OOS</t>
        </is>
      </c>
      <c r="D26" s="64" t="n">
        <v>12790000</v>
      </c>
      <c r="E26" s="38" t="n">
        <v>12490000</v>
      </c>
      <c r="F26" s="39" t="n">
        <v>12990000</v>
      </c>
      <c r="G26" s="40" t="n">
        <v>12890000</v>
      </c>
    </row>
    <row r="27">
      <c r="A27" t="inlineStr">
        <is>
          <t>AW S10 (46mm GPS)</t>
        </is>
      </c>
      <c r="B27" s="25" t="n"/>
      <c r="C27" s="53" t="n">
        <v>11390000</v>
      </c>
      <c r="D27" s="64" t="n">
        <v>11290000</v>
      </c>
      <c r="E27" s="38" t="n">
        <v>10690000</v>
      </c>
      <c r="F27" s="39" t="n">
        <v>11290000</v>
      </c>
      <c r="G27" s="40" t="n">
        <v>10990000</v>
      </c>
      <c r="H27" s="26" t="n"/>
      <c r="I27" s="26" t="n"/>
    </row>
    <row r="28">
      <c r="A28" t="inlineStr">
        <is>
          <t>AW S10 (46mm CEL)</t>
        </is>
      </c>
      <c r="B28" s="3" t="n"/>
      <c r="C28" s="54" t="n">
        <v>13690000</v>
      </c>
      <c r="D28" s="64" t="n">
        <v>13690000</v>
      </c>
      <c r="E28" s="38" t="n">
        <v>13290000</v>
      </c>
      <c r="F28" s="39" t="n">
        <v>13890000</v>
      </c>
      <c r="G28" s="40" t="n">
        <v>13590000</v>
      </c>
    </row>
    <row r="29">
      <c r="A29" t="inlineStr">
        <is>
          <t>AW Ultra 2 (49mm)</t>
        </is>
      </c>
      <c r="B29" s="25" t="n"/>
      <c r="C29" s="53" t="n">
        <v>21890000</v>
      </c>
      <c r="D29" s="64" t="n">
        <v>21890000</v>
      </c>
      <c r="E29" s="38" t="n">
        <v>20990000</v>
      </c>
      <c r="F29" s="40" t="n">
        <v>21290000</v>
      </c>
      <c r="G29" s="40" t="n">
        <v>22990000</v>
      </c>
    </row>
    <row r="30">
      <c r="A30" t="inlineStr">
        <is>
          <t>AirPods Pro 2 - 2023 (C-Type)</t>
        </is>
      </c>
      <c r="B30" s="3" t="n"/>
      <c r="C30" s="53" t="n">
        <v>5590000</v>
      </c>
      <c r="D30" s="64" t="n">
        <v>5590000</v>
      </c>
      <c r="E30" s="38" t="n">
        <v>5590000</v>
      </c>
      <c r="F30" s="40" t="n">
        <v>5590000</v>
      </c>
      <c r="G30" s="40" t="n">
        <v>5590000</v>
      </c>
    </row>
    <row r="31">
      <c r="A31" t="inlineStr">
        <is>
          <t>AirPods 4 ANC</t>
        </is>
      </c>
      <c r="B31" s="3" t="n"/>
      <c r="C31" s="53" t="n">
        <v>4690000</v>
      </c>
      <c r="D31" s="62" t="n">
        <v>4790000</v>
      </c>
      <c r="E31" s="38" t="n">
        <v>4390000</v>
      </c>
      <c r="F31" s="38" t="n">
        <v>4790000</v>
      </c>
      <c r="G31" s="40" t="n">
        <v>4490000</v>
      </c>
    </row>
    <row r="32">
      <c r="A32" t="inlineStr">
        <is>
          <t>AirPods 4 with charging case</t>
        </is>
      </c>
      <c r="B32" s="3" t="n"/>
      <c r="C32" s="53" t="n">
        <v>3390000</v>
      </c>
      <c r="D32" s="62" t="n">
        <v>3590000</v>
      </c>
      <c r="E32" s="38" t="n">
        <v>3390000</v>
      </c>
      <c r="F32" s="38" t="n">
        <v>3590000</v>
      </c>
      <c r="G32" s="40" t="n">
        <v>3290000</v>
      </c>
    </row>
    <row r="33">
      <c r="A33" t="inlineStr">
        <is>
          <t>AirPods Pro 3</t>
        </is>
      </c>
      <c r="B33" s="3" t="n"/>
      <c r="C33" s="40" t="n">
        <v>6790000</v>
      </c>
      <c r="D33" s="62" t="n">
        <v>6790000</v>
      </c>
      <c r="E33" s="25" t="n">
        <v>6790000</v>
      </c>
      <c r="F33" s="25" t="n">
        <v>6790000</v>
      </c>
      <c r="G33" s="40" t="n">
        <v>6799000</v>
      </c>
    </row>
    <row r="34">
      <c r="A34" t="inlineStr">
        <is>
          <t>MacBook Air 13" M1 8/256Gb</t>
        </is>
      </c>
      <c r="B34" s="3" t="n"/>
      <c r="C34" s="54" t="n">
        <v>17190000</v>
      </c>
      <c r="D34" s="64" t="inlineStr">
        <is>
          <t>OOS</t>
        </is>
      </c>
      <c r="E34" s="37" t="n"/>
      <c r="F34" s="39" t="n">
        <v>17190000</v>
      </c>
      <c r="G34" s="40" t="n">
        <v>16890000</v>
      </c>
    </row>
    <row r="35">
      <c r="A35" t="inlineStr">
        <is>
          <t>MacBook Air 13" M2 16/256GB</t>
        </is>
      </c>
      <c r="B35" s="25" t="n"/>
      <c r="C35" s="54" t="n">
        <v>19790000</v>
      </c>
      <c r="D35" s="62" t="n">
        <v>19890000</v>
      </c>
      <c r="E35" s="37" t="n"/>
      <c r="F35" s="39" t="n">
        <v>19790000</v>
      </c>
      <c r="G35" s="40" t="n">
        <v>19390000</v>
      </c>
    </row>
    <row r="36">
      <c r="A36" t="inlineStr">
        <is>
          <t>MacBook Air 13" M3 16/256GB</t>
        </is>
      </c>
      <c r="B36" s="3" t="n"/>
      <c r="C36" s="52" t="inlineStr">
        <is>
          <t>OOS</t>
        </is>
      </c>
      <c r="D36" s="64" t="n">
        <v>23990000</v>
      </c>
      <c r="E36" s="37" t="n"/>
      <c r="F36" s="39" t="inlineStr">
        <is>
          <t>OOS</t>
        </is>
      </c>
      <c r="G36" s="40" t="n">
        <v>25290000</v>
      </c>
    </row>
    <row r="37">
      <c r="A37" t="inlineStr">
        <is>
          <t>MacBook Air 13" M4 16/256GB</t>
        </is>
      </c>
      <c r="B37" s="3" t="n"/>
      <c r="C37" s="53" t="n">
        <v>25090000</v>
      </c>
      <c r="D37" s="62" t="n">
        <v>25090000</v>
      </c>
      <c r="E37" s="37" t="n"/>
      <c r="F37" s="39" t="n">
        <v>25090000</v>
      </c>
      <c r="G37" s="38" t="n">
        <v>25090000</v>
      </c>
      <c r="H37" t="n">
        <v>100</v>
      </c>
    </row>
    <row r="38">
      <c r="A38" t="inlineStr">
        <is>
          <t>MacBook Air 15" M4 16/256GB</t>
        </is>
      </c>
      <c r="B38" s="25" t="n"/>
      <c r="C38" s="64" t="n">
        <v>29490000</v>
      </c>
      <c r="D38" s="64" t="n">
        <v>30490000</v>
      </c>
      <c r="E38" s="37" t="n"/>
      <c r="F38" s="39" t="n">
        <v>29290000</v>
      </c>
      <c r="G38" s="40" t="n">
        <v>29290000</v>
      </c>
    </row>
    <row r="39">
      <c r="A39" t="inlineStr">
        <is>
          <t>MacBook Pro 14" M4 16/512GB</t>
        </is>
      </c>
      <c r="B39" s="25" t="n"/>
      <c r="C39" s="53" t="n">
        <v>38290000</v>
      </c>
      <c r="D39" s="62" t="n">
        <v>37790000</v>
      </c>
      <c r="E39" s="37" t="n"/>
      <c r="F39" s="40" t="n">
        <v>37590000</v>
      </c>
      <c r="G39" s="40" t="n">
        <v>37590000</v>
      </c>
    </row>
    <row r="40">
      <c r="A40" t="inlineStr">
        <is>
          <t>MacBook Pro 16" M4 16/512GB</t>
        </is>
      </c>
      <c r="B40" s="25" t="n"/>
      <c r="C40" s="53" t="n"/>
      <c r="D40" s="64" t="n">
        <v>64990000</v>
      </c>
      <c r="E40" s="37" t="n"/>
      <c r="F40" s="40" t="n"/>
      <c r="G40" s="40" t="n">
        <v>63990000</v>
      </c>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7.xml><?xml version="1.0" encoding="utf-8"?>
<worksheet xmlns="http://schemas.openxmlformats.org/spreadsheetml/2006/main">
  <sheetPr>
    <outlinePr summaryBelow="1" summaryRight="1"/>
    <pageSetUpPr/>
  </sheetPr>
  <dimension ref="A1:L153"/>
  <sheetViews>
    <sheetView zoomScale="85"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31990000</v>
      </c>
      <c r="D3" s="68" t="n">
        <v>31990000</v>
      </c>
      <c r="E3" s="72" t="n">
        <v>30990000</v>
      </c>
      <c r="F3" s="40" t="n">
        <v>31990000</v>
      </c>
      <c r="G3" s="40" t="n">
        <v>30990000</v>
      </c>
    </row>
    <row r="4">
      <c r="A4" t="inlineStr">
        <is>
          <t>iPhone 17 Pro 256GB</t>
        </is>
      </c>
      <c r="B4" s="83" t="n"/>
      <c r="C4" s="68" t="n">
        <v>34990000</v>
      </c>
      <c r="D4" s="68" t="n">
        <v>34990000</v>
      </c>
      <c r="E4" s="72" t="n">
        <v>33990000</v>
      </c>
      <c r="F4" s="40" t="n">
        <v>34990000</v>
      </c>
      <c r="G4" s="40" t="n">
        <v>34990000</v>
      </c>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67" t="n">
        <v>15990000</v>
      </c>
      <c r="D6" s="68" t="n">
        <v>15990000</v>
      </c>
      <c r="E6" s="72" t="n">
        <v>15790000</v>
      </c>
      <c r="F6" s="40" t="n">
        <v>15590000</v>
      </c>
      <c r="G6" s="40" t="n">
        <v>14990000</v>
      </c>
    </row>
    <row r="7">
      <c r="A7" t="inlineStr">
        <is>
          <t>iPhone 16  128GB</t>
        </is>
      </c>
      <c r="B7" s="71" t="n"/>
      <c r="C7" s="74" t="n">
        <v>20990000</v>
      </c>
      <c r="D7" s="73" t="n">
        <v>20990000</v>
      </c>
      <c r="E7" s="72" t="n">
        <v>18490000</v>
      </c>
      <c r="F7" s="40" t="n">
        <v>18990000</v>
      </c>
      <c r="G7" s="40" t="n">
        <v>21290000</v>
      </c>
      <c r="H7" s="75" t="n"/>
    </row>
    <row r="8">
      <c r="A8" t="inlineStr">
        <is>
          <t>iPhone 16  Plus 128GB</t>
        </is>
      </c>
      <c r="B8" s="3" t="n"/>
      <c r="C8" s="54" t="n">
        <v>23990000</v>
      </c>
      <c r="D8" s="62" t="n">
        <v>23990000</v>
      </c>
      <c r="E8" s="40" t="n">
        <v>21890000</v>
      </c>
      <c r="F8" s="40" t="n">
        <v>22890000</v>
      </c>
      <c r="G8" s="40" t="n">
        <v>25090000</v>
      </c>
      <c r="H8" s="75" t="n"/>
    </row>
    <row r="9">
      <c r="A9" t="inlineStr">
        <is>
          <t>iPhone 16 Pro  128GB</t>
        </is>
      </c>
      <c r="B9" s="25" t="n"/>
      <c r="C9" s="53" t="n">
        <v>25590000</v>
      </c>
      <c r="D9" s="64" t="n">
        <v>25590000</v>
      </c>
      <c r="E9" s="40" t="n">
        <v>24290000</v>
      </c>
      <c r="F9" s="38" t="n">
        <v>25590000</v>
      </c>
      <c r="G9" s="38" t="n">
        <v>24990000</v>
      </c>
    </row>
    <row r="10">
      <c r="A10" t="inlineStr">
        <is>
          <t>iPhone 16 Pro Max 256GB</t>
        </is>
      </c>
      <c r="B10" s="3" t="n"/>
      <c r="C10" s="53" t="n">
        <v>30590000</v>
      </c>
      <c r="D10" s="62" t="n">
        <v>30490000</v>
      </c>
      <c r="E10" s="40" t="n">
        <v>29690000</v>
      </c>
      <c r="F10" s="40" t="n">
        <v>30590000</v>
      </c>
      <c r="G10" s="38" t="n">
        <v>30490000</v>
      </c>
    </row>
    <row r="11">
      <c r="A11" t="inlineStr">
        <is>
          <t>iPhone 15  128GB</t>
        </is>
      </c>
      <c r="B11" s="25" t="n"/>
      <c r="C11" s="54" t="n">
        <v>16990000</v>
      </c>
      <c r="D11" s="62" t="n">
        <v>16990000</v>
      </c>
      <c r="E11" s="25" t="n">
        <v>15190000</v>
      </c>
      <c r="F11" s="40" t="n">
        <v>15990000</v>
      </c>
      <c r="G11" s="38" t="n">
        <v>16890000</v>
      </c>
    </row>
    <row r="12">
      <c r="A12" t="inlineStr">
        <is>
          <t>iPhone 15  Plus 128GB</t>
        </is>
      </c>
      <c r="B12" s="25" t="n"/>
      <c r="C12" s="53" t="n">
        <v>19590000</v>
      </c>
      <c r="D12" s="62" t="n">
        <v>19590000</v>
      </c>
      <c r="E12" s="25" t="n">
        <v>18490000</v>
      </c>
      <c r="F12" s="38" t="n">
        <v>17990000</v>
      </c>
      <c r="G12" s="40" t="n">
        <v>18490000</v>
      </c>
    </row>
    <row r="13">
      <c r="A13" t="inlineStr">
        <is>
          <t>iPhone 14 128GB</t>
        </is>
      </c>
      <c r="B13" s="25" t="n"/>
      <c r="C13" s="54" t="n">
        <v>13990000</v>
      </c>
      <c r="D13" s="62" t="n">
        <v>13990000</v>
      </c>
      <c r="E13" s="25" t="n">
        <v>12490000</v>
      </c>
      <c r="F13" s="34" t="n">
        <v>13990000</v>
      </c>
      <c r="G13" s="40" t="n">
        <v>12190000</v>
      </c>
    </row>
    <row r="14">
      <c r="A14" t="inlineStr">
        <is>
          <t>iPhone 13  128GB</t>
        </is>
      </c>
      <c r="B14" s="3" t="n"/>
      <c r="C14" s="54" t="n">
        <v>12590000</v>
      </c>
      <c r="D14" s="54" t="n">
        <v>12590000</v>
      </c>
      <c r="E14" s="40" t="n">
        <v>11290000</v>
      </c>
      <c r="F14" s="34" t="n">
        <v>12390000</v>
      </c>
      <c r="G14" s="40" t="n">
        <v>11190000</v>
      </c>
    </row>
    <row r="15">
      <c r="A15" t="inlineStr">
        <is>
          <t>iPad Mini 7 128GB Wifi</t>
        </is>
      </c>
      <c r="B15" s="25" t="n"/>
      <c r="C15" s="53" t="n">
        <v>13590000</v>
      </c>
      <c r="D15" s="64" t="n">
        <v>13590000</v>
      </c>
      <c r="E15" s="25" t="n">
        <v>13790000</v>
      </c>
      <c r="F15" s="39" t="n">
        <v>13390000</v>
      </c>
      <c r="G15" s="40" t="n">
        <v>11590000</v>
      </c>
    </row>
    <row r="16">
      <c r="A16" t="inlineStr">
        <is>
          <t>iPad Gen 11th  128GB Wifi</t>
        </is>
      </c>
      <c r="B16" s="3" t="n"/>
      <c r="C16" s="53" t="n">
        <v>9690000</v>
      </c>
      <c r="D16" s="62" t="n">
        <v>8490000</v>
      </c>
      <c r="E16" s="25" t="n">
        <v>9390000</v>
      </c>
      <c r="F16" s="39" t="n">
        <v>9590000</v>
      </c>
      <c r="G16" s="40" t="n">
        <v>9190000</v>
      </c>
      <c r="H16" s="26" t="n"/>
      <c r="J16" t="inlineStr">
        <is>
          <t xml:space="preserve">MW </t>
        </is>
      </c>
      <c r="K16" t="inlineStr">
        <is>
          <t>Duy</t>
        </is>
      </c>
      <c r="L16" t="b">
        <v>1</v>
      </c>
    </row>
    <row r="17">
      <c r="A17" t="inlineStr">
        <is>
          <t>iPad Air M3  11" 128 GB Wifi</t>
        </is>
      </c>
      <c r="B17" s="3" t="n"/>
      <c r="C17" s="53" t="n">
        <v>16290000</v>
      </c>
      <c r="D17" s="64" t="n">
        <v>16190000</v>
      </c>
      <c r="E17" s="25" t="n">
        <v>15790000</v>
      </c>
      <c r="F17" s="39" t="n">
        <v>16190000</v>
      </c>
      <c r="G17" s="40" t="n">
        <v>15990000</v>
      </c>
      <c r="J17" t="inlineStr">
        <is>
          <t>FPT</t>
        </is>
      </c>
      <c r="K17" t="inlineStr">
        <is>
          <t>Việt</t>
        </is>
      </c>
      <c r="L17" t="b">
        <v>1</v>
      </c>
    </row>
    <row r="18">
      <c r="A18" t="inlineStr">
        <is>
          <t>iPad Air M3  13" 128 GB Wifi</t>
        </is>
      </c>
      <c r="B18" s="25" t="n"/>
      <c r="C18" s="54" t="n">
        <v>21690000</v>
      </c>
      <c r="D18" s="64" t="n">
        <v>21690000</v>
      </c>
      <c r="E18" s="25" t="n">
        <v>20490000</v>
      </c>
      <c r="F18" s="39" t="n">
        <v>21690000</v>
      </c>
      <c r="G18" s="40" t="n">
        <v>21490000</v>
      </c>
      <c r="J18" t="inlineStr">
        <is>
          <t>Viettel</t>
        </is>
      </c>
      <c r="K18" t="inlineStr">
        <is>
          <t>Nghĩa</t>
        </is>
      </c>
      <c r="L18" t="b">
        <v>1</v>
      </c>
    </row>
    <row r="19">
      <c r="A19" t="inlineStr">
        <is>
          <t>iPad Pro  M4  11" 256 GB Wifi</t>
        </is>
      </c>
      <c r="B19" s="25" t="n"/>
      <c r="C19" s="54" t="n">
        <v>27290000</v>
      </c>
      <c r="D19" s="64" t="n">
        <v>27190000</v>
      </c>
      <c r="E19" s="25" t="n">
        <v>26490000</v>
      </c>
      <c r="F19" s="39" t="n">
        <v>27290000</v>
      </c>
      <c r="G19" s="40" t="n">
        <v>27390000</v>
      </c>
      <c r="J19" t="inlineStr">
        <is>
          <t>CPS</t>
        </is>
      </c>
      <c r="K19" t="inlineStr">
        <is>
          <t>Trang</t>
        </is>
      </c>
      <c r="L19" t="b">
        <v>1</v>
      </c>
    </row>
    <row r="20">
      <c r="A20" t="inlineStr">
        <is>
          <t>iPad Pro  M4  13" 256 GB Wifi</t>
        </is>
      </c>
      <c r="B20" s="3" t="n"/>
      <c r="C20" s="53" t="n">
        <v>36090000</v>
      </c>
      <c r="D20" s="64" t="n">
        <v>36290000</v>
      </c>
      <c r="E20" s="25" t="n">
        <v>35490000</v>
      </c>
      <c r="F20" s="39" t="n">
        <v>35890000</v>
      </c>
      <c r="G20" s="40" t="n">
        <v>33690000</v>
      </c>
      <c r="J20" t="inlineStr">
        <is>
          <t>ShopDunk</t>
        </is>
      </c>
      <c r="K20" t="inlineStr">
        <is>
          <t>Đạt</t>
        </is>
      </c>
      <c r="L20" t="b">
        <v>1</v>
      </c>
    </row>
    <row r="21">
      <c r="A21" t="inlineStr">
        <is>
          <t>AW SE 2 (40mm GPS)</t>
        </is>
      </c>
      <c r="B21" s="25" t="n"/>
      <c r="C21" s="53" t="n">
        <v>5790000</v>
      </c>
      <c r="D21" s="64" t="n">
        <v>5690000</v>
      </c>
      <c r="E21" s="25" t="n">
        <v>5490000</v>
      </c>
      <c r="F21" s="39" t="n">
        <v>5590000</v>
      </c>
      <c r="G21" s="39" t="n">
        <v>5590000</v>
      </c>
    </row>
    <row r="22">
      <c r="A22" t="inlineStr">
        <is>
          <t>AW SE 2 (40mm LTE)</t>
        </is>
      </c>
      <c r="B22" s="25" t="n"/>
      <c r="C22" s="52" t="inlineStr">
        <is>
          <t>OOS</t>
        </is>
      </c>
      <c r="D22" s="64" t="n">
        <v>6990000</v>
      </c>
      <c r="E22" s="25" t="n">
        <v>6990000</v>
      </c>
      <c r="F22" s="39" t="n">
        <v>6990000</v>
      </c>
      <c r="G22" s="39" t="n">
        <v>6590000</v>
      </c>
    </row>
    <row r="23">
      <c r="A23" t="inlineStr">
        <is>
          <t>AW SE 2 (44mm GPS)</t>
        </is>
      </c>
      <c r="B23" s="25" t="n"/>
      <c r="C23" s="53" t="n">
        <v>6490000</v>
      </c>
      <c r="D23" s="64" t="n">
        <v>6490000</v>
      </c>
      <c r="E23" s="25" t="n">
        <v>6390000</v>
      </c>
      <c r="F23" s="39" t="n">
        <v>6290000</v>
      </c>
      <c r="G23" s="40" t="n">
        <v>7849000</v>
      </c>
    </row>
    <row r="24">
      <c r="A24" t="inlineStr">
        <is>
          <t>AW SE 2 (44mm LTE)</t>
        </is>
      </c>
      <c r="B24" s="25" t="n"/>
      <c r="C24" s="52" t="inlineStr">
        <is>
          <t>OOS</t>
        </is>
      </c>
      <c r="D24" s="64" t="n">
        <v>7790000</v>
      </c>
      <c r="E24" s="25" t="n">
        <v>7790000</v>
      </c>
      <c r="F24" s="39" t="n">
        <v>7790000</v>
      </c>
      <c r="G24" s="40" t="n">
        <v>8490000</v>
      </c>
    </row>
    <row r="25">
      <c r="A25" t="inlineStr">
        <is>
          <t>AW S10 (42mm GPS)</t>
        </is>
      </c>
      <c r="B25" s="25" t="n"/>
      <c r="C25" s="53" t="n">
        <v>10590000</v>
      </c>
      <c r="D25" s="64" t="n">
        <v>10490000</v>
      </c>
      <c r="E25" s="25" t="n">
        <v>9990000</v>
      </c>
      <c r="F25" s="39" t="n">
        <v>10190000</v>
      </c>
      <c r="G25" s="40" t="n">
        <v>10390000</v>
      </c>
      <c r="H25" s="26" t="n"/>
    </row>
    <row r="26">
      <c r="A26" t="inlineStr">
        <is>
          <t>AW S10 (42mm CEL)</t>
        </is>
      </c>
      <c r="B26" s="25" t="n"/>
      <c r="C26" s="64" t="inlineStr">
        <is>
          <t>OOS</t>
        </is>
      </c>
      <c r="D26" s="64" t="n">
        <v>12790000</v>
      </c>
      <c r="E26" s="25" t="n">
        <v>12490000</v>
      </c>
      <c r="F26" s="39" t="n">
        <v>12990000</v>
      </c>
      <c r="G26" s="40" t="n">
        <v>12890000</v>
      </c>
    </row>
    <row r="27">
      <c r="A27" t="inlineStr">
        <is>
          <t>AW S10 (46mm GPS)</t>
        </is>
      </c>
      <c r="B27" s="25" t="n"/>
      <c r="C27" s="53" t="n">
        <v>11390000</v>
      </c>
      <c r="D27" s="64" t="n">
        <v>11290000</v>
      </c>
      <c r="E27" s="25" t="n">
        <v>10690000</v>
      </c>
      <c r="F27" s="39" t="n">
        <v>11290000</v>
      </c>
      <c r="G27" s="40" t="n">
        <v>10990000</v>
      </c>
      <c r="H27" s="26" t="n"/>
      <c r="I27" s="26" t="n"/>
    </row>
    <row r="28">
      <c r="A28" t="inlineStr">
        <is>
          <t>AW S10 (46mm CEL)</t>
        </is>
      </c>
      <c r="B28" s="3" t="n"/>
      <c r="C28" s="53" t="n">
        <v>13690000</v>
      </c>
      <c r="D28" s="64" t="n">
        <v>13690000</v>
      </c>
      <c r="E28" s="25" t="n">
        <v>13290000</v>
      </c>
      <c r="F28" s="39" t="n">
        <v>13890000</v>
      </c>
      <c r="G28" s="40" t="n">
        <v>13590000</v>
      </c>
    </row>
    <row r="29">
      <c r="A29" t="inlineStr">
        <is>
          <t>AW Ultra 2 (49mm)</t>
        </is>
      </c>
      <c r="B29" s="25" t="n"/>
      <c r="C29" s="53" t="n">
        <v>21890000</v>
      </c>
      <c r="D29" s="64" t="n">
        <v>21890000</v>
      </c>
      <c r="E29" s="25" t="n">
        <v>20990000</v>
      </c>
      <c r="F29" s="40" t="n">
        <v>21290000</v>
      </c>
      <c r="G29" s="40" t="n">
        <v>22990000</v>
      </c>
    </row>
    <row r="30">
      <c r="A30" t="inlineStr">
        <is>
          <t>AirPods Pro 2 - 2023 (C-Type)</t>
        </is>
      </c>
      <c r="B30" s="3" t="n"/>
      <c r="C30" s="53" t="n">
        <v>5590000</v>
      </c>
      <c r="D30" s="64" t="n">
        <v>5590000</v>
      </c>
      <c r="E30" s="25" t="n">
        <v>5590000</v>
      </c>
      <c r="F30" s="40" t="n">
        <v>5590000</v>
      </c>
      <c r="G30" s="40" t="n">
        <v>5590000</v>
      </c>
    </row>
    <row r="31">
      <c r="A31" t="inlineStr">
        <is>
          <t>AirPods 4 ANC</t>
        </is>
      </c>
      <c r="B31" s="3" t="n"/>
      <c r="C31" s="53" t="n">
        <v>4690000</v>
      </c>
      <c r="D31" s="64" t="n">
        <v>4790000</v>
      </c>
      <c r="E31" s="25" t="n">
        <v>4390000</v>
      </c>
      <c r="F31" s="40" t="n">
        <v>4790000</v>
      </c>
      <c r="G31" s="40" t="n">
        <v>4590000</v>
      </c>
    </row>
    <row r="32">
      <c r="A32" t="inlineStr">
        <is>
          <t>AirPods 4 with charging case</t>
        </is>
      </c>
      <c r="B32" s="3" t="n"/>
      <c r="C32" s="53" t="n">
        <v>3390000</v>
      </c>
      <c r="D32" s="64" t="n">
        <v>3590000</v>
      </c>
      <c r="E32" s="25" t="n">
        <v>3390000</v>
      </c>
      <c r="F32" s="40" t="n">
        <v>3590000</v>
      </c>
      <c r="G32" s="38" t="n">
        <v>3490000</v>
      </c>
    </row>
    <row r="33">
      <c r="A33" t="inlineStr">
        <is>
          <t>AirPods Pro 3</t>
        </is>
      </c>
      <c r="B33" s="3" t="n"/>
      <c r="C33" s="40" t="n">
        <v>6790000</v>
      </c>
      <c r="D33" s="64" t="n">
        <v>6790000</v>
      </c>
      <c r="E33" s="62" t="n">
        <v>6590000</v>
      </c>
      <c r="F33" s="25" t="n">
        <v>6790000</v>
      </c>
      <c r="G33" s="40" t="n">
        <v>6799000</v>
      </c>
    </row>
    <row r="34">
      <c r="A34" t="inlineStr">
        <is>
          <t>MacBook Air 13" M1 8/256Gb</t>
        </is>
      </c>
      <c r="B34" s="3" t="n"/>
      <c r="C34" s="53" t="n">
        <v>17190000</v>
      </c>
      <c r="D34" s="64" t="inlineStr">
        <is>
          <t>OOS</t>
        </is>
      </c>
      <c r="E34" s="37" t="n"/>
      <c r="F34" s="34" t="n">
        <v>17190000</v>
      </c>
      <c r="G34" s="40" t="n">
        <v>16890000</v>
      </c>
    </row>
    <row r="35">
      <c r="A35" t="inlineStr">
        <is>
          <t>MacBook Air 13" M2 16/256GB</t>
        </is>
      </c>
      <c r="B35" s="25" t="n"/>
      <c r="C35" s="54" t="n">
        <v>20090000</v>
      </c>
      <c r="D35" s="62" t="n">
        <v>20090000</v>
      </c>
      <c r="E35" s="37" t="n"/>
      <c r="F35" s="34" t="n">
        <v>20290000</v>
      </c>
      <c r="G35" s="40" t="n">
        <v>19390000</v>
      </c>
    </row>
    <row r="36">
      <c r="A36" t="inlineStr">
        <is>
          <t>MacBook Air 13" M3 16/256GB</t>
        </is>
      </c>
      <c r="B36" s="3" t="n"/>
      <c r="C36" s="52" t="inlineStr">
        <is>
          <t>OOS</t>
        </is>
      </c>
      <c r="D36" s="64" t="n">
        <v>23990000</v>
      </c>
      <c r="E36" s="37" t="n"/>
      <c r="F36" s="39" t="inlineStr">
        <is>
          <t>OOS</t>
        </is>
      </c>
      <c r="G36" s="40" t="n">
        <v>25290000</v>
      </c>
    </row>
    <row r="37">
      <c r="A37" t="inlineStr">
        <is>
          <t>MacBook Air 13" M4 16/256GB</t>
        </is>
      </c>
      <c r="B37" s="3" t="n"/>
      <c r="C37" s="53" t="n">
        <v>25090000</v>
      </c>
      <c r="D37" s="64" t="n">
        <v>25090000</v>
      </c>
      <c r="E37" s="37" t="n"/>
      <c r="F37" s="39" t="n">
        <v>25090000</v>
      </c>
      <c r="G37" s="40" t="n">
        <v>25090000</v>
      </c>
    </row>
    <row r="38">
      <c r="A38" t="inlineStr">
        <is>
          <t>MacBook Air 15" M4 16/256GB</t>
        </is>
      </c>
      <c r="B38" s="25" t="n"/>
      <c r="C38" s="64" t="n">
        <v>29490000</v>
      </c>
      <c r="D38" s="62" t="n">
        <v>29690000</v>
      </c>
      <c r="E38" s="37" t="n"/>
      <c r="F38" s="34" t="n">
        <v>29690000</v>
      </c>
      <c r="G38" s="40" t="n">
        <v>29290000</v>
      </c>
    </row>
    <row r="39">
      <c r="A39" t="inlineStr">
        <is>
          <t>MacBook Pro 14" M4 16/512GB</t>
        </is>
      </c>
      <c r="B39" s="25" t="n"/>
      <c r="C39" s="53" t="n">
        <v>38290000</v>
      </c>
      <c r="D39" s="64" t="n">
        <v>37790000</v>
      </c>
      <c r="E39" s="37" t="n"/>
      <c r="F39" s="38" t="n">
        <v>38090000</v>
      </c>
      <c r="G39" s="40" t="n">
        <v>37590000</v>
      </c>
    </row>
    <row r="40">
      <c r="A40" t="inlineStr">
        <is>
          <t>MacBook Pro 16" M4 16/512GB</t>
        </is>
      </c>
      <c r="B40" s="25" t="n"/>
      <c r="C40" s="53" t="n"/>
      <c r="D40" s="64" t="n">
        <v>64990000</v>
      </c>
      <c r="E40" s="37" t="n"/>
      <c r="F40" s="40" t="n"/>
      <c r="G40" s="40" t="n">
        <v>63990000</v>
      </c>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8.xml><?xml version="1.0" encoding="utf-8"?>
<worksheet xmlns="http://schemas.openxmlformats.org/spreadsheetml/2006/main">
  <sheetPr>
    <outlinePr summaryBelow="1" summaryRight="1"/>
    <pageSetUpPr/>
  </sheetPr>
  <dimension ref="A1:L162"/>
  <sheetViews>
    <sheetView zoomScale="88" zoomScaleNormal="90" workbookViewId="0">
      <pane xSplit="2" ySplit="1" topLeftCell="J25"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76" t="n">
        <v>31490000</v>
      </c>
      <c r="D3" s="68" t="n">
        <v>31990000</v>
      </c>
      <c r="E3" s="72" t="n">
        <v>30990000</v>
      </c>
      <c r="F3" s="40" t="n">
        <v>31990000</v>
      </c>
      <c r="G3" s="38" t="n">
        <v>31290000</v>
      </c>
      <c r="H3" s="75" t="n"/>
    </row>
    <row r="4">
      <c r="A4" t="inlineStr">
        <is>
          <t>iPhone 17 Pro 256GB</t>
        </is>
      </c>
      <c r="B4" s="83" t="n"/>
      <c r="C4" s="68" t="n">
        <v>34990000</v>
      </c>
      <c r="D4" s="68" t="n">
        <v>34990000</v>
      </c>
      <c r="E4" s="72" t="n">
        <v>33990000</v>
      </c>
      <c r="F4" s="40" t="n">
        <v>34990000</v>
      </c>
      <c r="G4" s="38" t="n">
        <v>34790000</v>
      </c>
      <c r="H4" s="75" t="n"/>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77" t="n">
        <v>14990000</v>
      </c>
      <c r="D6" s="76" t="n">
        <v>14990000</v>
      </c>
      <c r="E6" s="72" t="n">
        <v>15790000</v>
      </c>
      <c r="F6" s="38" t="n">
        <v>15390000</v>
      </c>
      <c r="G6" s="40" t="n">
        <v>14990000</v>
      </c>
    </row>
    <row r="7">
      <c r="A7" t="inlineStr">
        <is>
          <t>iPhone 16  128GB</t>
        </is>
      </c>
      <c r="B7" s="71" t="n"/>
      <c r="C7" s="74" t="n">
        <v>21590000</v>
      </c>
      <c r="D7" s="73" t="n">
        <v>21590000</v>
      </c>
      <c r="E7" s="72" t="n">
        <v>20690000</v>
      </c>
      <c r="F7" s="38" t="n">
        <v>20590000</v>
      </c>
      <c r="G7" s="40" t="n">
        <v>21290000</v>
      </c>
      <c r="H7" s="75" t="n"/>
    </row>
    <row r="8">
      <c r="A8" t="inlineStr">
        <is>
          <t>iPhone 16  Plus 128GB</t>
        </is>
      </c>
      <c r="B8" s="3" t="n"/>
      <c r="C8" s="54" t="n">
        <v>24990000</v>
      </c>
      <c r="D8" s="62" t="n">
        <v>24790000</v>
      </c>
      <c r="E8" s="40" t="n">
        <v>23890000</v>
      </c>
      <c r="F8" s="40" t="n">
        <v>22890000</v>
      </c>
      <c r="G8" s="40" t="n">
        <v>25090000</v>
      </c>
      <c r="H8" s="75" t="n"/>
    </row>
    <row r="9">
      <c r="A9" t="inlineStr">
        <is>
          <t>iPhone 16 Pro  128GB</t>
        </is>
      </c>
      <c r="B9" s="25" t="n"/>
      <c r="C9" s="53" t="n">
        <v>25590000</v>
      </c>
      <c r="D9" s="64" t="n">
        <v>25590000</v>
      </c>
      <c r="E9" s="40" t="n">
        <v>24290000</v>
      </c>
      <c r="F9" s="38" t="n">
        <v>25590000</v>
      </c>
      <c r="G9" s="40" t="n">
        <v>24990000</v>
      </c>
    </row>
    <row r="10">
      <c r="A10" t="inlineStr">
        <is>
          <t>iPhone 16 Pro Max 256GB</t>
        </is>
      </c>
      <c r="B10" s="3" t="n"/>
      <c r="C10" s="53" t="n">
        <v>30590000</v>
      </c>
      <c r="D10" s="62" t="n">
        <v>30290000</v>
      </c>
      <c r="E10" s="40" t="n">
        <v>29290000</v>
      </c>
      <c r="F10" s="38" t="n">
        <v>30290000</v>
      </c>
      <c r="G10" s="38" t="n">
        <v>30290000</v>
      </c>
    </row>
    <row r="11">
      <c r="A11" t="inlineStr">
        <is>
          <t>iPhone 15  128GB</t>
        </is>
      </c>
      <c r="B11" s="25" t="n"/>
      <c r="C11" s="54" t="n">
        <v>17990000</v>
      </c>
      <c r="D11" s="62" t="n">
        <v>17590000</v>
      </c>
      <c r="E11" s="34" t="n">
        <v>16790000</v>
      </c>
      <c r="F11" s="38" t="n">
        <v>16650000</v>
      </c>
      <c r="G11" s="40" t="n">
        <v>16890000</v>
      </c>
    </row>
    <row r="12">
      <c r="A12" t="inlineStr">
        <is>
          <t>iPhone 15  Plus 128GB</t>
        </is>
      </c>
      <c r="B12" s="25" t="n"/>
      <c r="C12" s="53" t="n">
        <v>19590000</v>
      </c>
      <c r="D12" s="64" t="inlineStr">
        <is>
          <t>OOS</t>
        </is>
      </c>
      <c r="E12" s="25" t="n">
        <v>18490000</v>
      </c>
      <c r="F12" s="38" t="n">
        <v>18990000</v>
      </c>
      <c r="G12" s="40" t="n">
        <v>18490000</v>
      </c>
    </row>
    <row r="13">
      <c r="A13" t="inlineStr">
        <is>
          <t>iPhone 14 128GB</t>
        </is>
      </c>
      <c r="B13" s="25" t="n"/>
      <c r="C13" s="53" t="n">
        <v>13990000</v>
      </c>
      <c r="D13" s="62" t="n">
        <v>13490000</v>
      </c>
      <c r="E13" s="34" t="n">
        <v>13690000</v>
      </c>
      <c r="F13" s="34" t="n">
        <v>13490000</v>
      </c>
      <c r="G13" s="38" t="n">
        <v>13490000</v>
      </c>
    </row>
    <row r="14">
      <c r="A14" t="inlineStr">
        <is>
          <t>iPhone 13  128GB</t>
        </is>
      </c>
      <c r="B14" s="3" t="n"/>
      <c r="C14" s="53" t="n">
        <v>12590000</v>
      </c>
      <c r="D14" s="54" t="n">
        <v>12390000</v>
      </c>
      <c r="E14" s="34" t="n">
        <v>12290000</v>
      </c>
      <c r="F14" s="34" t="n">
        <v>12090000</v>
      </c>
      <c r="G14" s="38" t="n">
        <v>11890000</v>
      </c>
    </row>
    <row r="15">
      <c r="A15" t="inlineStr">
        <is>
          <t>iPad Mini 7 128GB Wifi</t>
        </is>
      </c>
      <c r="B15" s="25" t="n"/>
      <c r="C15" s="54" t="n">
        <v>11790000</v>
      </c>
      <c r="D15" s="62" t="n">
        <v>11790000</v>
      </c>
      <c r="E15" s="34" t="n">
        <v>11990000</v>
      </c>
      <c r="F15" s="34" t="n">
        <v>11790000</v>
      </c>
      <c r="G15" s="40" t="n">
        <v>11590000</v>
      </c>
    </row>
    <row r="16">
      <c r="A16" t="inlineStr">
        <is>
          <t>iPad Gen 11th  128GB Wifi</t>
        </is>
      </c>
      <c r="B16" s="3" t="n"/>
      <c r="C16" s="54" t="n">
        <v>8890000</v>
      </c>
      <c r="D16" s="62" t="n">
        <v>8690000</v>
      </c>
      <c r="E16" s="34" t="n">
        <v>8690000</v>
      </c>
      <c r="F16" s="34" t="n">
        <v>8690000</v>
      </c>
      <c r="G16" s="38" t="n">
        <v>8390000</v>
      </c>
      <c r="H16" s="26" t="n"/>
      <c r="J16" t="inlineStr">
        <is>
          <t xml:space="preserve">MW </t>
        </is>
      </c>
      <c r="K16" t="inlineStr">
        <is>
          <t>Duy</t>
        </is>
      </c>
      <c r="L16" t="b">
        <v>1</v>
      </c>
    </row>
    <row r="17">
      <c r="A17" t="inlineStr">
        <is>
          <t>iPad Air M3  11" 128 GB Wifi</t>
        </is>
      </c>
      <c r="B17" s="3" t="n"/>
      <c r="C17" s="54" t="n">
        <v>13690000</v>
      </c>
      <c r="D17" s="62" t="n">
        <v>13190000</v>
      </c>
      <c r="E17" s="34" t="n">
        <v>13790000</v>
      </c>
      <c r="F17" s="34" t="n">
        <v>13190000</v>
      </c>
      <c r="G17" s="38" t="n">
        <v>13090000</v>
      </c>
      <c r="J17" t="inlineStr">
        <is>
          <t>FPT</t>
        </is>
      </c>
      <c r="K17" t="inlineStr">
        <is>
          <t>Việt</t>
        </is>
      </c>
      <c r="L17" t="b">
        <v>1</v>
      </c>
    </row>
    <row r="18">
      <c r="A18" t="inlineStr">
        <is>
          <t>iPad Air M3  13" 128 GB Wifi</t>
        </is>
      </c>
      <c r="B18" s="25" t="n"/>
      <c r="C18" s="54" t="n">
        <v>19490000</v>
      </c>
      <c r="D18" s="62" t="n">
        <v>18990000</v>
      </c>
      <c r="E18" s="25" t="n">
        <v>20490000</v>
      </c>
      <c r="F18" s="34" t="n">
        <v>19490000</v>
      </c>
      <c r="G18" s="38" t="n">
        <v>18990000</v>
      </c>
      <c r="J18" t="inlineStr">
        <is>
          <t>Viettel</t>
        </is>
      </c>
      <c r="K18" t="inlineStr">
        <is>
          <t>Nghĩa</t>
        </is>
      </c>
      <c r="L18" t="b">
        <v>1</v>
      </c>
    </row>
    <row r="19">
      <c r="A19" t="inlineStr">
        <is>
          <t>iPad Pro  M4  11" 256 GB Wifi</t>
        </is>
      </c>
      <c r="B19" s="25" t="n"/>
      <c r="C19" s="54" t="n">
        <v>27990000</v>
      </c>
      <c r="D19" s="62" t="n">
        <v>27890000</v>
      </c>
      <c r="E19" s="25" t="n">
        <v>26490000</v>
      </c>
      <c r="F19" s="34" t="n">
        <v>27890000</v>
      </c>
      <c r="G19" s="38" t="n">
        <v>27690000</v>
      </c>
      <c r="J19" t="inlineStr">
        <is>
          <t>CPS</t>
        </is>
      </c>
      <c r="K19" t="inlineStr">
        <is>
          <t>Trang</t>
        </is>
      </c>
      <c r="L19" t="b">
        <v>1</v>
      </c>
    </row>
    <row r="20">
      <c r="A20" t="inlineStr">
        <is>
          <t>iPad Pro  M4  13" 256 GB Wifi</t>
        </is>
      </c>
      <c r="B20" s="3" t="n"/>
      <c r="C20" s="54" t="n">
        <v>36290000</v>
      </c>
      <c r="D20" s="64" t="n">
        <v>36290000</v>
      </c>
      <c r="E20" s="25" t="n">
        <v>35490000</v>
      </c>
      <c r="F20" s="34" t="n">
        <v>36490000</v>
      </c>
      <c r="G20" s="40" t="n">
        <v>33690000</v>
      </c>
      <c r="J20" t="inlineStr">
        <is>
          <t>ShopDunk</t>
        </is>
      </c>
      <c r="K20" t="inlineStr">
        <is>
          <t>Đạt</t>
        </is>
      </c>
      <c r="L20" t="b">
        <v>1</v>
      </c>
    </row>
    <row r="21">
      <c r="A21" t="inlineStr">
        <is>
          <t>AW SE 2 (40mm LTE)</t>
        </is>
      </c>
      <c r="B21" s="25" t="n"/>
      <c r="C21" s="52" t="inlineStr">
        <is>
          <t>OOS</t>
        </is>
      </c>
      <c r="D21" s="64" t="n">
        <v>6990000</v>
      </c>
      <c r="E21" s="25" t="n">
        <v>6990000</v>
      </c>
      <c r="F21" s="39" t="n">
        <v>6990000</v>
      </c>
      <c r="G21" s="39" t="n">
        <v>6590000</v>
      </c>
    </row>
    <row r="22">
      <c r="A22" t="inlineStr">
        <is>
          <t>AW SE 2 (44mm GPS)</t>
        </is>
      </c>
      <c r="B22" s="25" t="n"/>
      <c r="C22" s="53" t="n">
        <v>6490000</v>
      </c>
      <c r="D22" s="64" t="n">
        <v>6490000</v>
      </c>
      <c r="E22" s="25" t="n">
        <v>6390000</v>
      </c>
      <c r="F22" s="34" t="n">
        <v>6090000</v>
      </c>
      <c r="G22" s="40" t="n">
        <v>7849000</v>
      </c>
    </row>
    <row r="23">
      <c r="A23" t="inlineStr">
        <is>
          <t>AW SE 2 (44mm LTE)</t>
        </is>
      </c>
      <c r="B23" s="25" t="n"/>
      <c r="C23" s="52" t="inlineStr">
        <is>
          <t>OOS</t>
        </is>
      </c>
      <c r="D23" s="64" t="n">
        <v>7790000</v>
      </c>
      <c r="E23" s="25" t="n">
        <v>7790000</v>
      </c>
      <c r="F23" s="39" t="n">
        <v>7790000</v>
      </c>
      <c r="G23" s="40" t="n">
        <v>8490000</v>
      </c>
    </row>
    <row r="24">
      <c r="A24" t="inlineStr">
        <is>
          <t>AW SE 2 (40mm GPS)</t>
        </is>
      </c>
      <c r="B24" s="25" t="n"/>
      <c r="C24" s="53" t="n">
        <v>5790000</v>
      </c>
      <c r="D24" s="64" t="n">
        <v>5690000</v>
      </c>
      <c r="E24" s="25" t="n">
        <v>5490000</v>
      </c>
      <c r="F24" s="34" t="n">
        <v>5290000</v>
      </c>
      <c r="G24" s="39" t="n">
        <v>5590000</v>
      </c>
    </row>
    <row r="25">
      <c r="A25" t="inlineStr">
        <is>
          <t>AW SE 3 (40mm GPS)</t>
        </is>
      </c>
      <c r="B25" s="25" t="n"/>
      <c r="C25" s="64" t="n">
        <v>6990000</v>
      </c>
      <c r="D25" s="64" t="n">
        <v>6990000</v>
      </c>
      <c r="E25" s="25" t="n">
        <v>6690000</v>
      </c>
      <c r="F25" s="39" t="n">
        <v>6990000</v>
      </c>
      <c r="G25" s="39" t="n">
        <v>6990000</v>
      </c>
    </row>
    <row r="26">
      <c r="A26" t="inlineStr">
        <is>
          <t>AW SE 3 (40mm LTE)</t>
        </is>
      </c>
      <c r="B26" s="25" t="n"/>
      <c r="C26" s="64" t="n">
        <v>8490000</v>
      </c>
      <c r="D26" s="64" t="n">
        <v>8490000</v>
      </c>
      <c r="E26" s="25" t="n">
        <v>8190000</v>
      </c>
      <c r="F26" s="39" t="n">
        <v>8490000</v>
      </c>
      <c r="G26" s="39" t="n">
        <v>8490000</v>
      </c>
    </row>
    <row r="27">
      <c r="A27" t="inlineStr">
        <is>
          <t>AW SE 3 (44mm GPS)</t>
        </is>
      </c>
      <c r="B27" s="25" t="n"/>
      <c r="C27" s="64" t="n">
        <v>7850000</v>
      </c>
      <c r="D27" s="64" t="n">
        <v>7849000</v>
      </c>
      <c r="E27" s="25" t="n">
        <v>7690000</v>
      </c>
      <c r="F27" s="39" t="n">
        <v>7840000</v>
      </c>
      <c r="G27" s="39" t="n">
        <v>7840000</v>
      </c>
    </row>
    <row r="28">
      <c r="A28" t="inlineStr">
        <is>
          <t>AW SE 3 (44mm LTE)</t>
        </is>
      </c>
      <c r="B28" s="25" t="n"/>
      <c r="C28" s="52" t="inlineStr">
        <is>
          <t>OOS</t>
        </is>
      </c>
      <c r="D28" s="64" t="n">
        <v>9349000</v>
      </c>
      <c r="E28" s="25" t="n">
        <v>8990000</v>
      </c>
      <c r="F28" s="39" t="n">
        <v>9340000</v>
      </c>
      <c r="G28" s="39" t="n">
        <v>9340000</v>
      </c>
    </row>
    <row r="29">
      <c r="A29" t="inlineStr">
        <is>
          <t>AW S10 (42mm GPS)</t>
        </is>
      </c>
      <c r="B29" s="25" t="n"/>
      <c r="C29" s="53" t="n">
        <v>10590000</v>
      </c>
      <c r="D29" s="64" t="n">
        <v>10490000</v>
      </c>
      <c r="E29" s="25" t="n">
        <v>9990000</v>
      </c>
      <c r="F29" s="39" t="n">
        <v>10190000</v>
      </c>
      <c r="G29" s="40" t="n">
        <v>10390000</v>
      </c>
      <c r="H29" s="26" t="n"/>
    </row>
    <row r="30">
      <c r="A30" t="inlineStr">
        <is>
          <t>AW S10 (42mm CEL)</t>
        </is>
      </c>
      <c r="B30" s="25" t="n"/>
      <c r="C30" s="64" t="inlineStr">
        <is>
          <t>OOS</t>
        </is>
      </c>
      <c r="D30" s="64" t="n">
        <v>12790000</v>
      </c>
      <c r="E30" s="25" t="n">
        <v>12490000</v>
      </c>
      <c r="F30" s="39" t="n">
        <v>12990000</v>
      </c>
      <c r="G30" s="40" t="n">
        <v>12890000</v>
      </c>
    </row>
    <row r="31">
      <c r="A31" t="inlineStr">
        <is>
          <t>AW S10 (46mm GPS)</t>
        </is>
      </c>
      <c r="B31" s="25" t="n"/>
      <c r="C31" s="54" t="n">
        <v>11190000</v>
      </c>
      <c r="D31" s="64" t="n">
        <v>11290000</v>
      </c>
      <c r="E31" s="25" t="n">
        <v>10690000</v>
      </c>
      <c r="F31" s="39" t="n">
        <v>11290000</v>
      </c>
      <c r="G31" s="40" t="n">
        <v>10990000</v>
      </c>
      <c r="H31" s="26" t="n"/>
      <c r="I31" s="26" t="n"/>
    </row>
    <row r="32">
      <c r="A32" t="inlineStr">
        <is>
          <t>AW S10 (46mm CEL)</t>
        </is>
      </c>
      <c r="B32" s="3" t="n"/>
      <c r="C32" s="53" t="n">
        <v>13690000</v>
      </c>
      <c r="D32" s="64" t="n">
        <v>13690000</v>
      </c>
      <c r="E32" s="25" t="n">
        <v>13290000</v>
      </c>
      <c r="F32" s="39" t="n">
        <v>13890000</v>
      </c>
      <c r="G32" s="40" t="n">
        <v>13590000</v>
      </c>
    </row>
    <row r="33">
      <c r="A33" t="inlineStr">
        <is>
          <t>AW S11 (42mm GPS)</t>
        </is>
      </c>
      <c r="B33" s="3" t="n"/>
      <c r="C33" s="64" t="n">
        <v>11490000</v>
      </c>
      <c r="D33" s="64" t="n">
        <v>11490000</v>
      </c>
      <c r="E33" s="25" t="n">
        <v>11290000</v>
      </c>
      <c r="F33" s="39" t="n">
        <v>11490000</v>
      </c>
      <c r="G33" s="39" t="n">
        <v>11490000</v>
      </c>
    </row>
    <row r="34">
      <c r="A34" t="inlineStr">
        <is>
          <t>AW S11 (42mm CEL)</t>
        </is>
      </c>
      <c r="B34" s="3" t="n"/>
      <c r="C34" s="64" t="n">
        <v>14490000</v>
      </c>
      <c r="D34" s="64" t="n">
        <v>14490000</v>
      </c>
      <c r="E34" s="25" t="n">
        <v>14190000</v>
      </c>
      <c r="F34" s="39" t="n">
        <v>14490000</v>
      </c>
      <c r="G34" s="39" t="n">
        <v>14490000</v>
      </c>
    </row>
    <row r="35">
      <c r="A35" t="inlineStr">
        <is>
          <t>AW S11 (46mm GPS)</t>
        </is>
      </c>
      <c r="B35" s="3" t="n"/>
      <c r="C35" s="64" t="n">
        <v>12350000</v>
      </c>
      <c r="D35" s="64" t="n">
        <v>12349000</v>
      </c>
      <c r="E35" s="25" t="n">
        <v>12190000</v>
      </c>
      <c r="F35" s="39" t="n">
        <v>12349000</v>
      </c>
      <c r="G35" s="39" t="n">
        <v>12349000</v>
      </c>
    </row>
    <row r="36">
      <c r="A36" t="inlineStr">
        <is>
          <t>AW S11 (46mm CEL)</t>
        </is>
      </c>
      <c r="B36" s="3" t="n"/>
      <c r="C36" s="64" t="n">
        <v>15350000</v>
      </c>
      <c r="D36" s="64" t="n">
        <v>15349000</v>
      </c>
      <c r="E36" s="25" t="n">
        <v>14990000</v>
      </c>
      <c r="F36" s="39" t="n">
        <v>15349000</v>
      </c>
      <c r="G36" s="39" t="n">
        <v>15349000</v>
      </c>
    </row>
    <row r="37">
      <c r="A37" t="inlineStr">
        <is>
          <t>AW Ultra 2 (49mm)</t>
        </is>
      </c>
      <c r="B37" s="25" t="n"/>
      <c r="C37" s="53" t="n">
        <v>21890000</v>
      </c>
      <c r="D37" s="64" t="n">
        <v>21890000</v>
      </c>
      <c r="E37" s="25" t="n">
        <v>20990000</v>
      </c>
      <c r="F37" s="40" t="n">
        <v>21290000</v>
      </c>
      <c r="G37" s="40" t="n">
        <v>22990000</v>
      </c>
    </row>
    <row r="38">
      <c r="A38" t="inlineStr">
        <is>
          <t>AW Ultra 3 (49mm)</t>
        </is>
      </c>
      <c r="B38" s="25" t="n"/>
      <c r="C38" s="64" t="n">
        <v>23990000</v>
      </c>
      <c r="D38" s="64" t="n">
        <v>23990000</v>
      </c>
      <c r="E38" s="25" t="n">
        <v>23490000</v>
      </c>
      <c r="F38" s="40" t="n">
        <v>23990000</v>
      </c>
      <c r="G38" s="40" t="n">
        <v>23990000</v>
      </c>
    </row>
    <row r="39">
      <c r="A39" t="inlineStr">
        <is>
          <t>AirPods Pro 2 - 2023 (C-Type)</t>
        </is>
      </c>
      <c r="B39" s="3" t="n"/>
      <c r="C39" s="53" t="n">
        <v>5590000</v>
      </c>
      <c r="D39" s="64" t="n">
        <v>5590000</v>
      </c>
      <c r="E39" s="25" t="n">
        <v>5590000</v>
      </c>
      <c r="F39" s="40" t="n">
        <v>5590000</v>
      </c>
      <c r="G39" s="40" t="n">
        <v>5590000</v>
      </c>
    </row>
    <row r="40">
      <c r="A40" t="inlineStr">
        <is>
          <t>AirPods 4 ANC</t>
        </is>
      </c>
      <c r="B40" s="3" t="n"/>
      <c r="C40" s="54" t="n">
        <v>4490000</v>
      </c>
      <c r="D40" s="62" t="n">
        <v>4690000</v>
      </c>
      <c r="E40" s="25" t="n">
        <v>4390000</v>
      </c>
      <c r="F40" s="40" t="n">
        <v>4790000</v>
      </c>
      <c r="G40" s="38" t="n">
        <v>4490000</v>
      </c>
    </row>
    <row r="41">
      <c r="A41" t="inlineStr">
        <is>
          <t>AirPods 4 with charging case</t>
        </is>
      </c>
      <c r="B41" s="3" t="n"/>
      <c r="C41" s="54" t="n">
        <v>3190000</v>
      </c>
      <c r="D41" s="62" t="n">
        <v>3190000</v>
      </c>
      <c r="E41" s="25" t="n">
        <v>2990000</v>
      </c>
      <c r="F41" s="40" t="n">
        <v>3590000</v>
      </c>
      <c r="G41" s="38" t="n">
        <v>3150000</v>
      </c>
    </row>
    <row r="42">
      <c r="A42" t="inlineStr">
        <is>
          <t>AirPods Pro 3</t>
        </is>
      </c>
      <c r="B42" s="3" t="n"/>
      <c r="C42" s="40" t="n">
        <v>6790000</v>
      </c>
      <c r="D42" s="64" t="n">
        <v>6790000</v>
      </c>
      <c r="E42" s="62" t="n">
        <v>6590000</v>
      </c>
      <c r="F42" s="25" t="n">
        <v>6790000</v>
      </c>
      <c r="G42" s="40" t="n">
        <v>6799000</v>
      </c>
    </row>
    <row r="43">
      <c r="A43" t="inlineStr">
        <is>
          <t>MacBook Air 13" M1 8/256Gb</t>
        </is>
      </c>
      <c r="B43" s="3" t="n"/>
      <c r="C43" s="53" t="n">
        <v>17190000</v>
      </c>
      <c r="D43" s="64" t="inlineStr">
        <is>
          <t>OOS</t>
        </is>
      </c>
      <c r="E43" s="37" t="n"/>
      <c r="F43" s="64" t="inlineStr">
        <is>
          <t>OOS</t>
        </is>
      </c>
      <c r="G43" s="40" t="n">
        <v>16890000</v>
      </c>
    </row>
    <row r="44">
      <c r="A44" t="inlineStr">
        <is>
          <t>MacBook Air 13" M2 16/256GB</t>
        </is>
      </c>
      <c r="B44" s="25" t="n"/>
      <c r="C44" s="54" t="n">
        <v>19990000</v>
      </c>
      <c r="D44" s="62" t="n">
        <v>19890000</v>
      </c>
      <c r="E44" s="37" t="n"/>
      <c r="F44" s="34" t="n">
        <v>19890000</v>
      </c>
      <c r="G44" s="40" t="n">
        <v>19390000</v>
      </c>
    </row>
    <row r="45">
      <c r="A45" t="inlineStr">
        <is>
          <t>MacBook Air 13" M3 16/256GB</t>
        </is>
      </c>
      <c r="B45" s="3" t="n"/>
      <c r="C45" s="52" t="inlineStr">
        <is>
          <t>OOS</t>
        </is>
      </c>
      <c r="D45" s="64" t="n">
        <v>23990000</v>
      </c>
      <c r="E45" s="37" t="n"/>
      <c r="F45" s="39" t="inlineStr">
        <is>
          <t>OOS</t>
        </is>
      </c>
      <c r="G45" s="40" t="n">
        <v>25290000</v>
      </c>
    </row>
    <row r="46">
      <c r="A46" t="inlineStr">
        <is>
          <t>MacBook Air 13" M4 16/256GB</t>
        </is>
      </c>
      <c r="B46" s="3" t="n"/>
      <c r="C46" s="53" t="n">
        <v>25090000</v>
      </c>
      <c r="D46" s="62" t="n">
        <v>25290000</v>
      </c>
      <c r="E46" s="37" t="n"/>
      <c r="F46" s="39" t="n">
        <v>25290000</v>
      </c>
      <c r="G46" s="40" t="n">
        <v>25090000</v>
      </c>
    </row>
    <row r="47">
      <c r="A47" t="inlineStr">
        <is>
          <t>MacBook Air 15" M4 16/256GB</t>
        </is>
      </c>
      <c r="B47" s="25" t="n"/>
      <c r="C47" s="64" t="n">
        <v>29490000</v>
      </c>
      <c r="D47" s="62" t="n">
        <v>29890000</v>
      </c>
      <c r="E47" s="37" t="n"/>
      <c r="F47" s="34" t="n">
        <v>29290000</v>
      </c>
      <c r="G47" s="40" t="n">
        <v>29290000</v>
      </c>
    </row>
    <row r="48">
      <c r="A48" t="inlineStr">
        <is>
          <t>MacBook Pro 14" M4 16/512GB</t>
        </is>
      </c>
      <c r="B48" s="25" t="n"/>
      <c r="C48" s="53" t="n">
        <v>38290000</v>
      </c>
      <c r="D48" s="62" t="n">
        <v>37990000</v>
      </c>
      <c r="E48" s="37" t="n"/>
      <c r="F48" s="38" t="n">
        <v>38490000</v>
      </c>
      <c r="G48" s="38" t="n">
        <v>37990000</v>
      </c>
    </row>
    <row r="49">
      <c r="A49" t="inlineStr">
        <is>
          <t>MacBook Pro 16" M4 16/512GB</t>
        </is>
      </c>
      <c r="B49" s="25" t="n"/>
      <c r="C49" s="64" t="n">
        <v>64990000</v>
      </c>
      <c r="D49" s="64" t="n">
        <v>64990000</v>
      </c>
      <c r="E49" s="37" t="n"/>
      <c r="F49" s="40" t="n"/>
      <c r="G49" s="40" t="n">
        <v>63990000</v>
      </c>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row r="154">
      <c r="C154" s="60" t="n"/>
      <c r="D154" s="60" t="n"/>
    </row>
    <row r="155">
      <c r="C155" s="60" t="n"/>
      <c r="D155" s="60" t="n"/>
    </row>
    <row r="156">
      <c r="C156" s="60" t="n"/>
      <c r="D156" s="60" t="n"/>
    </row>
    <row r="157">
      <c r="C157" s="60" t="n"/>
      <c r="D157" s="60" t="n"/>
    </row>
    <row r="158">
      <c r="C158" s="60" t="n"/>
      <c r="D158" s="60" t="n"/>
    </row>
    <row r="159">
      <c r="C159" s="60" t="n"/>
      <c r="D159" s="60" t="n"/>
    </row>
    <row r="160">
      <c r="C160" s="60" t="n"/>
      <c r="D160" s="60" t="n"/>
    </row>
    <row r="161">
      <c r="C161" s="60" t="n"/>
      <c r="D161" s="60" t="n"/>
    </row>
    <row r="162">
      <c r="C162" s="60" t="n"/>
      <c r="D162"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79.xml><?xml version="1.0" encoding="utf-8"?>
<worksheet xmlns="http://schemas.openxmlformats.org/spreadsheetml/2006/main">
  <sheetPr>
    <outlinePr summaryBelow="1" summaryRight="1"/>
    <pageSetUpPr/>
  </sheetPr>
  <dimension ref="A1:L162"/>
  <sheetViews>
    <sheetView zoomScale="75" zoomScaleNormal="8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31490000</v>
      </c>
      <c r="D3" s="68" t="n">
        <v>31990000</v>
      </c>
      <c r="E3" s="72" t="n">
        <v>30990000</v>
      </c>
      <c r="F3" s="40" t="n">
        <v>31990000</v>
      </c>
      <c r="G3" s="38" t="n">
        <v>30990000</v>
      </c>
      <c r="H3" t="n">
        <v>-400</v>
      </c>
    </row>
    <row r="4">
      <c r="A4" t="inlineStr">
        <is>
          <t>iPhone 17 Pro 256GB</t>
        </is>
      </c>
      <c r="B4" s="83" t="n"/>
      <c r="C4" s="68" t="n">
        <v>34990000</v>
      </c>
      <c r="D4" s="68" t="n">
        <v>34990000</v>
      </c>
      <c r="E4" s="72" t="n">
        <v>33990000</v>
      </c>
      <c r="F4" s="40" t="n">
        <v>34990000</v>
      </c>
      <c r="G4" s="40" t="n">
        <v>34790000</v>
      </c>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77" t="n">
        <v>15790000</v>
      </c>
      <c r="D6" s="76" t="n">
        <v>14990000</v>
      </c>
      <c r="E6" s="72" t="n">
        <v>15790000</v>
      </c>
      <c r="F6" s="38" t="n">
        <v>14990000</v>
      </c>
      <c r="G6" s="38" t="n">
        <v>15290000</v>
      </c>
      <c r="H6" t="n">
        <v>300</v>
      </c>
    </row>
    <row r="7">
      <c r="A7" t="inlineStr">
        <is>
          <t>iPhone 16  128GB</t>
        </is>
      </c>
      <c r="B7" s="71" t="n"/>
      <c r="C7" s="69" t="n">
        <v>21590000</v>
      </c>
      <c r="D7" s="73" t="n">
        <v>21590000</v>
      </c>
      <c r="E7" s="72" t="n">
        <v>20690000</v>
      </c>
      <c r="F7" s="38" t="n">
        <v>21390000</v>
      </c>
      <c r="G7" s="40" t="n">
        <v>21290000</v>
      </c>
    </row>
    <row r="8">
      <c r="A8" t="inlineStr">
        <is>
          <t>iPhone 16  Plus 128GB</t>
        </is>
      </c>
      <c r="B8" s="3" t="n"/>
      <c r="C8" s="53" t="n">
        <v>24990000</v>
      </c>
      <c r="D8" s="62" t="n">
        <v>24790000</v>
      </c>
      <c r="E8" s="40" t="n">
        <v>23490000</v>
      </c>
      <c r="F8" s="40" t="n">
        <v>24890000</v>
      </c>
      <c r="G8" s="40" t="n">
        <v>25090000</v>
      </c>
    </row>
    <row r="9">
      <c r="A9" t="inlineStr">
        <is>
          <t>iPhone 16 Pro  128GB</t>
        </is>
      </c>
      <c r="B9" s="25" t="n"/>
      <c r="C9" s="53" t="n">
        <v>25590000</v>
      </c>
      <c r="D9" s="64" t="n">
        <v>25590000</v>
      </c>
      <c r="E9" s="40" t="n">
        <v>24290000</v>
      </c>
      <c r="F9" s="40" t="n">
        <v>25590000</v>
      </c>
      <c r="G9" s="40" t="n">
        <v>24990000</v>
      </c>
    </row>
    <row r="10">
      <c r="A10" t="inlineStr">
        <is>
          <t>iPhone 16 Pro Max 256GB</t>
        </is>
      </c>
      <c r="B10" s="3" t="n"/>
      <c r="C10" s="53" t="n">
        <v>30590000</v>
      </c>
      <c r="D10" s="62" t="n">
        <v>30290000</v>
      </c>
      <c r="E10" s="40" t="n">
        <v>29290000</v>
      </c>
      <c r="F10" s="38" t="n">
        <v>30490000</v>
      </c>
      <c r="G10" s="40" t="n">
        <v>30390000</v>
      </c>
    </row>
    <row r="11">
      <c r="A11" t="inlineStr">
        <is>
          <t>iPhone 15  128GB</t>
        </is>
      </c>
      <c r="B11" s="25" t="n"/>
      <c r="C11" s="54" t="n">
        <v>17590000</v>
      </c>
      <c r="D11" s="62" t="n">
        <v>17590000</v>
      </c>
      <c r="E11" s="34" t="n">
        <v>16790000</v>
      </c>
      <c r="F11" s="38" t="n">
        <v>17390000</v>
      </c>
      <c r="G11" s="38" t="n">
        <v>16590000</v>
      </c>
      <c r="H11" t="n">
        <v>-300</v>
      </c>
    </row>
    <row r="12">
      <c r="A12" t="inlineStr">
        <is>
          <t>iPhone 15  Plus 128GB</t>
        </is>
      </c>
      <c r="B12" s="25" t="n"/>
      <c r="C12" s="53" t="n">
        <v>19590000</v>
      </c>
      <c r="D12" s="64" t="inlineStr">
        <is>
          <t>OOS</t>
        </is>
      </c>
      <c r="E12" s="25" t="n">
        <v>18490000</v>
      </c>
      <c r="F12" s="40" t="n">
        <v>18990000</v>
      </c>
      <c r="G12" s="40" t="n">
        <v>18490000</v>
      </c>
    </row>
    <row r="13">
      <c r="A13" t="inlineStr">
        <is>
          <t>iPhone 14 128GB</t>
        </is>
      </c>
      <c r="B13" s="25" t="n"/>
      <c r="C13" s="53" t="n">
        <v>13990000</v>
      </c>
      <c r="D13" s="62" t="n">
        <v>13490000</v>
      </c>
      <c r="E13" s="34" t="n">
        <v>13490000</v>
      </c>
      <c r="F13" s="34" t="n">
        <v>13790000</v>
      </c>
      <c r="G13" s="40" t="n">
        <v>13490000</v>
      </c>
    </row>
    <row r="14">
      <c r="A14" t="inlineStr">
        <is>
          <t>iPhone 13  128GB</t>
        </is>
      </c>
      <c r="B14" s="3" t="n"/>
      <c r="C14" s="54" t="n">
        <v>12490000</v>
      </c>
      <c r="D14" s="54" t="n">
        <v>12390000</v>
      </c>
      <c r="E14" s="34" t="n">
        <v>11990000</v>
      </c>
      <c r="F14" s="34" t="n">
        <v>12290000</v>
      </c>
      <c r="G14" s="40" t="n">
        <v>11890000</v>
      </c>
    </row>
    <row r="15">
      <c r="A15" t="inlineStr">
        <is>
          <t>iPad Mini 7 128GB Wifi</t>
        </is>
      </c>
      <c r="B15" s="25" t="n"/>
      <c r="C15" s="53" t="n">
        <v>11790000</v>
      </c>
      <c r="D15" s="62" t="n">
        <v>11790000</v>
      </c>
      <c r="E15" s="34" t="n">
        <v>11790000</v>
      </c>
      <c r="F15" s="39" t="n">
        <v>11790000</v>
      </c>
      <c r="G15" s="40" t="n">
        <v>11590000</v>
      </c>
    </row>
    <row r="16">
      <c r="A16" t="inlineStr">
        <is>
          <t>iPad Gen 11th  128GB Wifi</t>
        </is>
      </c>
      <c r="B16" s="3" t="n"/>
      <c r="C16" s="53" t="n">
        <v>8890000</v>
      </c>
      <c r="D16" s="62" t="n">
        <v>8690000</v>
      </c>
      <c r="E16" s="34" t="n">
        <v>8690000</v>
      </c>
      <c r="F16" s="34" t="n">
        <v>8790000</v>
      </c>
      <c r="G16" s="40" t="n">
        <v>8390000</v>
      </c>
      <c r="H16" s="26" t="n"/>
      <c r="J16" t="inlineStr">
        <is>
          <t xml:space="preserve">MW </t>
        </is>
      </c>
      <c r="K16" t="inlineStr">
        <is>
          <t>Duy</t>
        </is>
      </c>
      <c r="L16" t="b">
        <v>1</v>
      </c>
    </row>
    <row r="17">
      <c r="A17" t="inlineStr">
        <is>
          <t>iPad Air M3  11" 128 GB Wifi</t>
        </is>
      </c>
      <c r="B17" s="3" t="n"/>
      <c r="C17" s="53" t="n">
        <v>13690000</v>
      </c>
      <c r="D17" s="62" t="n">
        <v>13190000</v>
      </c>
      <c r="E17" s="34" t="n">
        <v>13690000</v>
      </c>
      <c r="F17" s="34" t="n">
        <v>13690000</v>
      </c>
      <c r="G17" s="38" t="n">
        <v>13490000</v>
      </c>
      <c r="H17" t="n">
        <v>400</v>
      </c>
      <c r="J17" t="inlineStr">
        <is>
          <t>FPT</t>
        </is>
      </c>
      <c r="K17" t="inlineStr">
        <is>
          <t>Việt</t>
        </is>
      </c>
      <c r="L17" t="b">
        <v>0</v>
      </c>
    </row>
    <row r="18">
      <c r="A18" t="inlineStr">
        <is>
          <t>iPad Air M3  13" 128 GB Wifi</t>
        </is>
      </c>
      <c r="B18" s="25" t="n"/>
      <c r="C18" s="54" t="n">
        <v>18990000</v>
      </c>
      <c r="D18" s="62" t="n">
        <v>18990000</v>
      </c>
      <c r="E18" s="25" t="n">
        <v>20490000</v>
      </c>
      <c r="F18" s="39" t="n">
        <v>19490000</v>
      </c>
      <c r="G18" s="40" t="n">
        <v>18990000</v>
      </c>
      <c r="J18" t="inlineStr">
        <is>
          <t>Viettel</t>
        </is>
      </c>
      <c r="K18" t="inlineStr">
        <is>
          <t>Nghĩa</t>
        </is>
      </c>
      <c r="L18" t="b">
        <v>1</v>
      </c>
    </row>
    <row r="19">
      <c r="A19" t="inlineStr">
        <is>
          <t>iPad Pro  M4  11" 256 GB Wifi</t>
        </is>
      </c>
      <c r="B19" s="25" t="n"/>
      <c r="C19" s="53" t="n">
        <v>27990000</v>
      </c>
      <c r="D19" s="62" t="n">
        <v>27890000</v>
      </c>
      <c r="E19" s="25" t="n">
        <v>26490000</v>
      </c>
      <c r="F19" s="34" t="n">
        <v>27890000</v>
      </c>
      <c r="G19" s="38" t="n">
        <v>27890000</v>
      </c>
      <c r="H19" t="n">
        <v>200</v>
      </c>
      <c r="J19" t="inlineStr">
        <is>
          <t>CPS</t>
        </is>
      </c>
      <c r="K19" t="inlineStr">
        <is>
          <t>Trang</t>
        </is>
      </c>
      <c r="L19" t="b">
        <v>1</v>
      </c>
    </row>
    <row r="20">
      <c r="A20" t="inlineStr">
        <is>
          <t>iPad Pro  M4  13" 256 GB Wifi</t>
        </is>
      </c>
      <c r="B20" s="3" t="n"/>
      <c r="C20" s="53" t="n">
        <v>36290000</v>
      </c>
      <c r="D20" s="64" t="n">
        <v>36290000</v>
      </c>
      <c r="E20" s="25" t="n">
        <v>35490000</v>
      </c>
      <c r="F20" s="34" t="n">
        <v>36490000</v>
      </c>
      <c r="G20" s="40" t="n">
        <v>33690000</v>
      </c>
      <c r="J20" t="inlineStr">
        <is>
          <t>ShopDunk</t>
        </is>
      </c>
      <c r="K20" t="inlineStr">
        <is>
          <t>Đạt</t>
        </is>
      </c>
      <c r="L20" t="b">
        <v>1</v>
      </c>
    </row>
    <row r="21">
      <c r="A21" t="inlineStr">
        <is>
          <t>AW SE 2 (40mm GPS)</t>
        </is>
      </c>
      <c r="B21" s="25" t="n"/>
      <c r="C21" s="53" t="n">
        <v>5790000</v>
      </c>
      <c r="D21" s="64" t="n">
        <v>5690000</v>
      </c>
      <c r="E21" s="25" t="n">
        <v>5490000</v>
      </c>
      <c r="F21" s="34" t="n">
        <v>5790000</v>
      </c>
      <c r="G21" s="39" t="n">
        <v>5690000</v>
      </c>
    </row>
    <row r="22">
      <c r="A22" t="inlineStr">
        <is>
          <t>AW SE 2 (40mm LTE)</t>
        </is>
      </c>
      <c r="B22" s="25" t="n"/>
      <c r="C22" s="52" t="inlineStr">
        <is>
          <t>OOS</t>
        </is>
      </c>
      <c r="D22" s="64" t="n">
        <v>6990000</v>
      </c>
      <c r="E22" s="25" t="n">
        <v>6990000</v>
      </c>
      <c r="F22" s="39" t="n">
        <v>6990000</v>
      </c>
      <c r="G22" s="39" t="n">
        <v>6590000</v>
      </c>
    </row>
    <row r="23">
      <c r="A23" t="inlineStr">
        <is>
          <t>AW SE 2 (44mm GPS)</t>
        </is>
      </c>
      <c r="B23" s="25" t="n"/>
      <c r="C23" s="53" t="n">
        <v>6490000</v>
      </c>
      <c r="D23" s="64" t="n">
        <v>6490000</v>
      </c>
      <c r="E23" s="25" t="n">
        <v>6390000</v>
      </c>
      <c r="F23" s="64" t="n">
        <v>6490000</v>
      </c>
      <c r="G23" s="40" t="n">
        <v>7849000</v>
      </c>
    </row>
    <row r="24">
      <c r="A24" t="inlineStr">
        <is>
          <t>AW SE 2 (44mm LTE)</t>
        </is>
      </c>
      <c r="B24" s="25" t="n"/>
      <c r="C24" s="52" t="inlineStr">
        <is>
          <t>OOS</t>
        </is>
      </c>
      <c r="D24" s="64" t="n">
        <v>7790000</v>
      </c>
      <c r="E24" s="25" t="n">
        <v>7790000</v>
      </c>
      <c r="F24" s="39" t="n">
        <v>7790000</v>
      </c>
      <c r="G24" s="40" t="n">
        <v>8490000</v>
      </c>
    </row>
    <row r="25">
      <c r="A25" t="inlineStr">
        <is>
          <t>AW SE 3 (40mm GPS)</t>
        </is>
      </c>
      <c r="B25" s="25" t="n"/>
      <c r="C25" s="64" t="n">
        <v>6990000</v>
      </c>
      <c r="D25" s="64" t="n">
        <v>6990000</v>
      </c>
      <c r="E25" s="25" t="n">
        <v>6690000</v>
      </c>
      <c r="F25" s="39" t="n">
        <v>6990000</v>
      </c>
      <c r="G25" s="39" t="n">
        <v>6990000</v>
      </c>
    </row>
    <row r="26">
      <c r="A26" t="inlineStr">
        <is>
          <t>AW SE 3 (40mm LTE)</t>
        </is>
      </c>
      <c r="B26" s="25" t="n"/>
      <c r="C26" s="64" t="n">
        <v>8490000</v>
      </c>
      <c r="D26" s="64" t="n">
        <v>8490000</v>
      </c>
      <c r="E26" s="25" t="n">
        <v>8190000</v>
      </c>
      <c r="F26" s="39" t="n">
        <v>8490000</v>
      </c>
      <c r="G26" s="39" t="n">
        <v>8490000</v>
      </c>
    </row>
    <row r="27">
      <c r="A27" t="inlineStr">
        <is>
          <t>AW SE 3 (44mm GPS)</t>
        </is>
      </c>
      <c r="B27" s="25" t="n"/>
      <c r="C27" s="64" t="n">
        <v>7850000</v>
      </c>
      <c r="D27" s="64" t="n">
        <v>7849000</v>
      </c>
      <c r="E27" s="25" t="n">
        <v>7690000</v>
      </c>
      <c r="F27" s="39" t="n">
        <v>7840000</v>
      </c>
      <c r="G27" s="39" t="n">
        <v>7840000</v>
      </c>
    </row>
    <row r="28">
      <c r="A28" t="inlineStr">
        <is>
          <t>AW SE 3 (44mm LTE)</t>
        </is>
      </c>
      <c r="B28" s="25" t="n"/>
      <c r="C28" s="52" t="inlineStr">
        <is>
          <t>OOS</t>
        </is>
      </c>
      <c r="D28" s="64" t="n">
        <v>9349000</v>
      </c>
      <c r="E28" s="25" t="n">
        <v>8990000</v>
      </c>
      <c r="F28" s="39" t="n">
        <v>9340000</v>
      </c>
      <c r="G28" s="39" t="n">
        <v>9340000</v>
      </c>
    </row>
    <row r="29">
      <c r="A29" t="inlineStr">
        <is>
          <t>AW S10 (42mm GPS)</t>
        </is>
      </c>
      <c r="B29" s="25" t="n"/>
      <c r="C29" s="53" t="n">
        <v>10590000</v>
      </c>
      <c r="D29" s="64" t="n">
        <v>10490000</v>
      </c>
      <c r="E29" s="25" t="n">
        <v>9990000</v>
      </c>
      <c r="F29" s="39" t="n">
        <v>10190000</v>
      </c>
      <c r="G29" s="40" t="n">
        <v>10390000</v>
      </c>
      <c r="H29" s="26" t="n"/>
    </row>
    <row r="30">
      <c r="A30" t="inlineStr">
        <is>
          <t>AW S10 (42mm CEL)</t>
        </is>
      </c>
      <c r="B30" s="25" t="n"/>
      <c r="C30" s="64" t="inlineStr">
        <is>
          <t>OOS</t>
        </is>
      </c>
      <c r="D30" s="64" t="n">
        <v>12790000</v>
      </c>
      <c r="E30" s="25" t="inlineStr">
        <is>
          <t>OOS</t>
        </is>
      </c>
      <c r="F30" s="39" t="n">
        <v>12990000</v>
      </c>
      <c r="G30" s="40" t="n">
        <v>12890000</v>
      </c>
    </row>
    <row r="31">
      <c r="A31" t="inlineStr">
        <is>
          <t>AW S10 (46mm GPS)</t>
        </is>
      </c>
      <c r="B31" s="25" t="n"/>
      <c r="C31" s="53" t="n">
        <v>11190000</v>
      </c>
      <c r="D31" s="64" t="n">
        <v>11290000</v>
      </c>
      <c r="E31" s="25" t="n">
        <v>10690000</v>
      </c>
      <c r="F31" s="39" t="n">
        <v>11290000</v>
      </c>
      <c r="G31" s="40" t="n">
        <v>10990000</v>
      </c>
      <c r="H31" s="26" t="n"/>
      <c r="I31" s="26" t="n"/>
    </row>
    <row r="32">
      <c r="A32" t="inlineStr">
        <is>
          <t>AW S10 (46mm CEL)</t>
        </is>
      </c>
      <c r="B32" s="3" t="n"/>
      <c r="C32" s="53" t="n">
        <v>13690000</v>
      </c>
      <c r="D32" s="64" t="n">
        <v>13690000</v>
      </c>
      <c r="E32" s="25" t="n">
        <v>13290000</v>
      </c>
      <c r="F32" s="39" t="n">
        <v>13890000</v>
      </c>
      <c r="G32" s="40" t="n">
        <v>13590000</v>
      </c>
    </row>
    <row r="33">
      <c r="A33" t="inlineStr">
        <is>
          <t>AW S11 (42mm GPS)</t>
        </is>
      </c>
      <c r="B33" s="3" t="n"/>
      <c r="C33" s="64" t="n">
        <v>11490000</v>
      </c>
      <c r="D33" s="64" t="n">
        <v>11490000</v>
      </c>
      <c r="E33" s="25" t="n">
        <v>11290000</v>
      </c>
      <c r="F33" s="39" t="n">
        <v>11490000</v>
      </c>
      <c r="G33" s="39" t="n">
        <v>11490000</v>
      </c>
    </row>
    <row r="34">
      <c r="A34" t="inlineStr">
        <is>
          <t>AW S11 (42mm CEL)</t>
        </is>
      </c>
      <c r="B34" s="3" t="n"/>
      <c r="C34" s="64" t="n">
        <v>14490000</v>
      </c>
      <c r="D34" s="64" t="n">
        <v>14490000</v>
      </c>
      <c r="E34" s="25" t="n">
        <v>14190000</v>
      </c>
      <c r="F34" s="39" t="n">
        <v>14490000</v>
      </c>
      <c r="G34" s="39" t="n">
        <v>14490000</v>
      </c>
    </row>
    <row r="35">
      <c r="A35" t="inlineStr">
        <is>
          <t>AW S11 (46mm GPS)</t>
        </is>
      </c>
      <c r="B35" s="3" t="n"/>
      <c r="C35" s="64" t="n">
        <v>12350000</v>
      </c>
      <c r="D35" s="64" t="n">
        <v>12349000</v>
      </c>
      <c r="E35" s="25" t="n">
        <v>12190000</v>
      </c>
      <c r="F35" s="39" t="n">
        <v>12349000</v>
      </c>
      <c r="G35" s="39" t="n">
        <v>12349000</v>
      </c>
    </row>
    <row r="36">
      <c r="A36" t="inlineStr">
        <is>
          <t>AW S11 (46mm CEL)</t>
        </is>
      </c>
      <c r="B36" s="3" t="n"/>
      <c r="C36" s="64" t="n">
        <v>15350000</v>
      </c>
      <c r="D36" s="64" t="n">
        <v>15349000</v>
      </c>
      <c r="E36" s="25" t="n">
        <v>14990000</v>
      </c>
      <c r="F36" s="39" t="n">
        <v>15349000</v>
      </c>
      <c r="G36" s="39" t="n">
        <v>15349000</v>
      </c>
    </row>
    <row r="37">
      <c r="A37" t="inlineStr">
        <is>
          <t>AW Ultra 2 (49mm)</t>
        </is>
      </c>
      <c r="B37" s="25" t="n"/>
      <c r="C37" s="53" t="n">
        <v>21890000</v>
      </c>
      <c r="D37" s="64" t="n">
        <v>21890000</v>
      </c>
      <c r="E37" s="25" t="n">
        <v>20990000</v>
      </c>
      <c r="F37" s="40" t="n">
        <v>21290000</v>
      </c>
      <c r="G37" s="40" t="n">
        <v>22990000</v>
      </c>
    </row>
    <row r="38">
      <c r="A38" t="inlineStr">
        <is>
          <t>AW Ultra 3 (49mm)</t>
        </is>
      </c>
      <c r="B38" s="25" t="n"/>
      <c r="C38" s="64" t="n">
        <v>23990000</v>
      </c>
      <c r="D38" s="64" t="n">
        <v>23990000</v>
      </c>
      <c r="E38" s="25" t="n">
        <v>23490000</v>
      </c>
      <c r="F38" s="40" t="n">
        <v>23990000</v>
      </c>
      <c r="G38" s="40" t="n">
        <v>23990000</v>
      </c>
    </row>
    <row r="39">
      <c r="A39" t="inlineStr">
        <is>
          <t>AirPods Pro 2 - 2023 (C-Type)</t>
        </is>
      </c>
      <c r="B39" s="3" t="n"/>
      <c r="C39" s="53" t="n">
        <v>5590000</v>
      </c>
      <c r="D39" s="64" t="n">
        <v>5590000</v>
      </c>
      <c r="E39" s="25" t="n">
        <v>5590000</v>
      </c>
      <c r="F39" s="40" t="n">
        <v>5590000</v>
      </c>
      <c r="G39" s="40" t="n">
        <v>5590000</v>
      </c>
    </row>
    <row r="40">
      <c r="A40" t="inlineStr">
        <is>
          <t>AirPods 4 ANC</t>
        </is>
      </c>
      <c r="B40" s="3" t="n"/>
      <c r="C40" s="54" t="n">
        <v>4690000</v>
      </c>
      <c r="D40" s="62" t="n">
        <v>4690000</v>
      </c>
      <c r="E40" s="25" t="n">
        <v>4390000</v>
      </c>
      <c r="F40" s="38" t="n">
        <v>4590000</v>
      </c>
      <c r="G40" s="40" t="n">
        <v>4490000</v>
      </c>
    </row>
    <row r="41">
      <c r="A41" t="inlineStr">
        <is>
          <t>AirPods 4 with charging case</t>
        </is>
      </c>
      <c r="B41" s="3" t="n"/>
      <c r="C41" s="53" t="n">
        <v>3190000</v>
      </c>
      <c r="D41" s="62" t="n">
        <v>3190000</v>
      </c>
      <c r="E41" s="25" t="n">
        <v>2990000</v>
      </c>
      <c r="F41" s="38" t="n">
        <v>3090000</v>
      </c>
      <c r="G41" s="40" t="n">
        <v>3150000</v>
      </c>
    </row>
    <row r="42">
      <c r="A42" t="inlineStr">
        <is>
          <t>AirPods Pro 3</t>
        </is>
      </c>
      <c r="B42" s="3" t="n"/>
      <c r="C42" s="40" t="n">
        <v>6790000</v>
      </c>
      <c r="D42" s="64" t="n">
        <v>6790000</v>
      </c>
      <c r="E42" s="25" t="n">
        <v>6590000</v>
      </c>
      <c r="F42" s="25" t="n">
        <v>6790000</v>
      </c>
      <c r="G42" s="38" t="n">
        <v>6690000</v>
      </c>
      <c r="H42" t="n">
        <v>-100</v>
      </c>
    </row>
    <row r="43">
      <c r="A43" t="inlineStr">
        <is>
          <t>MacBook Air 13" M1 8/256Gb</t>
        </is>
      </c>
      <c r="B43" s="3" t="n"/>
      <c r="C43" s="54" t="n">
        <v>16990000</v>
      </c>
      <c r="D43" s="64" t="inlineStr">
        <is>
          <t>OOS</t>
        </is>
      </c>
      <c r="E43" s="37" t="n"/>
      <c r="F43" s="64" t="inlineStr">
        <is>
          <t>OOS</t>
        </is>
      </c>
      <c r="G43" s="40" t="inlineStr">
        <is>
          <t>EOL</t>
        </is>
      </c>
    </row>
    <row r="44">
      <c r="A44" t="inlineStr">
        <is>
          <t>MacBook Air 13" M2 16/256GB</t>
        </is>
      </c>
      <c r="B44" s="25" t="n"/>
      <c r="C44" s="54" t="n">
        <v>19790000</v>
      </c>
      <c r="D44" s="62" t="n">
        <v>19890000</v>
      </c>
      <c r="E44" s="37" t="n"/>
      <c r="F44" s="34" t="n">
        <v>19790000</v>
      </c>
      <c r="G44" s="38" t="n">
        <v>19690000</v>
      </c>
      <c r="H44" t="n">
        <v>300</v>
      </c>
    </row>
    <row r="45">
      <c r="A45" t="inlineStr">
        <is>
          <t>MacBook Air 13" M3 16/256GB</t>
        </is>
      </c>
      <c r="B45" s="3" t="n"/>
      <c r="C45" s="52" t="inlineStr">
        <is>
          <t>OOS</t>
        </is>
      </c>
      <c r="D45" s="64" t="n">
        <v>23990000</v>
      </c>
      <c r="E45" s="37" t="n"/>
      <c r="F45" s="39" t="inlineStr">
        <is>
          <t>OOS</t>
        </is>
      </c>
      <c r="G45" s="40" t="n">
        <v>25290000</v>
      </c>
    </row>
    <row r="46">
      <c r="A46" t="inlineStr">
        <is>
          <t>MacBook Air 13" M4 16/256GB</t>
        </is>
      </c>
      <c r="B46" s="3" t="n"/>
      <c r="C46" s="54" t="n">
        <v>25890000</v>
      </c>
      <c r="D46" s="62" t="n">
        <v>25290000</v>
      </c>
      <c r="E46" s="37" t="n"/>
      <c r="F46" s="39" t="n">
        <v>25190000</v>
      </c>
      <c r="G46" s="38" t="n">
        <v>25290000</v>
      </c>
      <c r="H46" t="n">
        <v>200</v>
      </c>
    </row>
    <row r="47">
      <c r="A47" t="inlineStr">
        <is>
          <t>MacBook Air 15" M4 16/256GB</t>
        </is>
      </c>
      <c r="B47" s="25" t="n"/>
      <c r="C47" s="62" t="n">
        <v>29890000</v>
      </c>
      <c r="D47" s="62" t="n">
        <v>29890000</v>
      </c>
      <c r="E47" s="37" t="n"/>
      <c r="F47" s="34" t="n">
        <v>29290000</v>
      </c>
      <c r="G47" s="40" t="n">
        <v>29290000</v>
      </c>
    </row>
    <row r="48">
      <c r="A48" t="inlineStr">
        <is>
          <t>MacBook Pro 14" M4 16/512GB</t>
        </is>
      </c>
      <c r="B48" s="25" t="n"/>
      <c r="C48" s="54" t="n">
        <v>37990000</v>
      </c>
      <c r="D48" s="62" t="n">
        <v>37990000</v>
      </c>
      <c r="E48" s="37" t="n"/>
      <c r="F48" s="38" t="n">
        <v>38590000</v>
      </c>
      <c r="G48" s="38" t="n">
        <v>38290000</v>
      </c>
      <c r="H48" t="n">
        <v>1300</v>
      </c>
    </row>
    <row r="49">
      <c r="A49" t="inlineStr">
        <is>
          <t>MacBook Pro 16" M4 16/512GB</t>
        </is>
      </c>
      <c r="B49" s="25" t="n"/>
      <c r="C49" s="64" t="n">
        <v>64990000</v>
      </c>
      <c r="D49" s="64" t="n">
        <v>64990000</v>
      </c>
      <c r="E49" s="37" t="n"/>
      <c r="F49" s="40" t="n"/>
      <c r="G49" s="40" t="n">
        <v>63990000</v>
      </c>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row r="154">
      <c r="C154" s="60" t="n"/>
      <c r="D154" s="60" t="n"/>
    </row>
    <row r="155">
      <c r="C155" s="60" t="n"/>
      <c r="D155" s="60" t="n"/>
    </row>
    <row r="156">
      <c r="C156" s="60" t="n"/>
      <c r="D156" s="60" t="n"/>
    </row>
    <row r="157">
      <c r="C157" s="60" t="n"/>
      <c r="D157" s="60" t="n"/>
    </row>
    <row r="158">
      <c r="C158" s="60" t="n"/>
      <c r="D158" s="60" t="n"/>
    </row>
    <row r="159">
      <c r="C159" s="60" t="n"/>
      <c r="D159" s="60" t="n"/>
    </row>
    <row r="160">
      <c r="C160" s="60" t="n"/>
      <c r="D160" s="60" t="n"/>
    </row>
    <row r="161">
      <c r="C161" s="60" t="n"/>
      <c r="D161" s="60" t="n"/>
    </row>
    <row r="162">
      <c r="C162" s="60" t="n"/>
      <c r="D162"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0.xml><?xml version="1.0" encoding="utf-8"?>
<worksheet xmlns="http://schemas.openxmlformats.org/spreadsheetml/2006/main">
  <sheetPr>
    <outlinePr summaryBelow="1" summaryRight="1"/>
    <pageSetUpPr/>
  </sheetPr>
  <dimension ref="A1:L152"/>
  <sheetViews>
    <sheetView zoomScale="86" zoomScaleNormal="140" workbookViewId="0">
      <pane xSplit="2" ySplit="1" topLeftCell="D8"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31490000</v>
      </c>
      <c r="D3" s="76" t="n">
        <v>31490000</v>
      </c>
      <c r="E3" s="72" t="n">
        <v>30990000</v>
      </c>
      <c r="F3" s="38" t="n">
        <v>30890000</v>
      </c>
      <c r="G3" s="40" t="n">
        <v>30990000</v>
      </c>
    </row>
    <row r="4">
      <c r="A4" t="inlineStr">
        <is>
          <t>iPhone 17 Pro 256GB</t>
        </is>
      </c>
      <c r="B4" s="83" t="n"/>
      <c r="C4" s="68" t="n">
        <v>34990000</v>
      </c>
      <c r="D4" s="68" t="n">
        <v>34990000</v>
      </c>
      <c r="E4" s="72" t="n">
        <v>33990000</v>
      </c>
      <c r="F4" s="38" t="n">
        <v>34790000</v>
      </c>
      <c r="G4" s="40" t="n">
        <v>34790000</v>
      </c>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77" t="n">
        <v>14990000</v>
      </c>
      <c r="D6" s="68" t="n">
        <v>14990000</v>
      </c>
      <c r="E6" s="34" t="n">
        <v>16990000</v>
      </c>
      <c r="F6" s="40" t="n">
        <v>14990000</v>
      </c>
      <c r="G6" s="40" t="n">
        <v>15290000</v>
      </c>
    </row>
    <row r="7">
      <c r="A7" t="inlineStr">
        <is>
          <t>iPhone 16  128GB</t>
        </is>
      </c>
      <c r="B7" s="71" t="n"/>
      <c r="C7" s="74" t="n">
        <v>21490000</v>
      </c>
      <c r="D7" s="73" t="n">
        <v>21090000</v>
      </c>
      <c r="E7" s="34" t="n">
        <v>21290000</v>
      </c>
      <c r="F7" s="38" t="n">
        <v>20990000</v>
      </c>
      <c r="G7" s="38" t="n">
        <v>20990000</v>
      </c>
      <c r="H7" t="n">
        <v>-300</v>
      </c>
    </row>
    <row r="8">
      <c r="A8" t="inlineStr">
        <is>
          <t>iPhone 16  Plus 128GB</t>
        </is>
      </c>
      <c r="B8" s="3" t="n"/>
      <c r="C8" s="53" t="n">
        <v>24990000</v>
      </c>
      <c r="D8" s="62" t="n">
        <v>24990000</v>
      </c>
      <c r="E8" s="34" t="n">
        <v>24490000</v>
      </c>
      <c r="F8" s="38" t="n">
        <v>24590000</v>
      </c>
      <c r="G8" s="38" t="n">
        <v>24690000</v>
      </c>
      <c r="H8" t="n">
        <v>-400</v>
      </c>
    </row>
    <row r="9">
      <c r="A9" t="inlineStr">
        <is>
          <t>iPhone 16 Pro  128GB</t>
        </is>
      </c>
      <c r="B9" s="25" t="n"/>
      <c r="C9" s="53" t="n">
        <v>25590000</v>
      </c>
      <c r="D9" s="64" t="n">
        <v>25590000</v>
      </c>
      <c r="E9" s="40" t="inlineStr">
        <is>
          <t>OOS</t>
        </is>
      </c>
      <c r="F9" s="40" t="n">
        <v>25590000</v>
      </c>
      <c r="G9" s="40" t="n">
        <v>24990000</v>
      </c>
    </row>
    <row r="10">
      <c r="A10" t="inlineStr">
        <is>
          <t>iPhone 16 Pro Max 256GB</t>
        </is>
      </c>
      <c r="B10" s="3" t="n"/>
      <c r="C10" s="53" t="n">
        <v>30590000</v>
      </c>
      <c r="D10" s="62" t="n">
        <v>30590000</v>
      </c>
      <c r="E10" s="34" t="n">
        <v>29990000</v>
      </c>
      <c r="F10" s="38" t="n">
        <v>30490000</v>
      </c>
      <c r="G10" s="40" t="n">
        <v>30390000</v>
      </c>
    </row>
    <row r="11">
      <c r="A11" t="inlineStr">
        <is>
          <t>iPhone 15  128GB</t>
        </is>
      </c>
      <c r="B11" s="25" t="n"/>
      <c r="C11" s="53" t="n">
        <v>17590000</v>
      </c>
      <c r="D11" s="64" t="n">
        <v>17590000</v>
      </c>
      <c r="E11" s="34" t="n">
        <v>17290000</v>
      </c>
      <c r="F11" s="40" t="n">
        <v>16990000</v>
      </c>
      <c r="G11" s="38" t="n">
        <v>16590000</v>
      </c>
      <c r="H11" t="n">
        <v>-300</v>
      </c>
    </row>
    <row r="12">
      <c r="A12" t="inlineStr">
        <is>
          <t>iPhone 15  Plus 128GB</t>
        </is>
      </c>
      <c r="B12" s="25" t="n"/>
      <c r="C12" s="53" t="n">
        <v>19590000</v>
      </c>
      <c r="D12" s="64" t="inlineStr">
        <is>
          <t>OOS</t>
        </is>
      </c>
      <c r="E12" s="25" t="n">
        <v>18490000</v>
      </c>
      <c r="F12" s="40" t="n">
        <v>17690000</v>
      </c>
      <c r="G12" s="40" t="n">
        <v>18490000</v>
      </c>
    </row>
    <row r="13">
      <c r="A13" t="inlineStr">
        <is>
          <t>iPhone 14 128GB</t>
        </is>
      </c>
      <c r="B13" s="25" t="n"/>
      <c r="C13" s="53" t="n">
        <v>13990000</v>
      </c>
      <c r="D13" s="62" t="n">
        <v>13790000</v>
      </c>
      <c r="E13" s="34" t="n">
        <v>13690000</v>
      </c>
      <c r="F13" s="34" t="n">
        <v>13590000</v>
      </c>
      <c r="G13" s="40" t="n">
        <v>13490000</v>
      </c>
    </row>
    <row r="14">
      <c r="A14" t="inlineStr">
        <is>
          <t>iPhone 13  128GB</t>
        </is>
      </c>
      <c r="B14" s="3" t="n"/>
      <c r="C14" s="53" t="n">
        <v>12490000</v>
      </c>
      <c r="D14" s="54" t="n">
        <v>12290000</v>
      </c>
      <c r="E14" s="34" t="n">
        <v>11990000</v>
      </c>
      <c r="F14" s="34" t="n">
        <v>12090000</v>
      </c>
      <c r="G14" s="40" t="n">
        <v>11890000</v>
      </c>
    </row>
    <row r="15">
      <c r="A15" t="inlineStr">
        <is>
          <t>iPad Mini 7 128GB Wifi</t>
        </is>
      </c>
      <c r="B15" s="25" t="n"/>
      <c r="C15" s="54" t="n">
        <v>13590000</v>
      </c>
      <c r="D15" s="62" t="n">
        <v>13590000</v>
      </c>
      <c r="E15" s="34" t="n">
        <v>13290000</v>
      </c>
      <c r="F15" s="39" t="n">
        <v>11790000</v>
      </c>
      <c r="G15" s="40" t="n">
        <v>11590000</v>
      </c>
    </row>
    <row r="16">
      <c r="A16" t="inlineStr">
        <is>
          <t>iPad Gen 11th  128GB Wifi</t>
        </is>
      </c>
      <c r="B16" s="3" t="n"/>
      <c r="C16" s="54" t="n">
        <v>9490000</v>
      </c>
      <c r="D16" s="62" t="n">
        <v>9590000</v>
      </c>
      <c r="E16" s="34" t="n">
        <v>9190000</v>
      </c>
      <c r="F16" s="34" t="n">
        <v>8790000</v>
      </c>
      <c r="G16" s="38" t="n">
        <v>8990000</v>
      </c>
      <c r="H16" s="26" t="n">
        <v>600</v>
      </c>
      <c r="J16" t="inlineStr">
        <is>
          <t xml:space="preserve">MW </t>
        </is>
      </c>
      <c r="K16" t="inlineStr">
        <is>
          <t>Duy</t>
        </is>
      </c>
      <c r="L16" t="b">
        <v>1</v>
      </c>
    </row>
    <row r="17">
      <c r="A17" t="inlineStr">
        <is>
          <t>iPad Air M3  11" 128 GB Wifi</t>
        </is>
      </c>
      <c r="B17" s="3" t="n"/>
      <c r="C17" s="54" t="n">
        <v>16490000</v>
      </c>
      <c r="D17" s="62" t="n">
        <v>16390000</v>
      </c>
      <c r="E17" s="34" t="n">
        <v>15790000</v>
      </c>
      <c r="F17" s="34" t="n">
        <v>13690000</v>
      </c>
      <c r="G17" s="38" t="n">
        <v>15990000</v>
      </c>
      <c r="H17" s="26" t="n"/>
      <c r="J17" t="inlineStr">
        <is>
          <t>FPT</t>
        </is>
      </c>
      <c r="K17" t="inlineStr">
        <is>
          <t>Trang</t>
        </is>
      </c>
      <c r="L17" t="b">
        <v>1</v>
      </c>
    </row>
    <row r="18">
      <c r="A18" t="inlineStr">
        <is>
          <t>iPad Air M3  13" 128 GB Wifi</t>
        </is>
      </c>
      <c r="B18" s="25" t="n"/>
      <c r="C18" s="54" t="n">
        <v>21690000</v>
      </c>
      <c r="D18" s="62" t="n">
        <v>21690000</v>
      </c>
      <c r="E18" s="25" t="n">
        <v>20490000</v>
      </c>
      <c r="F18" s="34" t="n">
        <v>19490000</v>
      </c>
      <c r="G18" s="38" t="n">
        <v>21390000</v>
      </c>
      <c r="H18" s="26" t="n">
        <v>2400</v>
      </c>
      <c r="J18" t="inlineStr">
        <is>
          <t>Viettel</t>
        </is>
      </c>
      <c r="K18" t="inlineStr">
        <is>
          <t>Nghĩa</t>
        </is>
      </c>
      <c r="L18" t="b">
        <v>1</v>
      </c>
    </row>
    <row r="19">
      <c r="A19" t="inlineStr">
        <is>
          <t>iPad Pro  M4  11" 256 GB Wifi</t>
        </is>
      </c>
      <c r="B19" s="25" t="n"/>
      <c r="C19" s="53" t="n">
        <v>27990000</v>
      </c>
      <c r="D19" s="62" t="n">
        <v>27990000</v>
      </c>
      <c r="E19" s="25" t="n">
        <v>26490000</v>
      </c>
      <c r="F19" s="34" t="n">
        <v>28190000</v>
      </c>
      <c r="G19" s="39" t="n">
        <v>27890000</v>
      </c>
      <c r="J19" t="inlineStr">
        <is>
          <t>CPS</t>
        </is>
      </c>
      <c r="K19" t="inlineStr">
        <is>
          <t>Hãi</t>
        </is>
      </c>
      <c r="L19" t="b">
        <v>1</v>
      </c>
    </row>
    <row r="20">
      <c r="A20" t="inlineStr">
        <is>
          <t>iPad Pro  M4  13" 256 GB Wifi</t>
        </is>
      </c>
      <c r="B20" s="3" t="n"/>
      <c r="C20" s="53" t="n">
        <v>36290000</v>
      </c>
      <c r="D20" s="64" t="n">
        <v>36290000</v>
      </c>
      <c r="E20" s="34" t="n">
        <v>34490000</v>
      </c>
      <c r="F20" s="39" t="n">
        <v>36490000</v>
      </c>
      <c r="G20" s="40" t="n">
        <v>33690000</v>
      </c>
      <c r="J20" t="inlineStr">
        <is>
          <t>ShopDunk</t>
        </is>
      </c>
      <c r="K20" t="inlineStr">
        <is>
          <t>Đạt</t>
        </is>
      </c>
      <c r="L20" t="b">
        <v>1</v>
      </c>
    </row>
    <row r="21">
      <c r="A21" t="inlineStr">
        <is>
          <t>AW SE 3 (40mm GPS)</t>
        </is>
      </c>
      <c r="B21" s="25" t="n"/>
      <c r="C21" s="64" t="n">
        <v>6990000</v>
      </c>
      <c r="D21" s="64" t="n">
        <v>6990000</v>
      </c>
      <c r="E21" s="25" t="n">
        <v>6690000</v>
      </c>
      <c r="F21" s="34" t="n">
        <v>6690000</v>
      </c>
      <c r="G21" s="39" t="n">
        <v>6990000</v>
      </c>
    </row>
    <row r="22">
      <c r="A22" t="inlineStr">
        <is>
          <t>AW SE 3 (40mm LTE)</t>
        </is>
      </c>
      <c r="B22" s="25" t="n"/>
      <c r="C22" s="64" t="n">
        <v>8490000</v>
      </c>
      <c r="D22" s="64" t="n">
        <v>8490000</v>
      </c>
      <c r="E22" s="25" t="n">
        <v>8190000</v>
      </c>
      <c r="F22" s="34" t="n">
        <v>8450000</v>
      </c>
      <c r="G22" s="39" t="n">
        <v>8490000</v>
      </c>
    </row>
    <row r="23">
      <c r="A23" t="inlineStr">
        <is>
          <t>AW SE 3 (44mm GPS)</t>
        </is>
      </c>
      <c r="B23" s="25" t="n"/>
      <c r="C23" s="64" t="n">
        <v>7850000</v>
      </c>
      <c r="D23" s="64" t="n">
        <v>7849000</v>
      </c>
      <c r="E23" s="25" t="n">
        <v>7690000</v>
      </c>
      <c r="F23" s="34" t="n">
        <v>7690000</v>
      </c>
      <c r="G23" s="39" t="n">
        <v>7840000</v>
      </c>
    </row>
    <row r="24">
      <c r="A24" t="inlineStr">
        <is>
          <t>AW SE 3 (44mm LTE)</t>
        </is>
      </c>
      <c r="B24" s="25" t="n"/>
      <c r="C24" s="52" t="inlineStr">
        <is>
          <t>OOS</t>
        </is>
      </c>
      <c r="D24" s="64" t="n">
        <v>9349000</v>
      </c>
      <c r="E24" s="25" t="n">
        <v>8990000</v>
      </c>
      <c r="F24" s="34" t="n">
        <v>9290000</v>
      </c>
      <c r="G24" s="39" t="n">
        <v>9340000</v>
      </c>
    </row>
    <row r="25">
      <c r="A25" t="inlineStr">
        <is>
          <t>AW S11 (42mm GPS)</t>
        </is>
      </c>
      <c r="B25" s="3" t="n"/>
      <c r="C25" s="64" t="n">
        <v>11490000</v>
      </c>
      <c r="D25" s="64" t="n">
        <v>11490000</v>
      </c>
      <c r="E25" s="25" t="n">
        <v>11290000</v>
      </c>
      <c r="F25" s="39" t="n">
        <v>11290000</v>
      </c>
      <c r="G25" s="39" t="n">
        <v>11490000</v>
      </c>
    </row>
    <row r="26">
      <c r="A26" t="inlineStr">
        <is>
          <t>AW S11 (42mm CEL)</t>
        </is>
      </c>
      <c r="B26" s="3" t="n"/>
      <c r="C26" s="64" t="n">
        <v>14490000</v>
      </c>
      <c r="D26" s="64" t="n">
        <v>14490000</v>
      </c>
      <c r="E26" s="25" t="n">
        <v>14190000</v>
      </c>
      <c r="F26" s="39" t="n">
        <v>14490000</v>
      </c>
      <c r="G26" s="39" t="n">
        <v>14490000</v>
      </c>
    </row>
    <row r="27">
      <c r="A27" t="inlineStr">
        <is>
          <t>AW S11 (46mm GPS)</t>
        </is>
      </c>
      <c r="B27" s="3" t="n"/>
      <c r="C27" s="64" t="n">
        <v>12350000</v>
      </c>
      <c r="D27" s="64" t="n">
        <v>12349000</v>
      </c>
      <c r="E27" s="25" t="n">
        <v>12190000</v>
      </c>
      <c r="F27" s="39" t="n">
        <v>11990000</v>
      </c>
      <c r="G27" s="39" t="n">
        <v>12349000</v>
      </c>
    </row>
    <row r="28">
      <c r="A28" t="inlineStr">
        <is>
          <t>AW S11 (46mm CEL)</t>
        </is>
      </c>
      <c r="B28" s="3" t="n"/>
      <c r="C28" s="64" t="n">
        <v>15350000</v>
      </c>
      <c r="D28" s="64" t="n">
        <v>15349000</v>
      </c>
      <c r="E28" s="25" t="n">
        <v>14990000</v>
      </c>
      <c r="F28" s="39" t="n">
        <v>15349000</v>
      </c>
      <c r="G28" s="39" t="n">
        <v>15349000</v>
      </c>
    </row>
    <row r="29">
      <c r="A29" t="inlineStr">
        <is>
          <t>AW Ultra 2 (49mm)</t>
        </is>
      </c>
      <c r="B29" s="25" t="n"/>
      <c r="C29" s="53" t="n">
        <v>21890000</v>
      </c>
      <c r="D29" s="64" t="n">
        <v>21890000</v>
      </c>
      <c r="E29" s="34" t="n">
        <v>20490000</v>
      </c>
      <c r="F29" s="38" t="n">
        <v>20990000</v>
      </c>
      <c r="G29" s="40" t="n">
        <v>22990000</v>
      </c>
    </row>
    <row r="30">
      <c r="A30" t="inlineStr">
        <is>
          <t>AW Ultra 3 (49mm)</t>
        </is>
      </c>
      <c r="B30" s="25" t="n"/>
      <c r="C30" s="64" t="n">
        <v>23990000</v>
      </c>
      <c r="D30" s="64" t="n">
        <v>23990000</v>
      </c>
      <c r="E30" s="25" t="n">
        <v>23490000</v>
      </c>
      <c r="F30" s="38" t="n">
        <v>23690000</v>
      </c>
      <c r="G30" s="40" t="n">
        <v>23990000</v>
      </c>
    </row>
    <row r="31">
      <c r="A31" t="inlineStr">
        <is>
          <t>AirPods Pro 2 - 2023 (C-Type)</t>
        </is>
      </c>
      <c r="B31" s="3" t="n"/>
      <c r="C31" s="54" t="n">
        <v>5390000</v>
      </c>
      <c r="D31" s="62" t="n">
        <v>5490000</v>
      </c>
      <c r="E31" s="25" t="n">
        <v>5590000</v>
      </c>
      <c r="F31" s="38" t="n">
        <v>5090000</v>
      </c>
      <c r="G31" s="40" t="n">
        <v>5590000</v>
      </c>
    </row>
    <row r="32">
      <c r="A32" t="inlineStr">
        <is>
          <t>AirPods 4 ANC</t>
        </is>
      </c>
      <c r="B32" s="3" t="n"/>
      <c r="C32" s="53" t="n">
        <v>4690000</v>
      </c>
      <c r="D32" s="62" t="n">
        <v>4650000</v>
      </c>
      <c r="E32" s="34" t="n">
        <v>4490000</v>
      </c>
      <c r="F32" s="38" t="n">
        <v>4450000</v>
      </c>
      <c r="G32" s="38" t="n">
        <v>4690000</v>
      </c>
      <c r="H32" t="n">
        <v>200</v>
      </c>
    </row>
    <row r="33">
      <c r="A33" t="inlineStr">
        <is>
          <t>AirPods 4 with charging case</t>
        </is>
      </c>
      <c r="B33" s="3" t="n"/>
      <c r="C33" s="54" t="n">
        <v>3590000</v>
      </c>
      <c r="D33" s="62" t="n">
        <v>3490000</v>
      </c>
      <c r="E33" s="34" t="n">
        <v>3490000</v>
      </c>
      <c r="F33" s="38" t="n">
        <v>3190000</v>
      </c>
      <c r="G33" s="38" t="n">
        <v>3590000</v>
      </c>
      <c r="H33" t="n">
        <v>400</v>
      </c>
    </row>
    <row r="34">
      <c r="A34" t="inlineStr">
        <is>
          <t>AirPods Pro 3</t>
        </is>
      </c>
      <c r="B34" s="3" t="n"/>
      <c r="C34" s="40" t="n">
        <v>6790000</v>
      </c>
      <c r="D34" s="64" t="n">
        <v>6790000</v>
      </c>
      <c r="E34" s="25" t="n">
        <v>6590000</v>
      </c>
      <c r="F34" s="34" t="n">
        <v>6690000</v>
      </c>
      <c r="G34" s="40" t="n">
        <v>6690000</v>
      </c>
    </row>
    <row r="35">
      <c r="A35" t="inlineStr">
        <is>
          <t>MacBook Air 13" M2 16/256GB</t>
        </is>
      </c>
      <c r="B35" s="25" t="n"/>
      <c r="C35" s="54" t="n">
        <v>19690000</v>
      </c>
      <c r="D35" s="64" t="n">
        <v>19890000</v>
      </c>
      <c r="E35" s="37" t="n"/>
      <c r="F35" s="39" t="n">
        <v>19790000</v>
      </c>
      <c r="G35" s="39" t="n">
        <v>19690000</v>
      </c>
      <c r="H35" t="n">
        <v>300</v>
      </c>
    </row>
    <row r="36">
      <c r="A36" t="inlineStr">
        <is>
          <t>MacBook Air 13" M4 16/256GB</t>
        </is>
      </c>
      <c r="B36" s="3" t="n"/>
      <c r="C36" s="54" t="n">
        <v>25690000</v>
      </c>
      <c r="D36" s="64" t="n">
        <v>25290000</v>
      </c>
      <c r="E36" s="37" t="n"/>
      <c r="F36" s="34" t="n">
        <v>24990000</v>
      </c>
      <c r="G36" s="38" t="n">
        <v>25190000</v>
      </c>
      <c r="H36" t="n">
        <v>-100</v>
      </c>
    </row>
    <row r="37">
      <c r="A37" t="inlineStr">
        <is>
          <t>MacBook Air 15" M4 16/256GB</t>
        </is>
      </c>
      <c r="B37" s="25" t="n"/>
      <c r="C37" s="62" t="n">
        <v>30390000</v>
      </c>
      <c r="D37" s="64" t="n">
        <v>29890000</v>
      </c>
      <c r="E37" s="37" t="n"/>
      <c r="F37" s="34" t="n">
        <v>28990000</v>
      </c>
      <c r="G37" s="40" t="n">
        <v>29290000</v>
      </c>
    </row>
    <row r="38">
      <c r="A38" t="inlineStr">
        <is>
          <t>MacBook Pro 14" M4 16/512GB</t>
        </is>
      </c>
      <c r="B38" s="25" t="n"/>
      <c r="C38" s="54" t="n">
        <v>38090000</v>
      </c>
      <c r="D38" s="64" t="n">
        <v>37990000</v>
      </c>
      <c r="E38" s="37" t="n"/>
      <c r="F38" s="40" t="n">
        <v>38590000</v>
      </c>
      <c r="G38" s="40" t="n">
        <v>38290000</v>
      </c>
    </row>
    <row r="39">
      <c r="A39" t="inlineStr">
        <is>
          <t>MacBook Pro 16" M4 16/512GB</t>
        </is>
      </c>
      <c r="B39" s="25" t="n"/>
      <c r="C39" s="64" t="n">
        <v>64990000</v>
      </c>
      <c r="D39" s="64" t="n">
        <v>64990000</v>
      </c>
      <c r="E39" s="37" t="n"/>
      <c r="F39" s="40" t="n"/>
      <c r="G39" s="40" t="n">
        <v>63990000</v>
      </c>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1.xml><?xml version="1.0" encoding="utf-8"?>
<worksheet xmlns="http://schemas.openxmlformats.org/spreadsheetml/2006/main">
  <sheetPr>
    <outlinePr summaryBelow="1" summaryRight="1"/>
    <pageSetUpPr/>
  </sheetPr>
  <dimension ref="A1:L152"/>
  <sheetViews>
    <sheetView zoomScale="86" zoomScaleNormal="14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31490000</v>
      </c>
      <c r="D3" s="68" t="n">
        <v>31490000</v>
      </c>
      <c r="E3" s="72" t="n">
        <v>30990000</v>
      </c>
      <c r="F3" s="38" t="n">
        <v>31390000</v>
      </c>
      <c r="G3" s="40" t="n">
        <v>30990000</v>
      </c>
    </row>
    <row r="4">
      <c r="A4" t="inlineStr">
        <is>
          <t>iPhone 17 Pro 256GB</t>
        </is>
      </c>
      <c r="B4" s="83" t="n"/>
      <c r="C4" s="68" t="n">
        <v>34990000</v>
      </c>
      <c r="D4" s="68" t="n">
        <v>34990000</v>
      </c>
      <c r="E4" s="72" t="n">
        <v>33990000</v>
      </c>
      <c r="F4" s="40" t="n">
        <v>34990000</v>
      </c>
      <c r="G4" s="40" t="n">
        <v>34790000</v>
      </c>
    </row>
    <row r="5">
      <c r="A5" t="inlineStr">
        <is>
          <t>iPhone 17 Pro Max 256GB</t>
        </is>
      </c>
      <c r="B5" s="83" t="n"/>
      <c r="C5" s="68" t="n">
        <v>37990000</v>
      </c>
      <c r="D5" s="68" t="n">
        <v>37990000</v>
      </c>
      <c r="E5" s="72" t="n">
        <v>37990000</v>
      </c>
      <c r="F5" s="40" t="n">
        <v>37990000</v>
      </c>
      <c r="G5" s="40" t="n">
        <v>37990000</v>
      </c>
    </row>
    <row r="6">
      <c r="A6" t="inlineStr">
        <is>
          <t>iPhone 16e  128GB</t>
        </is>
      </c>
      <c r="B6" s="83" t="n"/>
      <c r="C6" s="67" t="n">
        <v>14990000</v>
      </c>
      <c r="D6" s="76" t="n">
        <v>14990000</v>
      </c>
      <c r="E6" s="34" t="n">
        <v>16990000</v>
      </c>
      <c r="F6" s="40" t="n">
        <v>14990000</v>
      </c>
      <c r="G6" s="40" t="n">
        <v>15290000</v>
      </c>
    </row>
    <row r="7">
      <c r="A7" t="inlineStr">
        <is>
          <t>iPhone 16  128GB</t>
        </is>
      </c>
      <c r="B7" s="71" t="n"/>
      <c r="C7" s="74" t="n">
        <v>21390000</v>
      </c>
      <c r="D7" s="73" t="n">
        <v>21090000</v>
      </c>
      <c r="E7" s="40" t="n">
        <v>21290000</v>
      </c>
      <c r="F7" s="38" t="n">
        <v>21190000</v>
      </c>
      <c r="G7" s="40" t="n">
        <v>20990000</v>
      </c>
    </row>
    <row r="8">
      <c r="A8" t="inlineStr">
        <is>
          <t>iPhone 16  Plus 128GB</t>
        </is>
      </c>
      <c r="B8" s="3" t="n"/>
      <c r="C8" s="53" t="n">
        <v>24990000</v>
      </c>
      <c r="D8" s="62" t="n">
        <v>24990000</v>
      </c>
      <c r="E8" s="40" t="n">
        <v>24990000</v>
      </c>
      <c r="F8" s="40" t="n">
        <v>24890000</v>
      </c>
      <c r="G8" s="40" t="n">
        <v>24690000</v>
      </c>
    </row>
    <row r="9">
      <c r="A9" t="inlineStr">
        <is>
          <t>iPhone 16 Pro  128GB</t>
        </is>
      </c>
      <c r="B9" s="25" t="n"/>
      <c r="C9" s="40" t="inlineStr">
        <is>
          <t>OOS</t>
        </is>
      </c>
      <c r="D9" s="40" t="inlineStr">
        <is>
          <t>OOS</t>
        </is>
      </c>
      <c r="E9" s="40" t="inlineStr">
        <is>
          <t>OOS</t>
        </is>
      </c>
      <c r="F9" s="40" t="n">
        <v>25590000</v>
      </c>
      <c r="G9" s="40" t="n">
        <v>24990000</v>
      </c>
    </row>
    <row r="10">
      <c r="A10" t="inlineStr">
        <is>
          <t>iPhone 16 Pro Max 256GB</t>
        </is>
      </c>
      <c r="B10" s="3" t="n"/>
      <c r="C10" s="54" t="n">
        <v>30490000</v>
      </c>
      <c r="D10" s="62" t="n">
        <v>30390000</v>
      </c>
      <c r="E10" s="25" t="n">
        <v>29990000</v>
      </c>
      <c r="F10" s="40" t="n">
        <v>30490000</v>
      </c>
      <c r="G10" s="40" t="n">
        <v>30390000</v>
      </c>
    </row>
    <row r="11">
      <c r="A11" t="inlineStr">
        <is>
          <t>iPhone 15  128GB</t>
        </is>
      </c>
      <c r="B11" s="25" t="n"/>
      <c r="C11" s="54" t="n">
        <v>17290000</v>
      </c>
      <c r="D11" s="62" t="n">
        <v>16990000</v>
      </c>
      <c r="E11" s="34" t="n">
        <v>16990000</v>
      </c>
      <c r="F11" s="38" t="n">
        <v>16990000</v>
      </c>
      <c r="G11" s="40" t="n">
        <v>16590000</v>
      </c>
    </row>
    <row r="12">
      <c r="A12" t="inlineStr">
        <is>
          <t>iPhone 15  Plus 128GB</t>
        </is>
      </c>
      <c r="B12" s="25" t="n"/>
      <c r="C12" s="53" t="n">
        <v>19590000</v>
      </c>
      <c r="D12" s="64" t="inlineStr">
        <is>
          <t>OOS</t>
        </is>
      </c>
      <c r="E12" s="25" t="n">
        <v>18490000</v>
      </c>
      <c r="F12" s="38" t="n">
        <v>17690000</v>
      </c>
      <c r="G12" s="40" t="n">
        <v>18490000</v>
      </c>
    </row>
    <row r="13">
      <c r="A13" t="inlineStr">
        <is>
          <t>iPhone 14 128GB</t>
        </is>
      </c>
      <c r="B13" s="25" t="n"/>
      <c r="C13" s="54" t="n">
        <v>13890000</v>
      </c>
      <c r="D13" s="64" t="n">
        <v>13790000</v>
      </c>
      <c r="E13" s="25" t="n">
        <v>13490000</v>
      </c>
      <c r="F13" s="34" t="n">
        <v>13690000</v>
      </c>
      <c r="G13" s="40" t="n">
        <v>13490000</v>
      </c>
    </row>
    <row r="14">
      <c r="A14" t="inlineStr">
        <is>
          <t>iPhone 13  128GB</t>
        </is>
      </c>
      <c r="B14" s="3" t="n"/>
      <c r="C14" s="53" t="n">
        <v>12490000</v>
      </c>
      <c r="D14" s="54" t="n">
        <v>12190000</v>
      </c>
      <c r="E14" s="34" t="n">
        <v>12190000</v>
      </c>
      <c r="F14" s="34" t="n">
        <v>12190000</v>
      </c>
      <c r="G14" s="40" t="n">
        <v>11890000</v>
      </c>
    </row>
    <row r="15">
      <c r="A15" t="inlineStr">
        <is>
          <t>iPad Mini 7 128GB Wifi</t>
        </is>
      </c>
      <c r="B15" s="25" t="n"/>
      <c r="C15" s="53" t="n">
        <v>13590000</v>
      </c>
      <c r="D15" s="62" t="n">
        <v>13590000</v>
      </c>
      <c r="E15" s="25" t="n">
        <v>13290000</v>
      </c>
      <c r="F15" s="39" t="n">
        <v>11790000</v>
      </c>
      <c r="G15" s="40" t="n">
        <v>11590000</v>
      </c>
    </row>
    <row r="16">
      <c r="A16" t="inlineStr">
        <is>
          <t>iPad Gen 11th  128GB Wifi</t>
        </is>
      </c>
      <c r="B16" s="3" t="n"/>
      <c r="C16" s="54" t="n">
        <v>9190000</v>
      </c>
      <c r="D16" s="62" t="n">
        <v>9190000</v>
      </c>
      <c r="E16" s="25" t="n">
        <v>9190000</v>
      </c>
      <c r="F16" s="34" t="n">
        <v>9390000</v>
      </c>
      <c r="G16" s="40" t="n">
        <v>8990000</v>
      </c>
      <c r="H16" s="26" t="n"/>
      <c r="J16" t="inlineStr">
        <is>
          <t xml:space="preserve">MW </t>
        </is>
      </c>
      <c r="K16" t="inlineStr">
        <is>
          <t>Duy</t>
        </is>
      </c>
      <c r="L16" t="b">
        <v>1</v>
      </c>
    </row>
    <row r="17">
      <c r="A17" t="inlineStr">
        <is>
          <t>iPad Air M3  11" 128 GB Wifi</t>
        </is>
      </c>
      <c r="B17" s="3" t="n"/>
      <c r="C17" s="54" t="n">
        <v>15990000</v>
      </c>
      <c r="D17" s="62" t="n">
        <v>15990000</v>
      </c>
      <c r="E17" s="34" t="n">
        <v>15590000</v>
      </c>
      <c r="F17" s="34" t="n">
        <v>16390000</v>
      </c>
      <c r="G17" s="40" t="n">
        <v>15990000</v>
      </c>
      <c r="H17" s="26" t="n"/>
      <c r="J17" t="inlineStr">
        <is>
          <t>FPT</t>
        </is>
      </c>
      <c r="K17" t="inlineStr">
        <is>
          <t>Trang</t>
        </is>
      </c>
      <c r="L17" t="b">
        <v>1</v>
      </c>
    </row>
    <row r="18">
      <c r="A18" t="inlineStr">
        <is>
          <t>iPad Air M3  13" 128 GB Wifi</t>
        </is>
      </c>
      <c r="B18" s="25" t="n"/>
      <c r="C18" s="54" t="n">
        <v>21590000</v>
      </c>
      <c r="D18" s="64" t="n">
        <v>21590000</v>
      </c>
      <c r="E18" s="25" t="n">
        <v>20490000</v>
      </c>
      <c r="F18" s="39" t="n">
        <v>19490000</v>
      </c>
      <c r="G18" s="38" t="n">
        <v>19990000</v>
      </c>
      <c r="H18" s="26" t="n"/>
      <c r="J18" t="inlineStr">
        <is>
          <t>Viettel</t>
        </is>
      </c>
      <c r="K18" t="inlineStr">
        <is>
          <t>Nghĩa</t>
        </is>
      </c>
      <c r="L18" t="b">
        <v>1</v>
      </c>
    </row>
    <row r="19">
      <c r="A19" t="inlineStr">
        <is>
          <t>iPad Pro  M4  11" 256 GB Wifi</t>
        </is>
      </c>
      <c r="B19" s="25" t="n"/>
      <c r="C19" s="53" t="n">
        <v>27990000</v>
      </c>
      <c r="D19" s="64" t="n">
        <v>27990000</v>
      </c>
      <c r="E19" s="25" t="inlineStr">
        <is>
          <t>OOS</t>
        </is>
      </c>
      <c r="F19" s="34" t="n">
        <v>28290000</v>
      </c>
      <c r="G19" s="39" t="n">
        <v>27890000</v>
      </c>
      <c r="J19" t="inlineStr">
        <is>
          <t>CPS</t>
        </is>
      </c>
      <c r="K19" t="inlineStr">
        <is>
          <t>Hải</t>
        </is>
      </c>
      <c r="L19" t="b">
        <v>1</v>
      </c>
    </row>
    <row r="20">
      <c r="A20" t="inlineStr">
        <is>
          <t>iPad Pro  M4  13" 256 GB Wifi</t>
        </is>
      </c>
      <c r="B20" s="3" t="n"/>
      <c r="C20" s="25" t="inlineStr">
        <is>
          <t>OOS</t>
        </is>
      </c>
      <c r="D20" s="64" t="n">
        <v>36290000</v>
      </c>
      <c r="E20" s="25" t="n">
        <v>34490000</v>
      </c>
      <c r="F20" s="34" t="n">
        <v>36490000</v>
      </c>
      <c r="G20" s="40" t="n">
        <v>33690000</v>
      </c>
      <c r="J20" t="inlineStr">
        <is>
          <t>ShopDunk</t>
        </is>
      </c>
      <c r="K20" t="inlineStr">
        <is>
          <t>Đạt</t>
        </is>
      </c>
      <c r="L20" t="b">
        <v>1</v>
      </c>
    </row>
    <row r="21">
      <c r="A21" t="inlineStr">
        <is>
          <t>AW SE 3 (40mm GPS)</t>
        </is>
      </c>
      <c r="B21" s="25" t="n"/>
      <c r="C21" s="64" t="n">
        <v>6990000</v>
      </c>
      <c r="D21" s="62" t="n">
        <v>6790000</v>
      </c>
      <c r="E21" s="25" t="n">
        <v>6690000</v>
      </c>
      <c r="F21" s="34" t="n">
        <v>6790000</v>
      </c>
      <c r="G21" s="34" t="n">
        <v>6790000</v>
      </c>
    </row>
    <row r="22">
      <c r="A22" t="inlineStr">
        <is>
          <t>AW SE 3 (40mm LTE)</t>
        </is>
      </c>
      <c r="B22" s="25" t="n"/>
      <c r="C22" s="64" t="n">
        <v>8490000</v>
      </c>
      <c r="D22" s="64" t="n">
        <v>8490000</v>
      </c>
      <c r="E22" s="25" t="n">
        <v>8190000</v>
      </c>
      <c r="F22" s="39" t="n">
        <v>8490000</v>
      </c>
      <c r="G22" s="39" t="n">
        <v>8490000</v>
      </c>
    </row>
    <row r="23">
      <c r="A23" t="inlineStr">
        <is>
          <t>AW SE 3 (44mm GPS)</t>
        </is>
      </c>
      <c r="B23" s="25" t="n"/>
      <c r="C23" s="64" t="n">
        <v>7850000</v>
      </c>
      <c r="D23" s="64" t="n">
        <v>7849000</v>
      </c>
      <c r="E23" s="25" t="n">
        <v>7690000</v>
      </c>
      <c r="F23" s="39" t="n">
        <v>7840000</v>
      </c>
      <c r="G23" s="34" t="n">
        <v>7690000</v>
      </c>
    </row>
    <row r="24">
      <c r="A24" t="inlineStr">
        <is>
          <t>AW SE 3 (44mm LTE)</t>
        </is>
      </c>
      <c r="B24" s="25" t="n"/>
      <c r="C24" s="52" t="inlineStr">
        <is>
          <t>OOS</t>
        </is>
      </c>
      <c r="D24" s="64" t="n">
        <v>9349000</v>
      </c>
      <c r="E24" s="25" t="n">
        <v>8990000</v>
      </c>
      <c r="F24" s="39" t="n">
        <v>9340000</v>
      </c>
      <c r="G24" s="39" t="n">
        <v>9340000</v>
      </c>
    </row>
    <row r="25">
      <c r="A25" t="inlineStr">
        <is>
          <t>AW S11 (42mm GPS)</t>
        </is>
      </c>
      <c r="B25" s="3" t="n"/>
      <c r="C25" s="64" t="n">
        <v>11490000</v>
      </c>
      <c r="D25" s="64" t="n">
        <v>11490000</v>
      </c>
      <c r="E25" s="25" t="n">
        <v>11290000</v>
      </c>
      <c r="F25" s="39" t="n">
        <v>11490000</v>
      </c>
      <c r="G25" s="34" t="n">
        <v>11390000</v>
      </c>
    </row>
    <row r="26">
      <c r="A26" t="inlineStr">
        <is>
          <t>AW S11 (42mm CEL)</t>
        </is>
      </c>
      <c r="B26" s="3" t="n"/>
      <c r="C26" s="64" t="n">
        <v>14490000</v>
      </c>
      <c r="D26" s="64" t="n">
        <v>14490000</v>
      </c>
      <c r="E26" s="25" t="n">
        <v>14190000</v>
      </c>
      <c r="F26" s="39" t="n">
        <v>14490000</v>
      </c>
      <c r="G26" s="39" t="n">
        <v>14490000</v>
      </c>
    </row>
    <row r="27">
      <c r="A27" t="inlineStr">
        <is>
          <t>AW S11 (46mm GPS)</t>
        </is>
      </c>
      <c r="B27" s="3" t="n"/>
      <c r="C27" s="64" t="n">
        <v>12350000</v>
      </c>
      <c r="D27" s="64" t="n">
        <v>12349000</v>
      </c>
      <c r="E27" s="25" t="n">
        <v>12190000</v>
      </c>
      <c r="F27" s="34" t="n">
        <v>11990000</v>
      </c>
      <c r="G27" s="39" t="n">
        <v>12349000</v>
      </c>
    </row>
    <row r="28">
      <c r="A28" t="inlineStr">
        <is>
          <t>AW S11 (46mm CEL)</t>
        </is>
      </c>
      <c r="B28" s="3" t="n"/>
      <c r="C28" s="64" t="n">
        <v>15350000</v>
      </c>
      <c r="D28" s="64" t="n">
        <v>15349000</v>
      </c>
      <c r="E28" s="25" t="n">
        <v>14990000</v>
      </c>
      <c r="F28" s="39" t="n">
        <v>15349000</v>
      </c>
      <c r="G28" s="39" t="n">
        <v>15349000</v>
      </c>
    </row>
    <row r="29">
      <c r="A29" t="inlineStr">
        <is>
          <t>AW Ultra 2 (49mm)</t>
        </is>
      </c>
      <c r="B29" s="25" t="n"/>
      <c r="C29" s="53" t="n">
        <v>21890000</v>
      </c>
      <c r="D29" s="64" t="n">
        <v>21890000</v>
      </c>
      <c r="E29" s="25" t="n">
        <v>20490000</v>
      </c>
      <c r="F29" s="40" t="n">
        <v>21290000</v>
      </c>
      <c r="G29" s="40" t="n">
        <v>22990000</v>
      </c>
    </row>
    <row r="30">
      <c r="A30" t="inlineStr">
        <is>
          <t>AW Ultra 3 (49mm)</t>
        </is>
      </c>
      <c r="B30" s="25" t="n"/>
      <c r="C30" s="64" t="n">
        <v>23990000</v>
      </c>
      <c r="D30" s="64" t="n">
        <v>23990000</v>
      </c>
      <c r="E30" s="25" t="n">
        <v>23490000</v>
      </c>
      <c r="F30" s="40" t="n">
        <v>23990000</v>
      </c>
      <c r="G30" s="40" t="n">
        <v>23990000</v>
      </c>
    </row>
    <row r="31">
      <c r="A31" t="inlineStr">
        <is>
          <t>AirPods Pro 2 - 2023 (C-Type)</t>
        </is>
      </c>
      <c r="B31" s="3" t="n"/>
      <c r="C31" s="54" t="n">
        <v>5290000</v>
      </c>
      <c r="D31" s="62" t="n">
        <v>5390000</v>
      </c>
      <c r="E31" s="25" t="n">
        <v>5590000</v>
      </c>
      <c r="F31" s="40" t="n">
        <v>5490000</v>
      </c>
      <c r="G31" s="40" t="n">
        <v>5590000</v>
      </c>
    </row>
    <row r="32">
      <c r="A32" t="inlineStr">
        <is>
          <t>AirPods 4 ANC</t>
        </is>
      </c>
      <c r="B32" s="3" t="n"/>
      <c r="C32" s="54" t="n">
        <v>4590000</v>
      </c>
      <c r="D32" s="62" t="n">
        <v>4490000</v>
      </c>
      <c r="E32" s="25" t="n">
        <v>4490000</v>
      </c>
      <c r="F32" s="38" t="n">
        <v>4590000</v>
      </c>
      <c r="G32" s="38" t="n">
        <v>4590000</v>
      </c>
    </row>
    <row r="33">
      <c r="A33" t="inlineStr">
        <is>
          <t>AirPods 4 with charging case</t>
        </is>
      </c>
      <c r="B33" s="3" t="n"/>
      <c r="C33" s="54" t="n">
        <v>3390000</v>
      </c>
      <c r="D33" s="64" t="n">
        <v>3490000</v>
      </c>
      <c r="E33" s="25" t="n">
        <v>3490000</v>
      </c>
      <c r="F33" s="38" t="n">
        <v>3490000</v>
      </c>
      <c r="G33" s="38" t="n">
        <v>3490000</v>
      </c>
    </row>
    <row r="34">
      <c r="A34" t="inlineStr">
        <is>
          <t>AirPods Pro 3</t>
        </is>
      </c>
      <c r="B34" s="3" t="n"/>
      <c r="C34" s="40" t="n">
        <v>6790000</v>
      </c>
      <c r="D34" s="64" t="n">
        <v>6790000</v>
      </c>
      <c r="E34" s="25" t="n">
        <v>6590000</v>
      </c>
      <c r="F34" s="25" t="n">
        <v>6790000</v>
      </c>
      <c r="G34" s="40" t="n">
        <v>6690000</v>
      </c>
    </row>
    <row r="35">
      <c r="A35" t="inlineStr">
        <is>
          <t>MacBook Air 13" M2 16/256GB</t>
        </is>
      </c>
      <c r="B35" s="25" t="n"/>
      <c r="C35" s="53" t="n">
        <v>19690000</v>
      </c>
      <c r="D35" s="62" t="n">
        <v>19690000</v>
      </c>
      <c r="E35" s="37" t="n"/>
      <c r="F35" s="34" t="n">
        <v>19690000</v>
      </c>
      <c r="G35" s="40" t="n">
        <v>19690000</v>
      </c>
    </row>
    <row r="36">
      <c r="A36" t="inlineStr">
        <is>
          <t>MacBook Air 13" M4 16/256GB</t>
        </is>
      </c>
      <c r="B36" s="3" t="n"/>
      <c r="C36" s="54" t="n">
        <v>25190000</v>
      </c>
      <c r="D36" s="64" t="n">
        <v>25290000</v>
      </c>
      <c r="E36" s="37" t="n"/>
      <c r="F36" s="34" t="n">
        <v>25090000</v>
      </c>
      <c r="G36" s="40" t="n">
        <v>25190000</v>
      </c>
    </row>
    <row r="37">
      <c r="A37" t="inlineStr">
        <is>
          <t>MacBook Air 15" M4 16/256GB</t>
        </is>
      </c>
      <c r="B37" s="25" t="n"/>
      <c r="C37" s="64" t="n">
        <v>30390000</v>
      </c>
      <c r="D37" s="62" t="n">
        <v>29890000</v>
      </c>
      <c r="E37" s="37" t="n"/>
      <c r="F37" s="39" t="n">
        <v>29290000</v>
      </c>
      <c r="G37" s="40" t="n">
        <v>29290000</v>
      </c>
    </row>
    <row r="38">
      <c r="A38" t="inlineStr">
        <is>
          <t>MacBook Pro 14" M4 16/512GB</t>
        </is>
      </c>
      <c r="B38" s="25" t="n"/>
      <c r="C38" s="53" t="n">
        <v>38090000</v>
      </c>
      <c r="D38" s="64" t="n">
        <v>37990000</v>
      </c>
      <c r="E38" s="37" t="n"/>
      <c r="F38" s="40" t="n">
        <v>38590000</v>
      </c>
      <c r="G38" s="40" t="n">
        <v>38290000</v>
      </c>
    </row>
    <row r="39">
      <c r="A39" t="inlineStr">
        <is>
          <t>MacBook Pro 16" M4 16/512GB</t>
        </is>
      </c>
      <c r="B39" s="25" t="n"/>
      <c r="C39" s="64" t="n">
        <v>64990000</v>
      </c>
      <c r="D39" s="64" t="n">
        <v>64990000</v>
      </c>
      <c r="E39" s="37" t="n"/>
      <c r="F39" s="40" t="n"/>
      <c r="G39" s="40" t="n">
        <v>63990000</v>
      </c>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2.xml><?xml version="1.0" encoding="utf-8"?>
<worksheet xmlns="http://schemas.openxmlformats.org/spreadsheetml/2006/main">
  <sheetPr>
    <outlinePr summaryBelow="1" summaryRight="1"/>
    <pageSetUpPr/>
  </sheetPr>
  <dimension ref="A1:L151"/>
  <sheetViews>
    <sheetView zoomScale="94" zoomScaleNormal="12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76" t="n">
        <v>30990000</v>
      </c>
      <c r="D3" s="68" t="n">
        <v>31490000</v>
      </c>
      <c r="E3" s="34" t="n">
        <v>30490000</v>
      </c>
      <c r="F3" s="38" t="n">
        <v>31390000</v>
      </c>
      <c r="G3" s="38" t="n">
        <v>30690000</v>
      </c>
    </row>
    <row r="4">
      <c r="A4" t="inlineStr">
        <is>
          <t>iPhone 17 Pro 256GB</t>
        </is>
      </c>
      <c r="B4" s="83" t="n"/>
      <c r="C4" s="68" t="n">
        <v>34990000</v>
      </c>
      <c r="D4" s="68" t="n">
        <v>34990000</v>
      </c>
      <c r="E4" s="72" t="n">
        <v>33990000</v>
      </c>
      <c r="F4" s="40" t="n">
        <v>34990000</v>
      </c>
      <c r="G4" s="40" t="n">
        <v>34790000</v>
      </c>
    </row>
    <row r="5">
      <c r="A5" t="inlineStr">
        <is>
          <t>iPhone 17 Pro Max 256GB</t>
        </is>
      </c>
      <c r="B5" s="83" t="n"/>
      <c r="C5" s="68" t="n">
        <v>37990000</v>
      </c>
      <c r="D5" s="68" t="n">
        <v>37990000</v>
      </c>
      <c r="E5" s="34" t="n">
        <v>37490000</v>
      </c>
      <c r="F5" s="40" t="n">
        <v>37990000</v>
      </c>
      <c r="G5" s="40" t="n">
        <v>37990000</v>
      </c>
    </row>
    <row r="6">
      <c r="A6" t="inlineStr">
        <is>
          <t>iPhone 16e  128GB</t>
        </is>
      </c>
      <c r="B6" s="83" t="n"/>
      <c r="C6" s="67" t="n">
        <v>14990000</v>
      </c>
      <c r="D6" s="68" t="n">
        <v>14990000</v>
      </c>
      <c r="E6" s="25" t="n">
        <v>16990000</v>
      </c>
      <c r="F6" s="40" t="n">
        <v>14990000</v>
      </c>
      <c r="G6" s="40" t="n">
        <v>15290000</v>
      </c>
    </row>
    <row r="7">
      <c r="A7" t="inlineStr">
        <is>
          <t>iPhone 16  128GB</t>
        </is>
      </c>
      <c r="B7" s="71" t="n"/>
      <c r="C7" s="74" t="n">
        <v>21290000</v>
      </c>
      <c r="D7" s="70" t="n">
        <v>21090000</v>
      </c>
      <c r="E7" s="34" t="n">
        <v>20990000</v>
      </c>
      <c r="F7" s="38" t="n">
        <v>21190000</v>
      </c>
      <c r="G7" s="40" t="n">
        <v>20990000</v>
      </c>
    </row>
    <row r="8">
      <c r="A8" t="inlineStr">
        <is>
          <t>iPhone 16  Plus 128GB</t>
        </is>
      </c>
      <c r="B8" s="3" t="n"/>
      <c r="C8" s="53" t="n">
        <v>24990000</v>
      </c>
      <c r="D8" s="62" t="n">
        <v>24690000</v>
      </c>
      <c r="E8" s="40" t="n">
        <v>24490000</v>
      </c>
      <c r="F8" s="40" t="n">
        <v>24890000</v>
      </c>
      <c r="G8" s="38" t="n">
        <v>24590000</v>
      </c>
    </row>
    <row r="9">
      <c r="A9" t="inlineStr">
        <is>
          <t>iPhone 16 Pro  128GB</t>
        </is>
      </c>
      <c r="B9" s="25" t="n"/>
      <c r="C9" s="40" t="inlineStr">
        <is>
          <t>OOS</t>
        </is>
      </c>
      <c r="D9" s="40" t="inlineStr">
        <is>
          <t>OOS</t>
        </is>
      </c>
      <c r="E9" s="40" t="n">
        <v>24290000</v>
      </c>
      <c r="F9" s="40" t="n">
        <v>25590000</v>
      </c>
      <c r="G9" s="40" t="n">
        <v>24990000</v>
      </c>
    </row>
    <row r="10">
      <c r="A10" t="inlineStr">
        <is>
          <t>iPhone 16 Pro Max 256GB</t>
        </is>
      </c>
      <c r="B10" s="3" t="n"/>
      <c r="C10" s="54" t="n">
        <v>30390000</v>
      </c>
      <c r="D10" s="62" t="n">
        <v>30590000</v>
      </c>
      <c r="E10" s="25" t="n">
        <v>29990000</v>
      </c>
      <c r="F10" s="40" t="n">
        <v>30490000</v>
      </c>
      <c r="G10" s="40" t="n">
        <v>30390000</v>
      </c>
    </row>
    <row r="11">
      <c r="A11" t="inlineStr">
        <is>
          <t>iPhone 15  128GB</t>
        </is>
      </c>
      <c r="B11" s="25" t="n"/>
      <c r="C11" s="53" t="n">
        <v>17290000</v>
      </c>
      <c r="D11" s="64" t="n">
        <v>16990000</v>
      </c>
      <c r="E11" s="25" t="n">
        <v>16990000</v>
      </c>
      <c r="F11" s="38" t="n">
        <v>16990000</v>
      </c>
      <c r="G11" s="40" t="n">
        <v>16590000</v>
      </c>
    </row>
    <row r="12">
      <c r="A12" t="inlineStr">
        <is>
          <t>iPhone 15  Plus 128GB</t>
        </is>
      </c>
      <c r="B12" s="25" t="n"/>
      <c r="C12" s="53" t="n">
        <v>19590000</v>
      </c>
      <c r="D12" s="64" t="inlineStr">
        <is>
          <t>OOS</t>
        </is>
      </c>
      <c r="E12" s="25" t="n">
        <v>18490000</v>
      </c>
      <c r="F12" s="38" t="n">
        <v>17690000</v>
      </c>
      <c r="G12" s="40" t="n">
        <v>18490000</v>
      </c>
    </row>
    <row r="13">
      <c r="A13" t="inlineStr">
        <is>
          <t>iPhone 14 128GB</t>
        </is>
      </c>
      <c r="B13" s="25" t="n"/>
      <c r="C13" s="53" t="n">
        <v>13890000</v>
      </c>
      <c r="D13" s="62" t="n">
        <v>13690000</v>
      </c>
      <c r="E13" s="34" t="n">
        <v>13690000</v>
      </c>
      <c r="F13" s="34" t="n">
        <v>13690000</v>
      </c>
      <c r="G13" s="40" t="n">
        <v>13490000</v>
      </c>
    </row>
    <row r="14">
      <c r="A14" t="inlineStr">
        <is>
          <t>iPhone 13  128GB</t>
        </is>
      </c>
      <c r="B14" s="3" t="n"/>
      <c r="C14" s="54" t="n">
        <v>12390000</v>
      </c>
      <c r="D14" s="54" t="n">
        <v>12090000</v>
      </c>
      <c r="E14" s="34" t="n">
        <v>12290000</v>
      </c>
      <c r="F14" s="34" t="n">
        <v>12190000</v>
      </c>
      <c r="G14" s="40" t="n">
        <v>11890000</v>
      </c>
    </row>
    <row r="15">
      <c r="A15" t="inlineStr">
        <is>
          <t>iPad Mini 7 128GB Wifi</t>
        </is>
      </c>
      <c r="B15" s="25" t="n"/>
      <c r="C15" s="54" t="n">
        <v>11790000</v>
      </c>
      <c r="D15" s="62" t="n">
        <v>13490000</v>
      </c>
      <c r="E15" s="25" t="n">
        <v>13290000</v>
      </c>
      <c r="F15" s="39" t="n">
        <v>11790000</v>
      </c>
      <c r="G15" s="40" t="n">
        <v>11590000</v>
      </c>
    </row>
    <row r="16">
      <c r="A16" t="inlineStr">
        <is>
          <t>iPad Gen 11th  128GB Wifi</t>
        </is>
      </c>
      <c r="B16" s="3" t="n"/>
      <c r="C16" s="54" t="n">
        <v>8890000</v>
      </c>
      <c r="D16" s="64" t="n">
        <v>9190000</v>
      </c>
      <c r="E16" s="25" t="n">
        <v>9190000</v>
      </c>
      <c r="F16" s="34" t="n">
        <v>9390000</v>
      </c>
      <c r="G16" s="40" t="n">
        <v>8990000</v>
      </c>
      <c r="H16" s="26" t="n"/>
      <c r="J16" t="inlineStr">
        <is>
          <t xml:space="preserve">MW </t>
        </is>
      </c>
      <c r="K16" t="inlineStr">
        <is>
          <t>Duy</t>
        </is>
      </c>
      <c r="L16" t="b">
        <v>1</v>
      </c>
    </row>
    <row r="17">
      <c r="A17" t="inlineStr">
        <is>
          <t>iPad Air M3  11" 128 GB Wifi</t>
        </is>
      </c>
      <c r="B17" s="3" t="n"/>
      <c r="C17" s="54" t="n">
        <v>13690000</v>
      </c>
      <c r="D17" s="62" t="n">
        <v>15890000</v>
      </c>
      <c r="E17" s="25" t="n">
        <v>15590000</v>
      </c>
      <c r="F17" s="34" t="n">
        <v>16390000</v>
      </c>
      <c r="G17" s="38" t="n">
        <v>15690000</v>
      </c>
      <c r="H17" s="26" t="n"/>
      <c r="J17" t="inlineStr">
        <is>
          <t>FPT</t>
        </is>
      </c>
      <c r="K17" t="inlineStr">
        <is>
          <t>Trang</t>
        </is>
      </c>
      <c r="L17" t="b">
        <v>1</v>
      </c>
    </row>
    <row r="18">
      <c r="A18" t="inlineStr">
        <is>
          <t>iPad Air M3  13" 128 GB Wifi</t>
        </is>
      </c>
      <c r="B18" s="25" t="n"/>
      <c r="C18" s="54" t="n">
        <v>19490000</v>
      </c>
      <c r="D18" s="64" t="n">
        <v>21590000</v>
      </c>
      <c r="E18" s="25" t="n">
        <v>20490000</v>
      </c>
      <c r="F18" s="39" t="n">
        <v>19490000</v>
      </c>
      <c r="G18" s="39" t="n">
        <v>19990000</v>
      </c>
      <c r="H18" s="26" t="n"/>
      <c r="J18" t="inlineStr">
        <is>
          <t>Viettel</t>
        </is>
      </c>
      <c r="K18" t="inlineStr">
        <is>
          <t>Nghĩa</t>
        </is>
      </c>
      <c r="L18" t="b">
        <v>1</v>
      </c>
    </row>
    <row r="19">
      <c r="A19" t="inlineStr">
        <is>
          <t>iPad Pro  M4  11" 256 GB Wifi</t>
        </is>
      </c>
      <c r="B19" s="25" t="n"/>
      <c r="C19" s="53" t="n">
        <v>27990000</v>
      </c>
      <c r="D19" s="64" t="n">
        <v>27990000</v>
      </c>
      <c r="E19" s="25" t="inlineStr">
        <is>
          <t>OOS</t>
        </is>
      </c>
      <c r="F19" s="34" t="n">
        <v>28290000</v>
      </c>
      <c r="G19" s="39" t="n">
        <v>27990000</v>
      </c>
      <c r="J19" t="inlineStr">
        <is>
          <t>CPS</t>
        </is>
      </c>
      <c r="K19" t="inlineStr">
        <is>
          <t>Hải</t>
        </is>
      </c>
      <c r="L19" t="b">
        <v>0</v>
      </c>
    </row>
    <row r="20">
      <c r="A20" t="inlineStr">
        <is>
          <t>iPad Pro  M4  13" 256 GB Wifi</t>
        </is>
      </c>
      <c r="B20" s="3" t="n"/>
      <c r="C20" s="25" t="inlineStr">
        <is>
          <t>OOS</t>
        </is>
      </c>
      <c r="D20" s="64" t="n">
        <v>36290000</v>
      </c>
      <c r="E20" s="25" t="n">
        <v>34490000</v>
      </c>
      <c r="F20" s="34" t="n">
        <v>36490000</v>
      </c>
      <c r="G20" s="40" t="n">
        <v>33690000</v>
      </c>
      <c r="J20" t="inlineStr">
        <is>
          <t>ShopDunk</t>
        </is>
      </c>
      <c r="K20" t="inlineStr">
        <is>
          <t>Đạt</t>
        </is>
      </c>
      <c r="L20" t="b">
        <v>1</v>
      </c>
    </row>
    <row r="21">
      <c r="A21" t="inlineStr">
        <is>
          <t>AW SE 3 (40mm GPS)</t>
        </is>
      </c>
      <c r="B21" s="25" t="n"/>
      <c r="C21" s="62" t="n">
        <v>6890000</v>
      </c>
      <c r="D21" s="62" t="n">
        <v>6690000</v>
      </c>
      <c r="E21" s="25" t="n">
        <v>6690000</v>
      </c>
      <c r="F21" s="34" t="n">
        <v>6790000</v>
      </c>
      <c r="G21" s="34" t="n">
        <v>6690000</v>
      </c>
    </row>
    <row r="22">
      <c r="A22" t="inlineStr">
        <is>
          <t>AW SE 3 (40mm LTE)</t>
        </is>
      </c>
      <c r="B22" s="25" t="n"/>
      <c r="C22" s="64" t="n">
        <v>8490000</v>
      </c>
      <c r="D22" s="64" t="n">
        <v>8490000</v>
      </c>
      <c r="E22" s="25" t="n">
        <v>8190000</v>
      </c>
      <c r="F22" s="39" t="n">
        <v>8490000</v>
      </c>
      <c r="G22" s="39" t="n">
        <v>8490000</v>
      </c>
    </row>
    <row r="23">
      <c r="A23" t="inlineStr">
        <is>
          <t>AW SE 3 (44mm GPS)</t>
        </is>
      </c>
      <c r="B23" s="25" t="n"/>
      <c r="C23" s="62" t="n">
        <v>7650000</v>
      </c>
      <c r="D23" s="64" t="n">
        <v>7849000</v>
      </c>
      <c r="E23" s="25" t="n">
        <v>7690000</v>
      </c>
      <c r="F23" s="39" t="n">
        <v>7840000</v>
      </c>
      <c r="G23" s="39" t="n">
        <v>7690000</v>
      </c>
    </row>
    <row r="24">
      <c r="A24" t="inlineStr">
        <is>
          <t>AW SE 3 (44mm LTE)</t>
        </is>
      </c>
      <c r="B24" s="25" t="n"/>
      <c r="C24" s="52" t="inlineStr">
        <is>
          <t>OOS</t>
        </is>
      </c>
      <c r="D24" s="64" t="n">
        <v>9350000</v>
      </c>
      <c r="E24" s="25" t="n">
        <v>8990000</v>
      </c>
      <c r="F24" s="39" t="n">
        <v>9340000</v>
      </c>
      <c r="G24" s="39" t="n">
        <v>9290000</v>
      </c>
    </row>
    <row r="25">
      <c r="A25" t="inlineStr">
        <is>
          <t>AW S11 (42mm GPS)</t>
        </is>
      </c>
      <c r="B25" s="3" t="n"/>
      <c r="C25" s="64" t="n">
        <v>11490000</v>
      </c>
      <c r="D25" s="64" t="n">
        <v>11490000</v>
      </c>
      <c r="E25" s="25" t="n">
        <v>11290000</v>
      </c>
      <c r="F25" s="39" t="n">
        <v>11490000</v>
      </c>
      <c r="G25" s="39" t="n">
        <v>11390000</v>
      </c>
    </row>
    <row r="26">
      <c r="A26" t="inlineStr">
        <is>
          <t>AW S11 (42mm CEL)</t>
        </is>
      </c>
      <c r="B26" s="3" t="n"/>
      <c r="C26" s="64" t="n">
        <v>14490000</v>
      </c>
      <c r="D26" s="64" t="n">
        <v>14490000</v>
      </c>
      <c r="E26" s="25" t="n">
        <v>14190000</v>
      </c>
      <c r="F26" s="39" t="n">
        <v>14490000</v>
      </c>
      <c r="G26" s="34" t="n">
        <v>14390000</v>
      </c>
    </row>
    <row r="27">
      <c r="A27" t="inlineStr">
        <is>
          <t>AW S11 (46mm GPS)</t>
        </is>
      </c>
      <c r="B27" s="3" t="n"/>
      <c r="C27" s="64" t="n">
        <v>12350000</v>
      </c>
      <c r="D27" s="64" t="n">
        <v>12350000</v>
      </c>
      <c r="E27" s="25" t="n">
        <v>12190000</v>
      </c>
      <c r="F27" s="34" t="n">
        <v>11990000</v>
      </c>
      <c r="G27" s="34" t="n">
        <v>11990000</v>
      </c>
    </row>
    <row r="28">
      <c r="A28" t="inlineStr">
        <is>
          <t>AW S11 (46mm CEL)</t>
        </is>
      </c>
      <c r="B28" s="3" t="n"/>
      <c r="C28" s="64" t="n">
        <v>15350000</v>
      </c>
      <c r="D28" s="64" t="n">
        <v>15350000</v>
      </c>
      <c r="E28" s="25" t="n">
        <v>14990000</v>
      </c>
      <c r="F28" s="39" t="n">
        <v>15349000</v>
      </c>
      <c r="G28" s="34" t="n">
        <v>15290000</v>
      </c>
    </row>
    <row r="29">
      <c r="A29" t="inlineStr">
        <is>
          <t>AW Ultra 3 (49mm)</t>
        </is>
      </c>
      <c r="B29" s="25" t="n"/>
      <c r="C29" s="64" t="n">
        <v>23990000</v>
      </c>
      <c r="D29" s="62" t="n">
        <v>23790000</v>
      </c>
      <c r="E29" s="25" t="n">
        <v>23490000</v>
      </c>
      <c r="F29" s="40" t="n">
        <v>23990000</v>
      </c>
      <c r="G29" s="40" t="n">
        <v>23990000</v>
      </c>
    </row>
    <row r="30">
      <c r="A30" t="inlineStr">
        <is>
          <t>AirPods Pro 2 - 2023 (C-Type)</t>
        </is>
      </c>
      <c r="B30" s="3" t="n"/>
      <c r="C30" s="53" t="n">
        <v>5290000</v>
      </c>
      <c r="D30" s="64" t="n">
        <v>5390000</v>
      </c>
      <c r="E30" s="25" t="n">
        <v>5590000</v>
      </c>
      <c r="F30" s="40" t="n">
        <v>5490000</v>
      </c>
      <c r="G30" s="40" t="n">
        <v>5590000</v>
      </c>
    </row>
    <row r="31">
      <c r="A31" t="inlineStr">
        <is>
          <t>AirPods 4 ANC</t>
        </is>
      </c>
      <c r="B31" s="3" t="n"/>
      <c r="C31" s="54" t="n">
        <v>4890000</v>
      </c>
      <c r="D31" s="62" t="n">
        <v>4490000</v>
      </c>
      <c r="E31" s="25" t="n">
        <v>4490000</v>
      </c>
      <c r="F31" s="38" t="n">
        <v>4590000</v>
      </c>
      <c r="G31" s="40" t="n">
        <v>4550000</v>
      </c>
    </row>
    <row r="32">
      <c r="A32" t="inlineStr">
        <is>
          <t>AirPods 4 with charging case</t>
        </is>
      </c>
      <c r="B32" s="3" t="n"/>
      <c r="C32" s="54" t="n">
        <v>3690000</v>
      </c>
      <c r="D32" s="64" t="n">
        <v>3390000</v>
      </c>
      <c r="E32" s="34" t="n">
        <v>3390000</v>
      </c>
      <c r="F32" s="38" t="n">
        <v>3490000</v>
      </c>
      <c r="G32" s="38" t="n">
        <v>3390000</v>
      </c>
    </row>
    <row r="33">
      <c r="A33" t="inlineStr">
        <is>
          <t>AirPods Pro 3</t>
        </is>
      </c>
      <c r="B33" s="3" t="n"/>
      <c r="C33" s="40" t="n">
        <v>6790000</v>
      </c>
      <c r="D33" s="64" t="n">
        <v>6790000</v>
      </c>
      <c r="E33" s="34" t="n">
        <v>6490000</v>
      </c>
      <c r="F33" s="25" t="n">
        <v>6790000</v>
      </c>
      <c r="G33" s="40" t="n">
        <v>6650000</v>
      </c>
    </row>
    <row r="34">
      <c r="A34" t="inlineStr">
        <is>
          <t>MacBook Air 13" M2 16/256GB</t>
        </is>
      </c>
      <c r="B34" s="25" t="n"/>
      <c r="C34" s="54" t="n">
        <v>19890000</v>
      </c>
      <c r="D34" s="62" t="n">
        <v>19790000</v>
      </c>
      <c r="E34" s="37" t="n"/>
      <c r="F34" s="34" t="n">
        <v>19690000</v>
      </c>
      <c r="G34" s="38" t="n">
        <v>18990000</v>
      </c>
    </row>
    <row r="35">
      <c r="A35" t="inlineStr">
        <is>
          <t>MacBook Air 13" M4 16/256GB</t>
        </is>
      </c>
      <c r="B35" s="3" t="n"/>
      <c r="C35" s="54" t="n">
        <v>24990000</v>
      </c>
      <c r="D35" s="62" t="n">
        <v>25190000</v>
      </c>
      <c r="E35" s="37" t="n"/>
      <c r="F35" s="34" t="n">
        <v>25090000</v>
      </c>
      <c r="G35" s="40" t="n">
        <v>25190000</v>
      </c>
    </row>
    <row r="36">
      <c r="A36" t="inlineStr">
        <is>
          <t>MacBook Air 15" M4 16/256GB</t>
        </is>
      </c>
      <c r="B36" s="25" t="n"/>
      <c r="C36" s="62" t="n">
        <v>29690000</v>
      </c>
      <c r="D36" s="64" t="n">
        <v>29890000</v>
      </c>
      <c r="E36" s="37" t="n"/>
      <c r="F36" s="39" t="n">
        <v>29290000</v>
      </c>
      <c r="G36" s="40" t="n">
        <v>29690000</v>
      </c>
    </row>
    <row r="37">
      <c r="A37" t="inlineStr">
        <is>
          <t>MacBook Pro 14" M4 16/512GB</t>
        </is>
      </c>
      <c r="B37" s="25" t="n"/>
      <c r="C37" s="53" t="n">
        <v>38090000</v>
      </c>
      <c r="D37" s="64" t="n">
        <v>37990000</v>
      </c>
      <c r="E37" s="37" t="n"/>
      <c r="F37" s="40" t="n">
        <v>38590000</v>
      </c>
      <c r="G37" s="40" t="n">
        <v>38390000</v>
      </c>
    </row>
    <row r="38">
      <c r="A38" t="inlineStr">
        <is>
          <t>MacBook Pro 16" M4 16/512GB</t>
        </is>
      </c>
      <c r="B38" s="25" t="n"/>
      <c r="C38" s="64" t="n">
        <v>64990000</v>
      </c>
      <c r="D38" s="64" t="n">
        <v>64990000</v>
      </c>
      <c r="E38" s="37" t="n"/>
      <c r="F38" s="40" t="n"/>
      <c r="G38" s="40" t="n">
        <v>63990000</v>
      </c>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3.xml><?xml version="1.0" encoding="utf-8"?>
<worksheet xmlns="http://schemas.openxmlformats.org/spreadsheetml/2006/main">
  <sheetPr>
    <outlinePr summaryBelow="1" summaryRight="1"/>
    <pageSetUpPr/>
  </sheetPr>
  <dimension ref="A1:L151"/>
  <sheetViews>
    <sheetView zoomScale="93" zoomScaleNormal="12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3"/>
    <col width="11.125" bestFit="1" customWidth="1" style="35" min="4" max="4"/>
    <col width="10.125" bestFit="1" customWidth="1" style="35" min="5"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30990000</v>
      </c>
      <c r="D3" s="76" t="n">
        <v>30890000</v>
      </c>
      <c r="E3" s="34" t="n">
        <v>29990000</v>
      </c>
      <c r="F3" s="38" t="n">
        <v>30890000</v>
      </c>
      <c r="G3" s="40" t="n">
        <v>30690000</v>
      </c>
      <c r="H3" s="26" t="n"/>
    </row>
    <row r="4">
      <c r="A4" t="inlineStr">
        <is>
          <t>iPhone 17 Pro 256GB</t>
        </is>
      </c>
      <c r="B4" s="83" t="n"/>
      <c r="C4" s="68" t="n">
        <v>34990000</v>
      </c>
      <c r="D4" s="68" t="n">
        <v>34990000</v>
      </c>
      <c r="E4" s="72" t="n">
        <v>33990000</v>
      </c>
      <c r="F4" s="38" t="n">
        <v>33990000</v>
      </c>
      <c r="G4" s="38" t="n">
        <v>34490000</v>
      </c>
      <c r="H4" s="26" t="n">
        <v>-300</v>
      </c>
    </row>
    <row r="5">
      <c r="A5" t="inlineStr">
        <is>
          <t>iPhone 17 Pro Max 256GB</t>
        </is>
      </c>
      <c r="B5" s="83" t="n"/>
      <c r="C5" s="68" t="n">
        <v>37990000</v>
      </c>
      <c r="D5" s="68" t="n">
        <v>37990000</v>
      </c>
      <c r="E5" s="72" t="n">
        <v>37490000</v>
      </c>
      <c r="F5" s="40" t="n">
        <v>37990000</v>
      </c>
      <c r="G5" s="38" t="n">
        <v>37690000</v>
      </c>
      <c r="H5" s="26" t="n">
        <v>-300</v>
      </c>
    </row>
    <row r="6">
      <c r="A6" t="inlineStr">
        <is>
          <t>iPhone 16e  128GB</t>
        </is>
      </c>
      <c r="B6" s="83" t="n"/>
      <c r="C6" s="67" t="n">
        <v>14990000</v>
      </c>
      <c r="D6" s="68" t="n">
        <v>14990000</v>
      </c>
      <c r="E6" s="72" t="n">
        <v>16990000</v>
      </c>
      <c r="F6" s="40" t="n">
        <v>16990000</v>
      </c>
      <c r="G6" s="38" t="n">
        <v>15190000</v>
      </c>
      <c r="H6" s="26" t="n">
        <v>-100</v>
      </c>
    </row>
    <row r="7">
      <c r="A7" t="inlineStr">
        <is>
          <t>iPhone 16  128GB</t>
        </is>
      </c>
      <c r="B7" s="71" t="n"/>
      <c r="C7" s="69" t="n">
        <v>21290000</v>
      </c>
      <c r="D7" s="70" t="n">
        <v>21090000</v>
      </c>
      <c r="E7" s="34" t="n">
        <v>20990000</v>
      </c>
      <c r="F7" s="38" t="n">
        <v>20590000</v>
      </c>
      <c r="G7" s="78" t="n">
        <v>20990000</v>
      </c>
      <c r="H7" s="26" t="n"/>
    </row>
    <row r="8">
      <c r="A8" t="inlineStr">
        <is>
          <t>iPhone 16  Plus 128GB</t>
        </is>
      </c>
      <c r="B8" s="3" t="n"/>
      <c r="C8" s="53" t="n">
        <v>24990000</v>
      </c>
      <c r="D8" s="64" t="n">
        <v>24690000</v>
      </c>
      <c r="E8" s="34" t="n">
        <v>24190000</v>
      </c>
      <c r="F8" s="40" t="n">
        <v>24590000</v>
      </c>
      <c r="G8" s="38" t="n">
        <v>23990000</v>
      </c>
      <c r="H8" s="26" t="n">
        <v>-600</v>
      </c>
    </row>
    <row r="9">
      <c r="A9" t="inlineStr">
        <is>
          <t>iPhone 16 Pro  128GB</t>
        </is>
      </c>
      <c r="B9" s="25" t="n"/>
      <c r="C9" s="40" t="inlineStr">
        <is>
          <t>OOS</t>
        </is>
      </c>
      <c r="D9" s="40" t="n">
        <v>25590000</v>
      </c>
      <c r="E9" s="34" t="n">
        <v>24990000</v>
      </c>
      <c r="F9" s="40" t="n">
        <v>25590000</v>
      </c>
      <c r="G9" s="40" t="n">
        <v>24990000</v>
      </c>
      <c r="H9" s="26" t="n"/>
    </row>
    <row r="10">
      <c r="A10" t="inlineStr">
        <is>
          <t>iPhone 16 Pro Max 256GB</t>
        </is>
      </c>
      <c r="B10" s="3" t="n"/>
      <c r="C10" s="54" t="n">
        <v>30590000</v>
      </c>
      <c r="D10" s="62" t="n">
        <v>30390000</v>
      </c>
      <c r="E10" s="34" t="n">
        <v>29690000</v>
      </c>
      <c r="F10" s="38" t="n">
        <v>29890000</v>
      </c>
      <c r="G10" s="38" t="n">
        <v>29890000</v>
      </c>
      <c r="H10" s="26" t="n"/>
    </row>
    <row r="11">
      <c r="A11" t="inlineStr">
        <is>
          <t>iPhone 15  128GB</t>
        </is>
      </c>
      <c r="B11" s="25" t="n"/>
      <c r="C11" s="53" t="n">
        <v>17290000</v>
      </c>
      <c r="D11" s="62" t="n">
        <v>17090000</v>
      </c>
      <c r="E11" s="34" t="n">
        <v>16890000</v>
      </c>
      <c r="F11" s="38" t="n">
        <v>16890000</v>
      </c>
      <c r="G11" s="40" t="n">
        <v>16590000</v>
      </c>
      <c r="H11" s="26" t="n"/>
    </row>
    <row r="12">
      <c r="A12" t="inlineStr">
        <is>
          <t>iPhone 15  Plus 128GB</t>
        </is>
      </c>
      <c r="B12" s="25" t="n"/>
      <c r="C12" s="53" t="n">
        <v>19590000</v>
      </c>
      <c r="D12" s="64" t="inlineStr">
        <is>
          <t>OOS</t>
        </is>
      </c>
      <c r="E12" s="25" t="n">
        <v>18490000</v>
      </c>
      <c r="F12" s="40" t="n">
        <v>17690000</v>
      </c>
      <c r="G12" s="40" t="n">
        <v>18490000</v>
      </c>
      <c r="H12" s="26" t="n"/>
    </row>
    <row r="13">
      <c r="A13" t="inlineStr">
        <is>
          <t>iPhone 14 128GB</t>
        </is>
      </c>
      <c r="B13" s="25" t="n"/>
      <c r="C13" s="54" t="n">
        <v>13990000</v>
      </c>
      <c r="D13" s="64" t="n">
        <v>13690000</v>
      </c>
      <c r="E13" s="34" t="n">
        <v>13390000</v>
      </c>
      <c r="F13" s="38" t="n">
        <v>13390000</v>
      </c>
      <c r="G13" s="40" t="n">
        <v>13490000</v>
      </c>
      <c r="H13" s="26" t="n"/>
    </row>
    <row r="14">
      <c r="A14" t="inlineStr">
        <is>
          <t>iPhone 13  128GB</t>
        </is>
      </c>
      <c r="B14" s="3" t="n"/>
      <c r="C14" s="53" t="n">
        <v>12390000</v>
      </c>
      <c r="D14" s="53" t="n">
        <v>12090000</v>
      </c>
      <c r="E14" s="34" t="n">
        <v>11990000</v>
      </c>
      <c r="F14" s="38" t="n">
        <v>11990000</v>
      </c>
      <c r="G14" s="40" t="n">
        <v>11890000</v>
      </c>
      <c r="H14" s="26" t="n"/>
    </row>
    <row r="15">
      <c r="A15" t="inlineStr">
        <is>
          <t>iPad Mini 7 128GB Wifi</t>
        </is>
      </c>
      <c r="B15" s="25" t="n"/>
      <c r="C15" s="53" t="n">
        <v>11790000</v>
      </c>
      <c r="D15" s="62" t="n">
        <v>11790000</v>
      </c>
      <c r="E15" s="34" t="n">
        <v>11590000</v>
      </c>
      <c r="F15" s="40" t="n">
        <v>11790000</v>
      </c>
      <c r="G15" s="40" t="n">
        <v>11590000</v>
      </c>
      <c r="H15" s="26" t="n"/>
    </row>
    <row r="16">
      <c r="A16" t="inlineStr">
        <is>
          <t>iPad Gen 11th  128GB Wifi</t>
        </is>
      </c>
      <c r="B16" s="3" t="n"/>
      <c r="C16" s="54" t="n">
        <v>8790000</v>
      </c>
      <c r="D16" s="62" t="n">
        <v>8790000</v>
      </c>
      <c r="E16" s="34" t="n">
        <v>8790000</v>
      </c>
      <c r="F16" s="40" t="n">
        <v>8690000</v>
      </c>
      <c r="G16" s="38" t="n">
        <v>8490000</v>
      </c>
      <c r="H16" s="26" t="n">
        <v>-500</v>
      </c>
      <c r="J16" t="inlineStr">
        <is>
          <t xml:space="preserve">MW </t>
        </is>
      </c>
      <c r="K16" t="inlineStr">
        <is>
          <t>Duy</t>
        </is>
      </c>
      <c r="L16" t="b">
        <v>1</v>
      </c>
    </row>
    <row r="17">
      <c r="A17" t="inlineStr">
        <is>
          <t>iPad Air M3  11" 128 GB Wifi</t>
        </is>
      </c>
      <c r="B17" s="3" t="n"/>
      <c r="C17" s="54" t="n">
        <v>13490000</v>
      </c>
      <c r="D17" s="64" t="n">
        <v>13690000</v>
      </c>
      <c r="E17" s="34" t="n">
        <v>13290000</v>
      </c>
      <c r="F17" s="40" t="n">
        <v>13390000</v>
      </c>
      <c r="G17" s="38" t="n">
        <v>13290000</v>
      </c>
      <c r="H17" s="26">
        <f>15990-13290</f>
        <v/>
      </c>
      <c r="J17" t="inlineStr">
        <is>
          <t>FPT</t>
        </is>
      </c>
      <c r="K17" t="inlineStr">
        <is>
          <t>Trang</t>
        </is>
      </c>
      <c r="L17" t="b">
        <v>1</v>
      </c>
    </row>
    <row r="18">
      <c r="A18" t="inlineStr">
        <is>
          <t>iPad Air M3  13" 128 GB Wifi</t>
        </is>
      </c>
      <c r="B18" s="25" t="n"/>
      <c r="C18" s="54" t="n">
        <v>19090000</v>
      </c>
      <c r="D18" s="64" t="n">
        <v>18890000</v>
      </c>
      <c r="E18" s="25" t="n">
        <v>20490000</v>
      </c>
      <c r="F18" s="40" t="n">
        <v>18890000</v>
      </c>
      <c r="G18" s="34" t="n">
        <v>18990000</v>
      </c>
      <c r="H18" s="26" t="n">
        <v>-1000</v>
      </c>
      <c r="J18" t="inlineStr">
        <is>
          <t>Viettel</t>
        </is>
      </c>
      <c r="K18" t="inlineStr">
        <is>
          <t>Nghĩa</t>
        </is>
      </c>
      <c r="L18" t="b">
        <v>1</v>
      </c>
    </row>
    <row r="19">
      <c r="A19" t="inlineStr">
        <is>
          <t>iPad Pro  M4  11" 256 GB Wifi</t>
        </is>
      </c>
      <c r="B19" s="25" t="n"/>
      <c r="C19" s="25" t="inlineStr">
        <is>
          <t>OOS</t>
        </is>
      </c>
      <c r="D19" s="64" t="n">
        <v>27990000</v>
      </c>
      <c r="E19" s="25" t="inlineStr">
        <is>
          <t>OOS</t>
        </is>
      </c>
      <c r="F19" s="38" t="n">
        <v>27990000</v>
      </c>
      <c r="G19" s="39" t="n">
        <v>27990000</v>
      </c>
      <c r="H19" s="26" t="n"/>
      <c r="J19" t="inlineStr">
        <is>
          <t>CPS</t>
        </is>
      </c>
      <c r="K19" t="inlineStr">
        <is>
          <t>Hải</t>
        </is>
      </c>
      <c r="L19" t="b">
        <v>1</v>
      </c>
    </row>
    <row r="20">
      <c r="A20" t="inlineStr">
        <is>
          <t>iPad Pro  M4  13" 256 GB Wifi</t>
        </is>
      </c>
      <c r="B20" s="3" t="n"/>
      <c r="C20" s="64" t="n">
        <v>36290000</v>
      </c>
      <c r="D20" s="64" t="n">
        <v>36290000</v>
      </c>
      <c r="E20" s="25" t="n">
        <v>34490000</v>
      </c>
      <c r="F20" s="40" t="n">
        <v>36490000</v>
      </c>
      <c r="G20" s="40" t="n">
        <v>33690000</v>
      </c>
      <c r="H20" s="26" t="n"/>
      <c r="J20" t="inlineStr">
        <is>
          <t>ShopDunk</t>
        </is>
      </c>
      <c r="K20" t="inlineStr">
        <is>
          <t>Đạt</t>
        </is>
      </c>
      <c r="L20" t="b">
        <v>1</v>
      </c>
    </row>
    <row r="21">
      <c r="A21" t="inlineStr">
        <is>
          <t>AW SE 3 (40mm GPS)</t>
        </is>
      </c>
      <c r="B21" s="25" t="n"/>
      <c r="C21" s="62" t="n">
        <v>6690000</v>
      </c>
      <c r="D21" s="64" t="n">
        <v>6690000</v>
      </c>
      <c r="E21" s="25" t="n">
        <v>6690000</v>
      </c>
      <c r="F21" s="38" t="n">
        <v>5990000</v>
      </c>
      <c r="G21" s="39" t="n">
        <v>6690000</v>
      </c>
      <c r="H21" s="26" t="n"/>
    </row>
    <row r="22">
      <c r="A22" t="inlineStr">
        <is>
          <t>AW SE 3 (40mm LTE)</t>
        </is>
      </c>
      <c r="B22" s="25" t="n"/>
      <c r="C22" s="62" t="n">
        <v>8290000</v>
      </c>
      <c r="D22" s="64" t="n">
        <v>8490000</v>
      </c>
      <c r="E22" s="25" t="n">
        <v>8190000</v>
      </c>
      <c r="F22" s="38" t="n">
        <v>8190000</v>
      </c>
      <c r="G22" s="39" t="n">
        <v>8490000</v>
      </c>
      <c r="H22" s="26" t="n"/>
    </row>
    <row r="23">
      <c r="A23" t="inlineStr">
        <is>
          <t>AW SE 3 (44mm GPS)</t>
        </is>
      </c>
      <c r="B23" s="25" t="n"/>
      <c r="C23" s="64" t="n">
        <v>7650000</v>
      </c>
      <c r="D23" s="62" t="n">
        <v>7650000</v>
      </c>
      <c r="E23" s="25" t="n">
        <v>7690000</v>
      </c>
      <c r="F23" s="38" t="n">
        <v>7290000</v>
      </c>
      <c r="G23" s="39" t="n">
        <v>7690000</v>
      </c>
      <c r="H23" s="26" t="n"/>
    </row>
    <row r="24">
      <c r="A24" t="inlineStr">
        <is>
          <t>AW SE 3 (44mm LTE)</t>
        </is>
      </c>
      <c r="B24" s="25" t="n"/>
      <c r="C24" s="64" t="n">
        <v>9090000</v>
      </c>
      <c r="D24" s="64" t="n">
        <v>9350000</v>
      </c>
      <c r="E24" s="25" t="n">
        <v>8990000</v>
      </c>
      <c r="F24" s="40" t="n">
        <v>8990000</v>
      </c>
      <c r="G24" s="39" t="n">
        <v>9290000</v>
      </c>
      <c r="H24" s="26" t="n"/>
    </row>
    <row r="25">
      <c r="A25" t="inlineStr">
        <is>
          <t>AW S11 (42mm GPS)</t>
        </is>
      </c>
      <c r="B25" s="3" t="n"/>
      <c r="C25" s="62" t="n">
        <v>11290000</v>
      </c>
      <c r="D25" s="64" t="n">
        <v>11490000</v>
      </c>
      <c r="E25" s="25" t="n">
        <v>11290000</v>
      </c>
      <c r="F25" s="38" t="n">
        <v>10790000</v>
      </c>
      <c r="G25" s="34" t="n">
        <v>11290000</v>
      </c>
      <c r="H25" s="26" t="n">
        <v>-100</v>
      </c>
    </row>
    <row r="26">
      <c r="A26" t="inlineStr">
        <is>
          <t>AW S11 (42mm CEL)</t>
        </is>
      </c>
      <c r="B26" s="3" t="n"/>
      <c r="C26" s="64" t="n">
        <v>14490000</v>
      </c>
      <c r="D26" s="64" t="n">
        <v>14490000</v>
      </c>
      <c r="E26" s="25" t="n">
        <v>14190000</v>
      </c>
      <c r="F26" s="40" t="n">
        <v>14290000</v>
      </c>
      <c r="G26" s="39" t="n">
        <v>14390000</v>
      </c>
      <c r="H26" s="26" t="n"/>
    </row>
    <row r="27">
      <c r="A27" t="inlineStr">
        <is>
          <t>AW S11 (46mm GPS)</t>
        </is>
      </c>
      <c r="B27" s="3" t="n"/>
      <c r="C27" s="62" t="n">
        <v>12090000</v>
      </c>
      <c r="D27" s="64" t="n">
        <v>12350000</v>
      </c>
      <c r="E27" s="25" t="n">
        <v>12190000</v>
      </c>
      <c r="F27" s="38" t="n">
        <v>11790000</v>
      </c>
      <c r="G27" s="39" t="n">
        <v>11990000</v>
      </c>
      <c r="H27" s="26" t="n"/>
    </row>
    <row r="28">
      <c r="A28" t="inlineStr">
        <is>
          <t>AW S11 (46mm CEL)</t>
        </is>
      </c>
      <c r="B28" s="3" t="n"/>
      <c r="C28" s="64" t="n">
        <v>15350000</v>
      </c>
      <c r="D28" s="64" t="n">
        <v>15350000</v>
      </c>
      <c r="E28" s="25" t="n">
        <v>14990000</v>
      </c>
      <c r="F28" s="38" t="n">
        <v>15290000</v>
      </c>
      <c r="G28" s="39" t="n">
        <v>15290000</v>
      </c>
      <c r="H28" s="26" t="n"/>
    </row>
    <row r="29">
      <c r="A29" t="inlineStr">
        <is>
          <t>AW Ultra 3 (49mm)</t>
        </is>
      </c>
      <c r="B29" s="25" t="n"/>
      <c r="C29" s="64" t="n">
        <v>23990000</v>
      </c>
      <c r="D29" s="62" t="n">
        <v>23990000</v>
      </c>
      <c r="E29" s="25" t="n">
        <v>23490000</v>
      </c>
      <c r="F29" s="40" t="n">
        <v>23990000</v>
      </c>
      <c r="G29" s="39" t="n">
        <v>23990000</v>
      </c>
      <c r="H29" s="26" t="n"/>
    </row>
    <row r="30">
      <c r="A30" t="inlineStr">
        <is>
          <t>AirPods Pro 2 - 2023 (C-Type)</t>
        </is>
      </c>
      <c r="B30" s="3" t="n"/>
      <c r="C30" s="54" t="n">
        <v>5090000</v>
      </c>
      <c r="D30" s="62" t="n">
        <v>5290000</v>
      </c>
      <c r="E30" s="25" t="n">
        <v>5590000</v>
      </c>
      <c r="F30" s="38" t="n">
        <v>4790000</v>
      </c>
      <c r="G30" s="39" t="n">
        <v>5590000</v>
      </c>
      <c r="H30" s="26" t="n"/>
    </row>
    <row r="31">
      <c r="A31" t="inlineStr">
        <is>
          <t>AirPods 4 ANC</t>
        </is>
      </c>
      <c r="B31" s="3" t="n"/>
      <c r="C31" s="54" t="n">
        <v>4590000</v>
      </c>
      <c r="D31" s="62" t="n">
        <v>4290000</v>
      </c>
      <c r="E31" s="34" t="n">
        <v>4390000</v>
      </c>
      <c r="F31" s="40" t="n">
        <v>4390000</v>
      </c>
      <c r="G31" s="38" t="n">
        <v>4390000</v>
      </c>
      <c r="H31" s="26" t="n">
        <v>-200</v>
      </c>
    </row>
    <row r="32">
      <c r="A32" t="inlineStr">
        <is>
          <t>AirPods 4 with charging case</t>
        </is>
      </c>
      <c r="B32" s="3" t="n"/>
      <c r="C32" s="54" t="n">
        <v>3190000</v>
      </c>
      <c r="D32" s="64" t="n">
        <v>2990000</v>
      </c>
      <c r="E32" s="34" t="n">
        <v>2990000</v>
      </c>
      <c r="F32" s="39" t="n">
        <v>3090000</v>
      </c>
      <c r="G32" s="38" t="n">
        <v>2990000</v>
      </c>
      <c r="H32" s="26">
        <f>3390-2990</f>
        <v/>
      </c>
    </row>
    <row r="33">
      <c r="A33" t="inlineStr">
        <is>
          <t>AirPods Pro 3</t>
        </is>
      </c>
      <c r="B33" s="3" t="n"/>
      <c r="C33" s="38" t="n">
        <v>6690000</v>
      </c>
      <c r="D33" s="64" t="n">
        <v>6790000</v>
      </c>
      <c r="E33" s="72" t="n">
        <v>6490000</v>
      </c>
      <c r="F33" s="40" t="n">
        <v>6790000</v>
      </c>
      <c r="G33" s="38" t="n">
        <v>6590000</v>
      </c>
      <c r="H33" s="26" t="n">
        <v>-100</v>
      </c>
    </row>
    <row r="34">
      <c r="A34" t="inlineStr">
        <is>
          <t>MacBook Air 13" M2 16/256GB</t>
        </is>
      </c>
      <c r="B34" s="25" t="n"/>
      <c r="C34" s="54" t="n">
        <v>19690000</v>
      </c>
      <c r="D34" s="64" t="n">
        <v>19690000</v>
      </c>
      <c r="E34" s="37" t="n"/>
      <c r="F34" s="40" t="n">
        <v>19690000</v>
      </c>
      <c r="G34" s="40" t="n">
        <v>18990000</v>
      </c>
      <c r="H34" s="26" t="n"/>
    </row>
    <row r="35">
      <c r="A35" t="inlineStr">
        <is>
          <t>MacBook Air 13" M4 16/256GB</t>
        </is>
      </c>
      <c r="B35" s="3" t="n"/>
      <c r="C35" s="54" t="n">
        <v>25290000</v>
      </c>
      <c r="D35" s="64" t="n">
        <v>25190000</v>
      </c>
      <c r="E35" s="37" t="n"/>
      <c r="F35" s="40" t="n">
        <v>24990000</v>
      </c>
      <c r="G35" s="38" t="n">
        <v>24290000</v>
      </c>
      <c r="H35" s="26">
        <f>25190-24290</f>
        <v/>
      </c>
    </row>
    <row r="36">
      <c r="A36" t="inlineStr">
        <is>
          <t>MacBook Air 15" M4 16/256GB</t>
        </is>
      </c>
      <c r="B36" s="25" t="n"/>
      <c r="C36" s="62" t="n">
        <v>29990000</v>
      </c>
      <c r="D36" s="62" t="n">
        <v>29390000</v>
      </c>
      <c r="E36" s="37" t="n"/>
      <c r="F36" s="40" t="n">
        <v>29990000</v>
      </c>
      <c r="G36" s="38" t="n">
        <v>29690000</v>
      </c>
      <c r="H36" s="26">
        <f>29690-28290</f>
        <v/>
      </c>
    </row>
    <row r="37">
      <c r="A37" t="inlineStr">
        <is>
          <t>MacBook Pro 14" M4 16/512GB</t>
        </is>
      </c>
      <c r="B37" s="25" t="n"/>
      <c r="C37" s="53" t="n">
        <v>38090000</v>
      </c>
      <c r="D37" s="64" t="n">
        <v>37990000</v>
      </c>
      <c r="E37" s="37" t="n"/>
      <c r="F37" s="40" t="n">
        <v>38590000</v>
      </c>
      <c r="G37" s="40" t="n">
        <v>38390000</v>
      </c>
      <c r="H37" s="26" t="n"/>
    </row>
    <row r="38">
      <c r="A38" t="inlineStr">
        <is>
          <t>MacBook Pro 16" M4 24/512GB</t>
        </is>
      </c>
      <c r="B38" s="25" t="n"/>
      <c r="C38" s="64" t="n">
        <v>64990000</v>
      </c>
      <c r="D38" s="64" t="n">
        <v>64990000</v>
      </c>
      <c r="E38" s="37" t="n"/>
      <c r="F38" s="40" t="n">
        <v>63990000</v>
      </c>
      <c r="G38" s="40" t="n">
        <v>63990000</v>
      </c>
    </row>
    <row r="39">
      <c r="C39" s="60" t="n"/>
      <c r="D39" s="60" t="n"/>
    </row>
    <row r="40">
      <c r="C40" s="60" t="n"/>
      <c r="D40" s="60" t="n"/>
    </row>
    <row r="41">
      <c r="C41" s="60" t="n"/>
      <c r="D41" s="60" t="n"/>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4.xml><?xml version="1.0" encoding="utf-8"?>
<worksheet xmlns="http://schemas.openxmlformats.org/spreadsheetml/2006/main">
  <sheetPr>
    <outlinePr summaryBelow="1" summaryRight="1"/>
    <pageSetUpPr/>
  </sheetPr>
  <dimension ref="A1:L153"/>
  <sheetViews>
    <sheetView zoomScale="80" zoomScaleNormal="80" workbookViewId="0">
      <pane xSplit="2" ySplit="1" topLeftCell="C9"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3"/>
    <col width="11.125" bestFit="1" customWidth="1" style="35" min="4" max="4"/>
    <col width="10.125" bestFit="1" customWidth="1" style="35" min="5"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30990000</v>
      </c>
      <c r="D3" s="76" t="n">
        <v>30390000</v>
      </c>
      <c r="E3" s="25" t="n">
        <v>29990000</v>
      </c>
      <c r="F3" s="38" t="n">
        <v>30890000</v>
      </c>
      <c r="G3" s="38" t="n">
        <v>30290000</v>
      </c>
      <c r="H3" s="26" t="n">
        <v>-400</v>
      </c>
    </row>
    <row r="4">
      <c r="A4" t="inlineStr">
        <is>
          <t>iPhone 17 Pro 256GB</t>
        </is>
      </c>
      <c r="B4" s="83" t="n"/>
      <c r="C4" s="68" t="n">
        <v>34990000</v>
      </c>
      <c r="D4" s="76" t="n">
        <v>34790000</v>
      </c>
      <c r="E4" s="72" t="n">
        <v>33990000</v>
      </c>
      <c r="F4" s="38" t="n">
        <v>33990000</v>
      </c>
      <c r="G4" s="38" t="n">
        <v>34290000</v>
      </c>
      <c r="H4" s="26" t="n">
        <v>-200</v>
      </c>
    </row>
    <row r="5">
      <c r="A5" t="inlineStr">
        <is>
          <t>iPhone 17 Pro Max 256GB</t>
        </is>
      </c>
      <c r="B5" s="83" t="n"/>
      <c r="C5" s="68" t="n">
        <v>37990000</v>
      </c>
      <c r="D5" s="68" t="n">
        <v>37990000</v>
      </c>
      <c r="E5" s="72" t="n">
        <v>37490000</v>
      </c>
      <c r="F5" s="40" t="n">
        <v>37990000</v>
      </c>
      <c r="G5" s="38" t="n">
        <v>37490000</v>
      </c>
      <c r="H5" s="26" t="n">
        <v>-200</v>
      </c>
    </row>
    <row r="6">
      <c r="A6" t="inlineStr">
        <is>
          <t>iPhone 16e  128GB</t>
        </is>
      </c>
      <c r="B6" s="83" t="n"/>
      <c r="C6" s="67" t="n">
        <v>14990000</v>
      </c>
      <c r="D6" s="68" t="n">
        <v>14990000</v>
      </c>
      <c r="E6" s="72" t="n">
        <v>12490000</v>
      </c>
      <c r="F6" s="40" t="n">
        <v>16990000</v>
      </c>
      <c r="G6" s="40" t="n">
        <v>15190000</v>
      </c>
      <c r="H6" s="26" t="n"/>
    </row>
    <row r="7">
      <c r="A7" t="inlineStr">
        <is>
          <t>iPhone 16  128GB</t>
        </is>
      </c>
      <c r="B7" s="71" t="n"/>
      <c r="C7" s="69" t="n">
        <v>21290000</v>
      </c>
      <c r="D7" s="73" t="n">
        <v>20690000</v>
      </c>
      <c r="E7" s="25" t="n">
        <v>20990000</v>
      </c>
      <c r="F7" s="38" t="n">
        <v>20590000</v>
      </c>
      <c r="G7" s="40" t="n">
        <v>20990000</v>
      </c>
      <c r="H7" s="26" t="n"/>
    </row>
    <row r="8">
      <c r="A8" t="inlineStr">
        <is>
          <t>iPhone 16  Plus 128GB</t>
        </is>
      </c>
      <c r="B8" s="3" t="n"/>
      <c r="C8" s="53" t="n">
        <v>24990000</v>
      </c>
      <c r="D8" s="64" t="n">
        <v>24690000</v>
      </c>
      <c r="E8" s="25" t="n">
        <v>24190000</v>
      </c>
      <c r="F8" s="40" t="n">
        <v>24590000</v>
      </c>
      <c r="G8" s="38" t="n">
        <v>24490000</v>
      </c>
      <c r="H8" s="26" t="n">
        <v>500</v>
      </c>
    </row>
    <row r="9">
      <c r="A9" t="inlineStr">
        <is>
          <t>iPhone 16 Pro  128GB</t>
        </is>
      </c>
      <c r="B9" s="25" t="n"/>
      <c r="C9" s="40" t="inlineStr">
        <is>
          <t>OOS</t>
        </is>
      </c>
      <c r="D9" s="40" t="n">
        <v>25590000</v>
      </c>
      <c r="E9" s="25" t="n">
        <v>24990000</v>
      </c>
      <c r="F9" s="40" t="n">
        <v>25590000</v>
      </c>
      <c r="G9" s="40" t="n">
        <v>24990000</v>
      </c>
      <c r="H9" s="26" t="n"/>
    </row>
    <row r="10">
      <c r="A10" t="inlineStr">
        <is>
          <t>iPhone 16 Pro Max 256GB</t>
        </is>
      </c>
      <c r="B10" s="3" t="n"/>
      <c r="C10" s="53" t="n">
        <v>30590000</v>
      </c>
      <c r="D10" s="62" t="n">
        <v>29990000</v>
      </c>
      <c r="E10" s="25" t="n">
        <v>29690000</v>
      </c>
      <c r="F10" s="38" t="n">
        <v>29890000</v>
      </c>
      <c r="G10" s="38" t="n">
        <v>29690000</v>
      </c>
      <c r="H10" s="26" t="n">
        <v>-200</v>
      </c>
    </row>
    <row r="11">
      <c r="A11" t="inlineStr">
        <is>
          <t>iPhone 15  128GB</t>
        </is>
      </c>
      <c r="B11" s="25" t="n"/>
      <c r="C11" s="53" t="n">
        <v>17290000</v>
      </c>
      <c r="D11" s="62" t="n">
        <v>16090000</v>
      </c>
      <c r="E11" s="25" t="n">
        <v>16790000</v>
      </c>
      <c r="F11" s="38" t="n">
        <v>16890000</v>
      </c>
      <c r="G11" s="40" t="n">
        <v>16590000</v>
      </c>
      <c r="H11" s="26" t="n"/>
    </row>
    <row r="12">
      <c r="A12" t="inlineStr">
        <is>
          <t>iPhone 15  Plus 128GB</t>
        </is>
      </c>
      <c r="B12" s="25" t="n"/>
      <c r="C12" s="53" t="n">
        <v>19590000</v>
      </c>
      <c r="D12" s="64" t="inlineStr">
        <is>
          <t>OOS</t>
        </is>
      </c>
      <c r="E12" s="25" t="n">
        <v>18490000</v>
      </c>
      <c r="F12" s="40" t="n">
        <v>17690000</v>
      </c>
      <c r="G12" s="40" t="n">
        <v>18490000</v>
      </c>
      <c r="H12" s="26" t="n"/>
    </row>
    <row r="13">
      <c r="A13" t="inlineStr">
        <is>
          <t>iPhone 14 128GB</t>
        </is>
      </c>
      <c r="B13" s="25" t="n"/>
      <c r="C13" s="53" t="n">
        <v>13990000</v>
      </c>
      <c r="D13" s="62" t="n">
        <v>13490000</v>
      </c>
      <c r="E13" s="25" t="n">
        <v>13390000</v>
      </c>
      <c r="F13" s="38" t="n">
        <v>13390000</v>
      </c>
      <c r="G13" s="40" t="n">
        <v>13490000</v>
      </c>
      <c r="H13" s="26" t="n"/>
    </row>
    <row r="14">
      <c r="A14" t="inlineStr">
        <is>
          <t>iPhone 13  128GB</t>
        </is>
      </c>
      <c r="B14" s="3" t="n"/>
      <c r="C14" s="53" t="n">
        <v>12390000</v>
      </c>
      <c r="D14" s="54" t="n">
        <v>11990000</v>
      </c>
      <c r="E14" s="25" t="n">
        <v>11990000</v>
      </c>
      <c r="F14" s="38" t="n">
        <v>11990000</v>
      </c>
      <c r="G14" s="40" t="n">
        <v>11890000</v>
      </c>
      <c r="H14" s="26" t="n"/>
    </row>
    <row r="15">
      <c r="A15" t="inlineStr">
        <is>
          <t>iPad Mini 7 128GB Wifi</t>
        </is>
      </c>
      <c r="B15" s="25" t="n"/>
      <c r="C15" s="53" t="n">
        <v>11790000</v>
      </c>
      <c r="D15" s="64" t="n">
        <v>11790000</v>
      </c>
      <c r="E15" s="25" t="n">
        <v>11590000</v>
      </c>
      <c r="F15" s="40" t="n">
        <v>11790000</v>
      </c>
      <c r="G15" s="40" t="n">
        <v>11590000</v>
      </c>
      <c r="H15" s="26" t="n"/>
    </row>
    <row r="16">
      <c r="A16" t="inlineStr">
        <is>
          <t>iPad Gen 11th  128GB Wifi</t>
        </is>
      </c>
      <c r="B16" s="3" t="n"/>
      <c r="C16" s="54" t="n">
        <v>8490000</v>
      </c>
      <c r="D16" s="62" t="n">
        <v>8490000</v>
      </c>
      <c r="E16" s="34" t="n">
        <v>8390000</v>
      </c>
      <c r="F16" s="40" t="n">
        <v>8690000</v>
      </c>
      <c r="G16" s="38" t="n">
        <v>8390000</v>
      </c>
      <c r="H16" s="26" t="n">
        <v>-100</v>
      </c>
      <c r="J16" t="inlineStr">
        <is>
          <t xml:space="preserve">MW </t>
        </is>
      </c>
      <c r="K16" t="inlineStr">
        <is>
          <t>Duy</t>
        </is>
      </c>
      <c r="L16" t="b">
        <v>1</v>
      </c>
    </row>
    <row r="17">
      <c r="A17" t="inlineStr">
        <is>
          <t>iPad Air M3  11" 128 GB Wifi</t>
        </is>
      </c>
      <c r="B17" s="3" t="n"/>
      <c r="C17" s="54" t="n">
        <v>13190000</v>
      </c>
      <c r="D17" s="62" t="n">
        <v>13190000</v>
      </c>
      <c r="E17" s="34" t="n">
        <v>12790000</v>
      </c>
      <c r="F17" s="40" t="n">
        <v>13390000</v>
      </c>
      <c r="G17" s="38" t="n">
        <v>13190000</v>
      </c>
      <c r="H17" s="26" t="n">
        <v>-100</v>
      </c>
      <c r="J17" t="inlineStr">
        <is>
          <t>FPT</t>
        </is>
      </c>
      <c r="K17" t="inlineStr">
        <is>
          <t>Trang</t>
        </is>
      </c>
      <c r="L17" t="b">
        <v>1</v>
      </c>
    </row>
    <row r="18">
      <c r="A18" t="inlineStr">
        <is>
          <t>iPad Air M3  13" 128 GB Wifi</t>
        </is>
      </c>
      <c r="B18" s="25" t="n"/>
      <c r="C18" s="54" t="n">
        <v>18890000</v>
      </c>
      <c r="D18" s="64" t="n">
        <v>18890000</v>
      </c>
      <c r="E18" s="25" t="n">
        <v>20490000</v>
      </c>
      <c r="F18" s="40" t="n">
        <v>18890000</v>
      </c>
      <c r="G18" s="34" t="n">
        <v>18890000</v>
      </c>
      <c r="H18" s="79" t="n">
        <v>-100</v>
      </c>
      <c r="J18" t="inlineStr">
        <is>
          <t>Viettel</t>
        </is>
      </c>
      <c r="K18" t="inlineStr">
        <is>
          <t>Nghĩa</t>
        </is>
      </c>
      <c r="L18" t="b">
        <v>1</v>
      </c>
    </row>
    <row r="19">
      <c r="A19" t="inlineStr">
        <is>
          <t>iPad Pro  M4  11" 256 GB Wifi</t>
        </is>
      </c>
      <c r="B19" s="25" t="n"/>
      <c r="C19" s="25" t="inlineStr">
        <is>
          <t>OOS</t>
        </is>
      </c>
      <c r="D19" s="64" t="n">
        <v>27990000</v>
      </c>
      <c r="E19" s="25" t="inlineStr">
        <is>
          <t>OOS</t>
        </is>
      </c>
      <c r="F19" s="38" t="n">
        <v>28190000</v>
      </c>
      <c r="G19" s="39" t="n">
        <v>27990000</v>
      </c>
      <c r="H19" s="26" t="n"/>
      <c r="J19" t="inlineStr">
        <is>
          <t>CPS</t>
        </is>
      </c>
      <c r="K19" t="inlineStr">
        <is>
          <t>Hải</t>
        </is>
      </c>
      <c r="L19" t="b">
        <v>1</v>
      </c>
    </row>
    <row r="20">
      <c r="A20" t="inlineStr">
        <is>
          <t>iPad Pro  M4  13" 256 GB Wifi</t>
        </is>
      </c>
      <c r="B20" s="3" t="n"/>
      <c r="C20" s="25" t="inlineStr">
        <is>
          <t>OOS</t>
        </is>
      </c>
      <c r="D20" s="64" t="n">
        <v>36290000</v>
      </c>
      <c r="E20" s="25" t="n">
        <v>34490000</v>
      </c>
      <c r="F20" s="40" t="n">
        <v>36490000</v>
      </c>
      <c r="G20" s="40" t="n">
        <v>33690000</v>
      </c>
      <c r="H20" s="26" t="n"/>
      <c r="J20" t="inlineStr">
        <is>
          <t>ShopDunk</t>
        </is>
      </c>
      <c r="K20" t="inlineStr">
        <is>
          <t>Đạt</t>
        </is>
      </c>
      <c r="L20" t="b">
        <v>1</v>
      </c>
    </row>
    <row r="21">
      <c r="A21" t="inlineStr">
        <is>
          <t>iPad Pro M5 11” 256GB Wifi</t>
        </is>
      </c>
      <c r="B21" s="3" t="n"/>
      <c r="C21" s="64" t="n">
        <v>29990000</v>
      </c>
      <c r="D21" s="64" t="n">
        <v>29990000</v>
      </c>
      <c r="E21" s="25" t="n">
        <v>29490000</v>
      </c>
      <c r="F21" s="40" t="n">
        <v>29990000</v>
      </c>
      <c r="G21" s="40" t="n">
        <v>29590000</v>
      </c>
      <c r="H21" s="26" t="n"/>
    </row>
    <row r="22">
      <c r="A22" t="inlineStr">
        <is>
          <t>iPad Pro M5 13” 256GB Wifi</t>
        </is>
      </c>
      <c r="B22" s="3" t="n"/>
      <c r="C22" s="25" t="n">
        <v>39990000</v>
      </c>
      <c r="D22" s="25" t="n">
        <v>39990000</v>
      </c>
      <c r="E22" s="25" t="n">
        <v>39490000</v>
      </c>
      <c r="F22" s="40" t="n">
        <v>39990000</v>
      </c>
      <c r="G22" s="40" t="n">
        <v>39590000</v>
      </c>
      <c r="H22" s="26" t="n"/>
    </row>
    <row r="23">
      <c r="A23" t="inlineStr">
        <is>
          <t>AW SE 3 (40mm GPS)</t>
        </is>
      </c>
      <c r="B23" s="25" t="n"/>
      <c r="C23" s="62" t="n">
        <v>6390000</v>
      </c>
      <c r="D23" s="62" t="n">
        <v>6290000</v>
      </c>
      <c r="E23" s="34" t="n">
        <v>6590000</v>
      </c>
      <c r="F23" s="38" t="n">
        <v>5990000</v>
      </c>
      <c r="G23" s="39" t="n">
        <v>6690000</v>
      </c>
      <c r="H23" s="26" t="n"/>
    </row>
    <row r="24">
      <c r="A24" t="inlineStr">
        <is>
          <t>AW SE 3 (40mm LTE)</t>
        </is>
      </c>
      <c r="B24" s="25" t="n"/>
      <c r="C24" s="64" t="n">
        <v>8290000</v>
      </c>
      <c r="D24" s="62" t="n">
        <v>8290000</v>
      </c>
      <c r="E24" s="34" t="n">
        <v>7990000</v>
      </c>
      <c r="F24" s="38" t="n">
        <v>8190000</v>
      </c>
      <c r="G24" s="34" t="n">
        <v>8290000</v>
      </c>
      <c r="H24" s="26" t="n">
        <v>-200</v>
      </c>
    </row>
    <row r="25">
      <c r="A25" t="inlineStr">
        <is>
          <t>AW SE 3 (44mm GPS)</t>
        </is>
      </c>
      <c r="B25" s="25" t="n"/>
      <c r="C25" s="62" t="n">
        <v>7390000</v>
      </c>
      <c r="D25" s="62" t="n">
        <v>7390000</v>
      </c>
      <c r="E25" s="34" t="n">
        <v>7290000</v>
      </c>
      <c r="F25" s="38" t="n">
        <v>7290000</v>
      </c>
      <c r="G25" s="34" t="n">
        <v>7590000</v>
      </c>
      <c r="H25" s="26" t="n">
        <v>-100</v>
      </c>
    </row>
    <row r="26">
      <c r="A26" t="inlineStr">
        <is>
          <t>AW SE 3 (44mm LTE)</t>
        </is>
      </c>
      <c r="B26" s="25" t="n"/>
      <c r="C26" s="64" t="n">
        <v>9090000</v>
      </c>
      <c r="D26" s="64" t="n">
        <v>9350000</v>
      </c>
      <c r="E26" s="34" t="n">
        <v>8790000</v>
      </c>
      <c r="F26" s="40" t="n">
        <v>8990000</v>
      </c>
      <c r="G26" s="34" t="n">
        <v>8990000</v>
      </c>
      <c r="H26" s="26" t="n">
        <v>-300</v>
      </c>
    </row>
    <row r="27">
      <c r="A27" t="inlineStr">
        <is>
          <t>AW S11 (42mm GPS)</t>
        </is>
      </c>
      <c r="B27" s="3" t="n"/>
      <c r="C27" s="62" t="n">
        <v>10990000</v>
      </c>
      <c r="D27" s="62" t="n">
        <v>11890000</v>
      </c>
      <c r="E27" s="34" t="n">
        <v>10990000</v>
      </c>
      <c r="F27" s="38" t="n">
        <v>10790000</v>
      </c>
      <c r="G27" s="34" t="n">
        <v>11090000</v>
      </c>
      <c r="H27" s="26" t="n">
        <v>-200</v>
      </c>
    </row>
    <row r="28">
      <c r="A28" t="inlineStr">
        <is>
          <t>AW S11 (42mm CEL)</t>
        </is>
      </c>
      <c r="B28" s="3" t="n"/>
      <c r="C28" s="64" t="n">
        <v>14490000</v>
      </c>
      <c r="D28" s="62" t="n">
        <v>14290000</v>
      </c>
      <c r="E28" s="34" t="n">
        <v>13590000</v>
      </c>
      <c r="F28" s="40" t="n">
        <v>14290000</v>
      </c>
      <c r="G28" s="34" t="n">
        <v>14290000</v>
      </c>
      <c r="H28" s="26" t="n">
        <v>-100</v>
      </c>
    </row>
    <row r="29">
      <c r="A29" t="inlineStr">
        <is>
          <t>AW S11 (46mm GPS)</t>
        </is>
      </c>
      <c r="B29" s="3" t="n"/>
      <c r="C29" s="64" t="n">
        <v>12090000</v>
      </c>
      <c r="D29" s="62" t="n">
        <v>11790000</v>
      </c>
      <c r="E29" s="34" t="n">
        <v>11490000</v>
      </c>
      <c r="F29" s="38" t="n">
        <v>11790000</v>
      </c>
      <c r="G29" s="39" t="n">
        <v>11990000</v>
      </c>
      <c r="H29" s="26" t="n"/>
    </row>
    <row r="30">
      <c r="A30" t="inlineStr">
        <is>
          <t>AW S11 (46mm CEL)</t>
        </is>
      </c>
      <c r="B30" s="3" t="n"/>
      <c r="C30" s="64" t="n">
        <v>15350000</v>
      </c>
      <c r="D30" s="64" t="n">
        <v>15350000</v>
      </c>
      <c r="E30" s="34" t="n">
        <v>14390000</v>
      </c>
      <c r="F30" s="38" t="n">
        <v>15290000</v>
      </c>
      <c r="G30" s="39" t="n">
        <v>15290000</v>
      </c>
      <c r="H30" s="26" t="n"/>
    </row>
    <row r="31">
      <c r="A31" t="inlineStr">
        <is>
          <t>AW Ultra 3 (49mm)</t>
        </is>
      </c>
      <c r="B31" s="25" t="n"/>
      <c r="C31" s="64" t="n">
        <v>23990000</v>
      </c>
      <c r="D31" s="62" t="n">
        <v>23990000</v>
      </c>
      <c r="E31" s="25" t="n">
        <v>23490000</v>
      </c>
      <c r="F31" s="40" t="n">
        <v>23990000</v>
      </c>
      <c r="G31" s="39" t="n">
        <v>23990000</v>
      </c>
      <c r="H31" s="26" t="n"/>
    </row>
    <row r="32">
      <c r="A32" t="inlineStr">
        <is>
          <t>AirPods Pro 2 - 2023 (C-Type)</t>
        </is>
      </c>
      <c r="B32" s="3" t="n"/>
      <c r="C32" s="54" t="n">
        <v>4790000</v>
      </c>
      <c r="D32" s="62" t="n">
        <v>5290000</v>
      </c>
      <c r="E32" s="25" t="n">
        <v>5590000</v>
      </c>
      <c r="F32" s="38" t="n">
        <v>4790000</v>
      </c>
      <c r="G32" s="39" t="n">
        <v>5590000</v>
      </c>
      <c r="H32" s="26" t="n"/>
    </row>
    <row r="33">
      <c r="A33" t="inlineStr">
        <is>
          <t>AirPods 4 ANC</t>
        </is>
      </c>
      <c r="B33" s="3" t="n"/>
      <c r="C33" s="54" t="n">
        <v>4290000</v>
      </c>
      <c r="D33" s="64" t="n">
        <v>4290000</v>
      </c>
      <c r="E33" s="34" t="n">
        <v>4190000</v>
      </c>
      <c r="F33" s="40" t="n">
        <v>4390000</v>
      </c>
      <c r="G33" s="39" t="n">
        <v>4390000</v>
      </c>
      <c r="H33" s="26" t="n"/>
    </row>
    <row r="34">
      <c r="A34" t="inlineStr">
        <is>
          <t>AirPods 4 with charging case</t>
        </is>
      </c>
      <c r="B34" s="3" t="n"/>
      <c r="C34" s="54" t="n">
        <v>3090000</v>
      </c>
      <c r="D34" s="62" t="n">
        <v>2990000</v>
      </c>
      <c r="E34" s="34" t="n">
        <v>2890000</v>
      </c>
      <c r="F34" s="39" t="n">
        <v>3090000</v>
      </c>
      <c r="G34" s="38" t="n">
        <v>2890000</v>
      </c>
      <c r="H34" s="26" t="n">
        <v>-100</v>
      </c>
    </row>
    <row r="35">
      <c r="A35" t="inlineStr">
        <is>
          <t>AirPods Pro 3</t>
        </is>
      </c>
      <c r="B35" s="3" t="n"/>
      <c r="C35" s="40" t="n">
        <v>6690000</v>
      </c>
      <c r="D35" s="62" t="n">
        <v>6690000</v>
      </c>
      <c r="E35" s="72" t="n">
        <v>6490000</v>
      </c>
      <c r="F35" s="40" t="n">
        <v>6790000</v>
      </c>
      <c r="G35" s="38" t="n">
        <v>6390000</v>
      </c>
      <c r="H35" s="26" t="n">
        <v>-200</v>
      </c>
    </row>
    <row r="36">
      <c r="A36" t="inlineStr">
        <is>
          <t>MacBook Air 13" M2 16/256GB</t>
        </is>
      </c>
      <c r="B36" s="25" t="n"/>
      <c r="C36" s="53" t="n">
        <v>19690000</v>
      </c>
      <c r="D36" s="64" t="n">
        <v>19690000</v>
      </c>
      <c r="E36" s="37" t="n"/>
      <c r="F36" s="40" t="n">
        <v>19690000</v>
      </c>
      <c r="G36" s="40" t="n">
        <v>18990000</v>
      </c>
      <c r="H36" s="26" t="n"/>
    </row>
    <row r="37">
      <c r="A37" t="inlineStr">
        <is>
          <t>MacBook Air 13" M4 16/256GB</t>
        </is>
      </c>
      <c r="B37" s="3" t="n"/>
      <c r="C37" s="53" t="n">
        <v>25290000</v>
      </c>
      <c r="D37" s="62" t="n">
        <v>24990000</v>
      </c>
      <c r="E37" s="37" t="n"/>
      <c r="F37" s="40" t="n">
        <v>24990000</v>
      </c>
      <c r="G37" s="40" t="n">
        <v>24290000</v>
      </c>
      <c r="H37" s="26" t="n"/>
    </row>
    <row r="38">
      <c r="A38" t="inlineStr">
        <is>
          <t>MacBook Air 15" M4 16/256GB</t>
        </is>
      </c>
      <c r="B38" s="25" t="n"/>
      <c r="C38" s="62" t="n">
        <v>29590000</v>
      </c>
      <c r="D38" s="62" t="n">
        <v>28990000</v>
      </c>
      <c r="E38" s="37" t="n"/>
      <c r="F38" s="40" t="n">
        <v>28990000</v>
      </c>
      <c r="G38" s="38" t="n">
        <v>28290000</v>
      </c>
      <c r="H38" s="26" t="n">
        <v>-1400</v>
      </c>
    </row>
    <row r="39">
      <c r="A39" t="inlineStr">
        <is>
          <t>MacBook Pro 14" M4 16/512GB</t>
        </is>
      </c>
      <c r="B39" s="25" t="n"/>
      <c r="C39" s="53" t="inlineStr">
        <is>
          <t>OOS</t>
        </is>
      </c>
      <c r="D39" s="64" t="n">
        <v>37990000</v>
      </c>
      <c r="E39" s="37" t="n"/>
      <c r="F39" s="40" t="n">
        <v>38590000</v>
      </c>
      <c r="G39" s="38" t="n">
        <v>38990000</v>
      </c>
      <c r="H39" s="26" t="n">
        <v>600</v>
      </c>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53" t="n"/>
      <c r="D41" s="64" t="n">
        <v>64990000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5.xml><?xml version="1.0" encoding="utf-8"?>
<worksheet xmlns="http://schemas.openxmlformats.org/spreadsheetml/2006/main">
  <sheetPr>
    <outlinePr summaryBelow="1" summaryRight="1"/>
    <pageSetUpPr/>
  </sheetPr>
  <dimension ref="A1:L153"/>
  <sheetViews>
    <sheetView zoomScaleNormal="10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3"/>
    <col width="11.125" bestFit="1" customWidth="1" style="35" min="4" max="4"/>
    <col width="10.125" bestFit="1" customWidth="1" style="35" min="5"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30990000</v>
      </c>
      <c r="D3" s="76" t="n">
        <v>30790000</v>
      </c>
      <c r="E3" s="25" t="n">
        <v>29990000</v>
      </c>
      <c r="F3" s="38" t="n">
        <v>30890000</v>
      </c>
      <c r="G3" s="38" t="n">
        <v>29990000</v>
      </c>
      <c r="H3" s="26" t="n">
        <v>-300</v>
      </c>
    </row>
    <row r="4">
      <c r="A4" t="inlineStr">
        <is>
          <t>iPhone 17 Pro 256GB</t>
        </is>
      </c>
      <c r="B4" s="83" t="n"/>
      <c r="C4" s="68" t="n">
        <v>34990000</v>
      </c>
      <c r="D4" s="76" t="n">
        <v>34790000</v>
      </c>
      <c r="E4" s="34" t="n">
        <v>33490000</v>
      </c>
      <c r="F4" s="38" t="n">
        <v>33990000</v>
      </c>
      <c r="G4" s="38" t="n">
        <v>34190000</v>
      </c>
      <c r="H4" s="26" t="n">
        <v>-100</v>
      </c>
    </row>
    <row r="5">
      <c r="A5" t="inlineStr">
        <is>
          <t>iPhone 17 Pro Max 256GB</t>
        </is>
      </c>
      <c r="B5" s="83" t="n"/>
      <c r="C5" s="68" t="n">
        <v>37990000</v>
      </c>
      <c r="D5" s="68" t="n">
        <v>37990000</v>
      </c>
      <c r="E5" s="34" t="n">
        <v>37190000</v>
      </c>
      <c r="F5" s="40" t="n">
        <v>37990000</v>
      </c>
      <c r="G5" s="40" t="n">
        <v>37490000</v>
      </c>
      <c r="H5" s="26" t="n"/>
    </row>
    <row r="6">
      <c r="A6" t="inlineStr">
        <is>
          <t>iPhone 16e  128GB</t>
        </is>
      </c>
      <c r="B6" s="83" t="n"/>
      <c r="C6" s="67" t="n">
        <v>14990000</v>
      </c>
      <c r="D6" s="68" t="n">
        <v>14990000</v>
      </c>
      <c r="E6" s="72" t="n">
        <v>12490000</v>
      </c>
      <c r="F6" s="72" t="n">
        <v>12490000</v>
      </c>
      <c r="G6" s="40" t="n">
        <v>15190000</v>
      </c>
      <c r="H6" s="26" t="n"/>
    </row>
    <row r="7">
      <c r="A7" t="inlineStr">
        <is>
          <t>iPhone 16  128GB</t>
        </is>
      </c>
      <c r="B7" s="71" t="n"/>
      <c r="C7" s="69" t="n">
        <v>21290000</v>
      </c>
      <c r="D7" s="73" t="n">
        <v>20990000</v>
      </c>
      <c r="E7" s="34" t="n">
        <v>20490000</v>
      </c>
      <c r="F7" s="38" t="n">
        <v>20990000</v>
      </c>
      <c r="G7" s="38" t="n">
        <v>20790000</v>
      </c>
      <c r="H7" s="26" t="n">
        <v>-200</v>
      </c>
    </row>
    <row r="8">
      <c r="A8" t="inlineStr">
        <is>
          <t>iPhone 16  Plus 128GB</t>
        </is>
      </c>
      <c r="B8" s="3" t="n"/>
      <c r="C8" s="54" t="n">
        <v>25090000</v>
      </c>
      <c r="D8" s="64" t="n">
        <v>24790000</v>
      </c>
      <c r="E8" s="34" t="n">
        <v>23490000</v>
      </c>
      <c r="F8" s="40" t="n">
        <v>24590000</v>
      </c>
      <c r="G8" s="40" t="n">
        <v>24490000</v>
      </c>
      <c r="H8" s="26" t="n"/>
    </row>
    <row r="9">
      <c r="A9" t="inlineStr">
        <is>
          <t>iPhone 16 Pro  128GB</t>
        </is>
      </c>
      <c r="B9" s="25" t="n"/>
      <c r="C9" s="40" t="inlineStr">
        <is>
          <t>OOS</t>
        </is>
      </c>
      <c r="D9" s="40" t="n">
        <v>25590000</v>
      </c>
      <c r="E9" s="25" t="n">
        <v>24990000</v>
      </c>
      <c r="F9" s="80" t="n">
        <v>25690000</v>
      </c>
      <c r="G9" s="40" t="n">
        <v>24990000</v>
      </c>
      <c r="H9" s="26" t="n"/>
    </row>
    <row r="10">
      <c r="A10" t="inlineStr">
        <is>
          <t>iPhone 16 Pro Max 256GB</t>
        </is>
      </c>
      <c r="B10" s="3" t="n"/>
      <c r="C10" s="53" t="n">
        <v>30590000</v>
      </c>
      <c r="D10" s="62" t="n">
        <v>30490000</v>
      </c>
      <c r="E10" s="25" t="n">
        <v>29690000</v>
      </c>
      <c r="F10" s="38" t="n">
        <v>30590000</v>
      </c>
      <c r="G10" s="40" t="n">
        <v>29690000</v>
      </c>
      <c r="H10" s="26" t="n"/>
    </row>
    <row r="11">
      <c r="A11" t="inlineStr">
        <is>
          <t>iPhone 15  128GB</t>
        </is>
      </c>
      <c r="B11" s="25" t="n"/>
      <c r="C11" s="53" t="n">
        <v>17290000</v>
      </c>
      <c r="D11" s="62" t="n">
        <v>16990000</v>
      </c>
      <c r="E11" s="34" t="n">
        <v>16690000</v>
      </c>
      <c r="F11" s="38" t="n">
        <v>16990000</v>
      </c>
      <c r="G11" s="40" t="n">
        <v>16590000</v>
      </c>
      <c r="H11" s="26" t="n"/>
    </row>
    <row r="12">
      <c r="A12" t="inlineStr">
        <is>
          <t>iPhone 15  Plus 128GB</t>
        </is>
      </c>
      <c r="B12" s="25" t="n"/>
      <c r="C12" s="53" t="n">
        <v>19590000</v>
      </c>
      <c r="D12" s="64" t="inlineStr">
        <is>
          <t>OOS</t>
        </is>
      </c>
      <c r="E12" s="25" t="n">
        <v>18490000</v>
      </c>
      <c r="F12" s="40" t="n">
        <v>17690000</v>
      </c>
      <c r="G12" s="40" t="n">
        <v>18490000</v>
      </c>
      <c r="H12" s="26" t="n"/>
    </row>
    <row r="13">
      <c r="A13" t="inlineStr">
        <is>
          <t>iPhone 14 128GB</t>
        </is>
      </c>
      <c r="B13" s="25" t="n"/>
      <c r="C13" s="53" t="n">
        <v>13990000</v>
      </c>
      <c r="D13" s="62" t="n">
        <v>13690000</v>
      </c>
      <c r="E13" s="25" t="n">
        <v>13390000</v>
      </c>
      <c r="F13" s="38" t="n">
        <v>13590000</v>
      </c>
      <c r="G13" s="38" t="n">
        <v>12990000</v>
      </c>
      <c r="H13" s="26" t="n">
        <v>-500</v>
      </c>
    </row>
    <row r="14">
      <c r="A14" t="inlineStr">
        <is>
          <t>iPhone 13  128GB</t>
        </is>
      </c>
      <c r="B14" s="3" t="n"/>
      <c r="C14" s="54" t="n">
        <v>12490000</v>
      </c>
      <c r="D14" s="54" t="n">
        <v>12190000</v>
      </c>
      <c r="E14" s="25" t="n">
        <v>11990000</v>
      </c>
      <c r="F14" s="38" t="n">
        <v>12190000</v>
      </c>
      <c r="G14" s="40" t="n">
        <v>11890000</v>
      </c>
      <c r="H14" s="26" t="n"/>
    </row>
    <row r="15">
      <c r="A15" t="inlineStr">
        <is>
          <t>iPad Mini 7 128GB Wifi</t>
        </is>
      </c>
      <c r="B15" s="25" t="n"/>
      <c r="C15" s="54" t="n">
        <v>13590000</v>
      </c>
      <c r="D15" s="64" t="n">
        <v>13590000</v>
      </c>
      <c r="E15" s="34" t="n">
        <v>13290000</v>
      </c>
      <c r="F15" s="38" t="n">
        <v>13590000</v>
      </c>
      <c r="G15" s="40" t="n">
        <v>11590000</v>
      </c>
      <c r="H15" s="26" t="n"/>
    </row>
    <row r="16">
      <c r="A16" t="inlineStr">
        <is>
          <t>iPad Gen 11th  128GB Wifi</t>
        </is>
      </c>
      <c r="B16" s="3" t="n"/>
      <c r="C16" s="54" t="n">
        <v>9390000</v>
      </c>
      <c r="D16" s="62" t="n">
        <v>9490000</v>
      </c>
      <c r="E16" s="34" t="n">
        <v>9190000</v>
      </c>
      <c r="F16" s="38" t="n">
        <v>9390000</v>
      </c>
      <c r="G16" s="38" t="n">
        <v>8890000</v>
      </c>
      <c r="H16" s="26" t="n">
        <v>500</v>
      </c>
      <c r="J16" t="inlineStr">
        <is>
          <t xml:space="preserve">MW </t>
        </is>
      </c>
      <c r="K16" t="inlineStr">
        <is>
          <t>Duy</t>
        </is>
      </c>
      <c r="L16" t="b">
        <v>1</v>
      </c>
    </row>
    <row r="17">
      <c r="A17" t="inlineStr">
        <is>
          <t>iPad Air M3  11" 128 GB Wifi</t>
        </is>
      </c>
      <c r="B17" s="3" t="n"/>
      <c r="C17" s="54" t="n">
        <v>16190000</v>
      </c>
      <c r="D17" s="62" t="n">
        <v>16190000</v>
      </c>
      <c r="E17" s="34" t="n">
        <v>15590000</v>
      </c>
      <c r="F17" s="38" t="n">
        <v>16190000</v>
      </c>
      <c r="G17" s="38" t="n">
        <v>15490000</v>
      </c>
      <c r="H17" s="26" t="n">
        <v>2300</v>
      </c>
      <c r="I17" s="26" t="n"/>
      <c r="J17" t="inlineStr">
        <is>
          <t>FPT</t>
        </is>
      </c>
      <c r="K17" t="inlineStr">
        <is>
          <t>Trang</t>
        </is>
      </c>
      <c r="L17" t="b">
        <v>1</v>
      </c>
    </row>
    <row r="18">
      <c r="A18" t="inlineStr">
        <is>
          <t>iPad Air M3  13" 128 GB Wifi</t>
        </is>
      </c>
      <c r="B18" s="25" t="n"/>
      <c r="C18" s="54" t="n">
        <v>21490000</v>
      </c>
      <c r="D18" s="62" t="n">
        <v>21490000</v>
      </c>
      <c r="E18" s="25" t="n">
        <v>20490000</v>
      </c>
      <c r="F18" s="38" t="n">
        <v>21490000</v>
      </c>
      <c r="G18" s="34" t="n">
        <v>21390000</v>
      </c>
      <c r="H18" s="79" t="n">
        <v>2500</v>
      </c>
      <c r="J18" t="inlineStr">
        <is>
          <t>Viettel</t>
        </is>
      </c>
      <c r="K18" t="inlineStr">
        <is>
          <t>Nghĩa</t>
        </is>
      </c>
      <c r="L18" t="b">
        <v>1</v>
      </c>
    </row>
    <row r="19">
      <c r="A19" t="inlineStr">
        <is>
          <t>iPad Pro  M4  11" 256 GB Wifi</t>
        </is>
      </c>
      <c r="B19" s="25" t="n"/>
      <c r="C19" s="25" t="inlineStr">
        <is>
          <t>OOS</t>
        </is>
      </c>
      <c r="D19" s="64" t="n">
        <v>27990000</v>
      </c>
      <c r="E19" s="25" t="inlineStr">
        <is>
          <t>OOS</t>
        </is>
      </c>
      <c r="F19" s="38" t="n">
        <v>27990000</v>
      </c>
      <c r="G19" s="34" t="n">
        <v>27190000</v>
      </c>
      <c r="H19" s="26" t="n">
        <v>-800</v>
      </c>
      <c r="J19" t="inlineStr">
        <is>
          <t>CPS</t>
        </is>
      </c>
      <c r="K19" t="inlineStr">
        <is>
          <t>Hải</t>
        </is>
      </c>
      <c r="L19" t="b">
        <v>1</v>
      </c>
    </row>
    <row r="20">
      <c r="A20" t="inlineStr">
        <is>
          <t>iPad Pro  M4  13" 256 GB Wifi</t>
        </is>
      </c>
      <c r="B20" s="3" t="n"/>
      <c r="C20" s="25" t="inlineStr">
        <is>
          <t>OOS</t>
        </is>
      </c>
      <c r="D20" s="64" t="n">
        <v>36290000</v>
      </c>
      <c r="E20" s="34" t="n">
        <v>34290000</v>
      </c>
      <c r="F20" s="40" t="n">
        <v>36490000</v>
      </c>
      <c r="G20" s="40" t="n">
        <v>33690000</v>
      </c>
      <c r="H20" s="26" t="n"/>
      <c r="J20" t="inlineStr">
        <is>
          <t>ShopDunk</t>
        </is>
      </c>
      <c r="K20" t="inlineStr">
        <is>
          <t>Đạt</t>
        </is>
      </c>
      <c r="L20" t="b">
        <v>1</v>
      </c>
    </row>
    <row r="21">
      <c r="A21" t="inlineStr">
        <is>
          <t>iPad Pro M5 11” 256GB Wifi</t>
        </is>
      </c>
      <c r="B21" s="3" t="n"/>
      <c r="C21" s="64" t="n">
        <v>29990000</v>
      </c>
      <c r="D21" s="64" t="n">
        <v>29990000</v>
      </c>
      <c r="E21" s="34" t="n">
        <v>28990000</v>
      </c>
      <c r="F21" s="40" t="n">
        <v>29990000</v>
      </c>
      <c r="G21" s="40" t="n">
        <v>29590000</v>
      </c>
      <c r="H21" s="26" t="n"/>
    </row>
    <row r="22">
      <c r="A22" t="inlineStr">
        <is>
          <t>iPad Pro M5 13” 256GB Wifi</t>
        </is>
      </c>
      <c r="B22" s="3" t="n"/>
      <c r="C22" s="25" t="n">
        <v>39990000</v>
      </c>
      <c r="D22" s="25" t="n">
        <v>39990000</v>
      </c>
      <c r="E22" s="34" t="n">
        <v>38990000</v>
      </c>
      <c r="F22" s="40" t="n">
        <v>39990000</v>
      </c>
      <c r="G22" s="40" t="n">
        <v>39590000</v>
      </c>
      <c r="H22" s="26" t="n"/>
    </row>
    <row r="23">
      <c r="A23" t="inlineStr">
        <is>
          <t>AW SE 3 (40mm GPS)</t>
        </is>
      </c>
      <c r="B23" s="25" t="n"/>
      <c r="C23" s="62" t="n">
        <v>6190000</v>
      </c>
      <c r="D23" s="62" t="n">
        <v>6090000</v>
      </c>
      <c r="E23" s="25" t="n">
        <v>6590000</v>
      </c>
      <c r="F23" s="80" t="n">
        <v>5990000</v>
      </c>
      <c r="G23" s="39" t="n">
        <v>6690000</v>
      </c>
      <c r="H23" s="26" t="n"/>
    </row>
    <row r="24">
      <c r="A24" t="inlineStr">
        <is>
          <t>AW SE 3 (40mm LTE)</t>
        </is>
      </c>
      <c r="B24" s="25" t="n"/>
      <c r="C24" s="62" t="n">
        <v>8090000</v>
      </c>
      <c r="D24" s="62" t="n">
        <v>8090000</v>
      </c>
      <c r="E24" s="25" t="n">
        <v>7990000</v>
      </c>
      <c r="F24" s="80" t="n">
        <v>8190000</v>
      </c>
      <c r="G24" s="40" t="n">
        <v>8290000</v>
      </c>
      <c r="H24" s="26" t="n"/>
    </row>
    <row r="25">
      <c r="A25" t="inlineStr">
        <is>
          <t>AW SE 3 (44mm GPS)</t>
        </is>
      </c>
      <c r="B25" s="25" t="n"/>
      <c r="C25" s="62" t="n">
        <v>7190000</v>
      </c>
      <c r="D25" s="62" t="n">
        <v>7190000</v>
      </c>
      <c r="E25" s="25" t="n">
        <v>7290000</v>
      </c>
      <c r="F25" s="80" t="n">
        <v>7290000</v>
      </c>
      <c r="G25" s="40" t="n">
        <v>7590000</v>
      </c>
      <c r="H25" s="26" t="n"/>
    </row>
    <row r="26">
      <c r="A26" t="inlineStr">
        <is>
          <t>AW SE 3 (44mm LTE)</t>
        </is>
      </c>
      <c r="B26" s="25" t="n"/>
      <c r="C26" s="62" t="n">
        <v>8790000</v>
      </c>
      <c r="D26" s="62" t="n">
        <v>8790000</v>
      </c>
      <c r="E26" s="25" t="n">
        <v>8790000</v>
      </c>
      <c r="F26" s="40" t="n">
        <v>8990000</v>
      </c>
      <c r="G26" s="40" t="n">
        <v>8990000</v>
      </c>
      <c r="H26" s="26" t="n"/>
    </row>
    <row r="27">
      <c r="A27" t="inlineStr">
        <is>
          <t>AW S11 (42mm GPS)</t>
        </is>
      </c>
      <c r="B27" s="3" t="n"/>
      <c r="C27" s="62" t="n">
        <v>10690000</v>
      </c>
      <c r="D27" s="62" t="n">
        <v>10690000</v>
      </c>
      <c r="E27" s="34" t="n">
        <v>10790000</v>
      </c>
      <c r="F27" s="38" t="n">
        <v>10890000</v>
      </c>
      <c r="G27" s="40" t="n">
        <v>11090000</v>
      </c>
      <c r="H27" s="26" t="n"/>
    </row>
    <row r="28">
      <c r="A28" t="inlineStr">
        <is>
          <t>AW S11 (42mm CEL)</t>
        </is>
      </c>
      <c r="B28" s="3" t="n"/>
      <c r="C28" s="62" t="n">
        <v>14090000</v>
      </c>
      <c r="D28" s="62" t="n">
        <v>14190000</v>
      </c>
      <c r="E28" s="25" t="n">
        <v>13590000</v>
      </c>
      <c r="F28" s="40" t="n">
        <v>14290000</v>
      </c>
      <c r="G28" s="40" t="n">
        <v>14290000</v>
      </c>
      <c r="H28" s="26" t="n"/>
    </row>
    <row r="29">
      <c r="A29" t="inlineStr">
        <is>
          <t>AW S11 (46mm GPS)</t>
        </is>
      </c>
      <c r="B29" s="3" t="n"/>
      <c r="C29" s="62" t="n">
        <v>11890000</v>
      </c>
      <c r="D29" s="62" t="n">
        <v>11790000</v>
      </c>
      <c r="E29" s="34" t="n">
        <v>12190000</v>
      </c>
      <c r="F29" s="80" t="n">
        <v>11790000</v>
      </c>
      <c r="G29" s="40" t="n">
        <v>11990000</v>
      </c>
      <c r="H29" s="26" t="n"/>
    </row>
    <row r="30">
      <c r="A30" t="inlineStr">
        <is>
          <t>AW S11 (46mm CEL)</t>
        </is>
      </c>
      <c r="B30" s="3" t="n"/>
      <c r="C30" s="62" t="n">
        <v>14990000</v>
      </c>
      <c r="D30" s="62" t="n">
        <v>19900000</v>
      </c>
      <c r="E30" s="25" t="n">
        <v>14390000</v>
      </c>
      <c r="F30" s="38" t="n">
        <v>15090000</v>
      </c>
      <c r="G30" s="39" t="n">
        <v>15290000</v>
      </c>
      <c r="H30" s="26" t="n"/>
    </row>
    <row r="31">
      <c r="A31" t="inlineStr">
        <is>
          <t>AW Ultra 3 (49mm)</t>
        </is>
      </c>
      <c r="B31" s="25" t="n"/>
      <c r="C31" s="62" t="n">
        <v>23590000</v>
      </c>
      <c r="D31" s="62" t="n">
        <v>23590000</v>
      </c>
      <c r="E31" s="25" t="n">
        <v>23490000</v>
      </c>
      <c r="F31" s="38" t="n">
        <v>23590000</v>
      </c>
      <c r="G31" s="39" t="n">
        <v>23990000</v>
      </c>
      <c r="H31" s="26" t="n"/>
    </row>
    <row r="32">
      <c r="A32" t="inlineStr">
        <is>
          <t>AirPods Pro 2 - 2023 (C-Type)</t>
        </is>
      </c>
      <c r="B32" s="3" t="n"/>
      <c r="C32" s="54" t="n">
        <v>5190000</v>
      </c>
      <c r="D32" s="62" t="n">
        <v>5290000</v>
      </c>
      <c r="E32" s="34" t="n">
        <v>4290000</v>
      </c>
      <c r="F32" s="38" t="n">
        <v>5190000</v>
      </c>
      <c r="G32" s="39" t="n">
        <v>5590000</v>
      </c>
      <c r="H32" s="26" t="n"/>
    </row>
    <row r="33">
      <c r="A33" t="inlineStr">
        <is>
          <t>AirPods 4 ANC</t>
        </is>
      </c>
      <c r="B33" s="3" t="n"/>
      <c r="C33" s="54" t="n">
        <v>4790000</v>
      </c>
      <c r="D33" s="62" t="n">
        <v>4690000</v>
      </c>
      <c r="E33" s="34" t="n">
        <v>4490000</v>
      </c>
      <c r="F33" s="38" t="n">
        <v>4690000</v>
      </c>
      <c r="G33" s="34" t="n">
        <v>4490000</v>
      </c>
      <c r="H33" s="26" t="n">
        <v>100</v>
      </c>
    </row>
    <row r="34">
      <c r="A34" t="inlineStr">
        <is>
          <t>AirPods 4 with charging case</t>
        </is>
      </c>
      <c r="B34" s="3" t="n"/>
      <c r="C34" s="54" t="n">
        <v>3590000</v>
      </c>
      <c r="D34" s="62" t="n">
        <v>3550000</v>
      </c>
      <c r="E34" s="34" t="n">
        <v>3290000</v>
      </c>
      <c r="F34" s="34" t="n">
        <v>3550000</v>
      </c>
      <c r="G34" s="38" t="n">
        <v>3390000</v>
      </c>
      <c r="H34" s="26" t="n">
        <v>400</v>
      </c>
    </row>
    <row r="35">
      <c r="A35" t="inlineStr">
        <is>
          <t>AirPods Pro 3</t>
        </is>
      </c>
      <c r="B35" s="3" t="n"/>
      <c r="C35" s="38" t="n">
        <v>6790000</v>
      </c>
      <c r="D35" s="62" t="n">
        <v>6790000</v>
      </c>
      <c r="E35" s="72" t="n">
        <v>6490000</v>
      </c>
      <c r="F35" s="40" t="n">
        <v>6790000</v>
      </c>
      <c r="G35" s="38" t="n">
        <v>6590000</v>
      </c>
      <c r="H35" s="26" t="n">
        <v>200</v>
      </c>
    </row>
    <row r="36">
      <c r="A36" t="inlineStr">
        <is>
          <t>MacBook Air 13" M2 16/256GB</t>
        </is>
      </c>
      <c r="B36" s="25" t="n"/>
      <c r="C36" s="53" t="n">
        <v>19690000</v>
      </c>
      <c r="D36" s="64" t="n">
        <v>19690000</v>
      </c>
      <c r="E36" s="37" t="n"/>
      <c r="F36" s="40" t="n">
        <v>19690000</v>
      </c>
      <c r="G36" s="40" t="n">
        <v>18990000</v>
      </c>
      <c r="H36" s="26" t="n"/>
    </row>
    <row r="37">
      <c r="A37" t="inlineStr">
        <is>
          <t>MacBook Air 13" M4 16/256GB</t>
        </is>
      </c>
      <c r="B37" s="3" t="n"/>
      <c r="C37" s="53" t="n">
        <v>25290000</v>
      </c>
      <c r="D37" s="64" t="n">
        <v>24990000</v>
      </c>
      <c r="E37" s="37" t="n"/>
      <c r="F37" s="40" t="n">
        <v>24990000</v>
      </c>
      <c r="G37" s="40" t="n">
        <v>24490000</v>
      </c>
      <c r="H37" s="26" t="n">
        <v>200</v>
      </c>
    </row>
    <row r="38">
      <c r="A38" t="inlineStr">
        <is>
          <t>MacBook Air 15" M4 16/256GB</t>
        </is>
      </c>
      <c r="B38" s="25" t="n"/>
      <c r="C38" s="62" t="n">
        <v>29290000</v>
      </c>
      <c r="D38" s="62" t="n">
        <v>29990000</v>
      </c>
      <c r="E38" s="37" t="n"/>
      <c r="F38" s="38" t="n">
        <v>29990000</v>
      </c>
      <c r="G38" s="38" t="n">
        <v>29990000</v>
      </c>
      <c r="H38" s="26" t="n">
        <v>1700</v>
      </c>
    </row>
    <row r="39">
      <c r="A39" t="inlineStr">
        <is>
          <t>MacBook Pro 14" M4 16/512GB</t>
        </is>
      </c>
      <c r="B39" s="25" t="n"/>
      <c r="C39" s="53" t="inlineStr">
        <is>
          <t>OOS</t>
        </is>
      </c>
      <c r="D39" s="64" t="n">
        <v>37990000</v>
      </c>
      <c r="E39" s="37" t="n"/>
      <c r="F39" s="40" t="n">
        <v>38590000</v>
      </c>
      <c r="G39" s="38" t="n">
        <v>38390000</v>
      </c>
      <c r="H39" s="26" t="n">
        <v>-600</v>
      </c>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53" t="n"/>
      <c r="D41" s="64" t="n">
        <v>64990000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6.xml><?xml version="1.0" encoding="utf-8"?>
<worksheet xmlns="http://schemas.openxmlformats.org/spreadsheetml/2006/main">
  <sheetPr>
    <outlinePr summaryBelow="1" summaryRight="1"/>
    <pageSetUpPr/>
  </sheetPr>
  <dimension ref="A1:L153"/>
  <sheetViews>
    <sheetView zoomScale="130"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3"/>
    <col width="11.125" bestFit="1" customWidth="1" style="35" min="4" max="4"/>
    <col width="10.125" bestFit="1" customWidth="1" style="35" min="5"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68" t="n">
        <v>24990000</v>
      </c>
      <c r="E2" s="72" t="n">
        <v>24490000</v>
      </c>
      <c r="F2" s="40" t="n">
        <v>24990000</v>
      </c>
      <c r="G2" s="40" t="n">
        <v>24990000</v>
      </c>
    </row>
    <row r="3">
      <c r="A3" t="inlineStr">
        <is>
          <t>iPhone Air 256G</t>
        </is>
      </c>
      <c r="B3" s="83" t="n"/>
      <c r="C3" s="68" t="n">
        <v>30990000</v>
      </c>
      <c r="D3" s="68" t="n">
        <v>30790000</v>
      </c>
      <c r="E3" s="25" t="n">
        <v>29990000</v>
      </c>
      <c r="F3" s="38" t="n">
        <v>30790000</v>
      </c>
      <c r="G3" s="40" t="n">
        <v>29990000</v>
      </c>
      <c r="H3" s="26" t="n"/>
    </row>
    <row r="4">
      <c r="A4" t="inlineStr">
        <is>
          <t>iPhone 17 Pro 256GB</t>
        </is>
      </c>
      <c r="B4" s="83" t="n"/>
      <c r="C4" s="68" t="n">
        <v>34990000</v>
      </c>
      <c r="D4" s="76" t="n">
        <v>33990000</v>
      </c>
      <c r="E4" s="25" t="n">
        <v>33490000</v>
      </c>
      <c r="F4" s="38" t="n">
        <v>34590000</v>
      </c>
      <c r="G4" s="38" t="n">
        <v>33990000</v>
      </c>
      <c r="H4" s="26" t="n">
        <v>-200</v>
      </c>
    </row>
    <row r="5">
      <c r="A5" t="inlineStr">
        <is>
          <t>iPhone 17 Pro Max 256GB</t>
        </is>
      </c>
      <c r="B5" s="83" t="n"/>
      <c r="C5" s="68" t="n">
        <v>37990000</v>
      </c>
      <c r="D5" s="68" t="n">
        <v>37990000</v>
      </c>
      <c r="E5" s="34" t="n">
        <v>36490000</v>
      </c>
      <c r="F5" s="38" t="n">
        <v>37890000</v>
      </c>
      <c r="G5" s="38" t="n">
        <v>37290000</v>
      </c>
      <c r="H5" s="26" t="n">
        <v>-200</v>
      </c>
    </row>
    <row r="6">
      <c r="A6" t="inlineStr">
        <is>
          <t>iPhone 16e  128GB</t>
        </is>
      </c>
      <c r="B6" s="83" t="n"/>
      <c r="C6" s="67" t="n">
        <v>14990000</v>
      </c>
      <c r="D6" s="68" t="n">
        <v>14990000</v>
      </c>
      <c r="E6" s="72" t="n">
        <v>12490000</v>
      </c>
      <c r="F6" s="72" t="n">
        <v>12490000</v>
      </c>
      <c r="G6" s="40" t="n">
        <v>15190000</v>
      </c>
      <c r="H6" s="26" t="n"/>
    </row>
    <row r="7">
      <c r="A7" t="inlineStr">
        <is>
          <t>iPhone 16  128GB</t>
        </is>
      </c>
      <c r="B7" s="71" t="n"/>
      <c r="C7" s="69" t="n">
        <v>21290000</v>
      </c>
      <c r="D7" s="70" t="n">
        <v>20990000</v>
      </c>
      <c r="E7" s="25" t="n">
        <v>20490000</v>
      </c>
      <c r="F7" s="40" t="n">
        <v>20990000</v>
      </c>
      <c r="G7" s="38" t="n">
        <v>20590000</v>
      </c>
      <c r="H7" s="26" t="n">
        <v>-200</v>
      </c>
    </row>
    <row r="8">
      <c r="A8" t="inlineStr">
        <is>
          <t>iPhone 16  Plus 128GB</t>
        </is>
      </c>
      <c r="B8" s="3" t="n"/>
      <c r="C8" s="53" t="n">
        <v>25090000</v>
      </c>
      <c r="D8" s="64" t="n">
        <v>24790000</v>
      </c>
      <c r="E8" s="25" t="n">
        <v>23490000</v>
      </c>
      <c r="F8" s="40" t="n">
        <v>24690000</v>
      </c>
      <c r="G8" s="38" t="n">
        <v>23990000</v>
      </c>
      <c r="H8" s="26" t="n">
        <v>-500</v>
      </c>
    </row>
    <row r="9">
      <c r="A9" t="inlineStr">
        <is>
          <t>iPhone 16 Pro  128GB</t>
        </is>
      </c>
      <c r="B9" s="25" t="n"/>
      <c r="C9" s="40" t="n">
        <v>25590000</v>
      </c>
      <c r="D9" s="40" t="n">
        <v>25590000</v>
      </c>
      <c r="E9" s="25" t="n">
        <v>24990000</v>
      </c>
      <c r="F9" s="38" t="n">
        <v>25490000</v>
      </c>
      <c r="G9" s="40" t="n">
        <v>24990000</v>
      </c>
      <c r="H9" s="26" t="n"/>
    </row>
    <row r="10">
      <c r="A10" t="inlineStr">
        <is>
          <t>iPhone 16 Pro Max 256GB</t>
        </is>
      </c>
      <c r="B10" s="3" t="n"/>
      <c r="C10" s="54" t="n">
        <v>31590000</v>
      </c>
      <c r="D10" s="62" t="n">
        <v>31490000</v>
      </c>
      <c r="E10" s="25" t="n">
        <v>30990000</v>
      </c>
      <c r="F10" s="38" t="n">
        <v>31390000</v>
      </c>
      <c r="G10" s="38" t="n">
        <v>29990000</v>
      </c>
      <c r="H10" s="26" t="n">
        <v>300</v>
      </c>
    </row>
    <row r="11">
      <c r="A11" t="inlineStr">
        <is>
          <t>iPhone 15  128GB</t>
        </is>
      </c>
      <c r="B11" s="25" t="n"/>
      <c r="C11" s="53" t="n">
        <v>17290000</v>
      </c>
      <c r="D11" s="62" t="n">
        <v>17090000</v>
      </c>
      <c r="E11" s="25" t="n">
        <v>16690000</v>
      </c>
      <c r="F11" s="40" t="n">
        <v>16990000</v>
      </c>
      <c r="G11" s="40" t="n">
        <v>16590000</v>
      </c>
      <c r="H11" s="26" t="n"/>
    </row>
    <row r="12">
      <c r="A12" t="inlineStr">
        <is>
          <t>iPhone 15  Plus 128GB</t>
        </is>
      </c>
      <c r="B12" s="25" t="n"/>
      <c r="C12" s="53" t="n">
        <v>19590000</v>
      </c>
      <c r="D12" s="64" t="inlineStr">
        <is>
          <t>OOS</t>
        </is>
      </c>
      <c r="E12" s="64" t="inlineStr">
        <is>
          <t>OOS</t>
        </is>
      </c>
      <c r="F12" s="40" t="n">
        <v>17690000</v>
      </c>
      <c r="G12" s="40" t="n">
        <v>18490000</v>
      </c>
      <c r="H12" s="26" t="n"/>
    </row>
    <row r="13">
      <c r="A13" t="inlineStr">
        <is>
          <t>iPhone 14 128GB</t>
        </is>
      </c>
      <c r="B13" s="25" t="n"/>
      <c r="C13" s="53" t="n">
        <v>13990000</v>
      </c>
      <c r="D13" s="64" t="n">
        <v>13690000</v>
      </c>
      <c r="E13" s="25" t="n">
        <v>13390000</v>
      </c>
      <c r="F13" s="40" t="n">
        <v>13590000</v>
      </c>
      <c r="G13" s="40" t="n">
        <v>12990000</v>
      </c>
      <c r="H13" s="26" t="n">
        <v>-500</v>
      </c>
    </row>
    <row r="14">
      <c r="A14" t="inlineStr">
        <is>
          <t>iPhone 13  128GB</t>
        </is>
      </c>
      <c r="B14" s="3" t="n"/>
      <c r="C14" s="53" t="n">
        <v>12490000</v>
      </c>
      <c r="D14" s="54" t="n">
        <v>11990000</v>
      </c>
      <c r="E14" s="25" t="n">
        <v>11990000</v>
      </c>
      <c r="F14" s="40" t="n">
        <v>12190000</v>
      </c>
      <c r="G14" s="40" t="n">
        <v>11890000</v>
      </c>
      <c r="H14" s="26" t="n"/>
    </row>
    <row r="15">
      <c r="A15" t="inlineStr">
        <is>
          <t>iPad Mini 7 128GB Wifi</t>
        </is>
      </c>
      <c r="B15" s="25" t="n"/>
      <c r="C15" s="53" t="n">
        <v>13590000</v>
      </c>
      <c r="D15" s="64" t="n">
        <v>13590000</v>
      </c>
      <c r="E15" s="25" t="n">
        <v>13290000</v>
      </c>
      <c r="F15" s="40" t="n">
        <v>13590000</v>
      </c>
      <c r="G15" s="40" t="n">
        <v>11590000</v>
      </c>
      <c r="H15" s="26" t="n"/>
    </row>
    <row r="16">
      <c r="A16" t="inlineStr">
        <is>
          <t>iPad Gen 11th  128GB Wifi</t>
        </is>
      </c>
      <c r="B16" s="3" t="n"/>
      <c r="C16" s="53" t="n">
        <v>9390000</v>
      </c>
      <c r="D16" s="62" t="n">
        <v>9190000</v>
      </c>
      <c r="E16" s="25" t="n">
        <v>9190000</v>
      </c>
      <c r="F16" s="40" t="n">
        <v>9390000</v>
      </c>
      <c r="G16" s="40" t="n">
        <v>8890000</v>
      </c>
      <c r="H16" s="26" t="n"/>
      <c r="J16" t="inlineStr">
        <is>
          <t xml:space="preserve">MW </t>
        </is>
      </c>
      <c r="K16" t="inlineStr">
        <is>
          <t>Duy</t>
        </is>
      </c>
      <c r="L16" t="b">
        <v>1</v>
      </c>
    </row>
    <row r="17">
      <c r="A17" t="inlineStr">
        <is>
          <t>iPad Air M3  11" 128 GB Wifi</t>
        </is>
      </c>
      <c r="B17" s="3" t="n"/>
      <c r="C17" s="53" t="n">
        <v>16190000</v>
      </c>
      <c r="D17" s="64" t="n">
        <v>16190000</v>
      </c>
      <c r="E17" s="25" t="n">
        <v>15590000</v>
      </c>
      <c r="F17" s="40" t="n">
        <v>16190000</v>
      </c>
      <c r="G17" s="40" t="n">
        <v>15490000</v>
      </c>
      <c r="H17" s="26" t="n"/>
      <c r="I17" s="26" t="n"/>
      <c r="J17" t="inlineStr">
        <is>
          <t>FPT</t>
        </is>
      </c>
      <c r="K17" t="inlineStr">
        <is>
          <t>Trang</t>
        </is>
      </c>
      <c r="L17" t="b">
        <v>1</v>
      </c>
    </row>
    <row r="18">
      <c r="A18" t="inlineStr">
        <is>
          <t>iPad Air M3  13" 128 GB Wifi</t>
        </is>
      </c>
      <c r="B18" s="25" t="n"/>
      <c r="C18" s="53" t="n">
        <v>21490000</v>
      </c>
      <c r="D18" s="64" t="n">
        <v>21490000</v>
      </c>
      <c r="E18" s="25" t="n">
        <v>20490000</v>
      </c>
      <c r="F18" s="40" t="n">
        <v>21490000</v>
      </c>
      <c r="G18" s="40" t="n">
        <v>21390000</v>
      </c>
      <c r="H18" s="79" t="n"/>
      <c r="J18" t="inlineStr">
        <is>
          <t>Viettel</t>
        </is>
      </c>
      <c r="K18" t="inlineStr">
        <is>
          <t>Nghĩa</t>
        </is>
      </c>
      <c r="L18" t="b">
        <v>1</v>
      </c>
    </row>
    <row r="19">
      <c r="A19" t="inlineStr">
        <is>
          <t>iPad Pro  M4  11" 256 GB Wifi</t>
        </is>
      </c>
      <c r="B19" s="25" t="n"/>
      <c r="C19" s="25" t="inlineStr">
        <is>
          <t>OOS</t>
        </is>
      </c>
      <c r="D19" s="64" t="n">
        <v>27990000</v>
      </c>
      <c r="E19" s="25" t="inlineStr">
        <is>
          <t>OOS</t>
        </is>
      </c>
      <c r="F19" s="40" t="n">
        <v>27990000</v>
      </c>
      <c r="G19" s="40" t="n">
        <v>27190000</v>
      </c>
      <c r="H19" s="26" t="n"/>
      <c r="J19" t="inlineStr">
        <is>
          <t>CPS</t>
        </is>
      </c>
      <c r="K19" t="inlineStr">
        <is>
          <t>Hải</t>
        </is>
      </c>
      <c r="L19" t="b">
        <v>1</v>
      </c>
    </row>
    <row r="20">
      <c r="A20" t="inlineStr">
        <is>
          <t>iPad Pro  M4  13" 256 GB Wifi</t>
        </is>
      </c>
      <c r="B20" s="3" t="n"/>
      <c r="C20" s="25" t="inlineStr">
        <is>
          <t>OOS</t>
        </is>
      </c>
      <c r="D20" s="64" t="n">
        <v>36290000</v>
      </c>
      <c r="E20" s="25" t="inlineStr">
        <is>
          <t>OOS</t>
        </is>
      </c>
      <c r="F20" s="40" t="n">
        <v>36490000</v>
      </c>
      <c r="G20" s="40" t="n">
        <v>33690000</v>
      </c>
      <c r="H20" s="26" t="n"/>
      <c r="J20" t="inlineStr">
        <is>
          <t>ShopDunk</t>
        </is>
      </c>
      <c r="K20" t="inlineStr">
        <is>
          <t>Đạt</t>
        </is>
      </c>
      <c r="L20" t="b">
        <v>1</v>
      </c>
    </row>
    <row r="21">
      <c r="A21" t="inlineStr">
        <is>
          <t>iPad Pro M5 11” 256GB Wifi</t>
        </is>
      </c>
      <c r="B21" s="3" t="n"/>
      <c r="C21" s="64" t="n">
        <v>29990000</v>
      </c>
      <c r="D21" s="64" t="n">
        <v>29990000</v>
      </c>
      <c r="E21" s="25" t="n">
        <v>28990000</v>
      </c>
      <c r="F21" s="40" t="n">
        <v>29990000</v>
      </c>
      <c r="G21" s="38" t="n">
        <v>28990000</v>
      </c>
      <c r="H21" s="26" t="n">
        <v>-600</v>
      </c>
    </row>
    <row r="22">
      <c r="A22" t="inlineStr">
        <is>
          <t>iPad Pro M5 13” 256GB Wifi</t>
        </is>
      </c>
      <c r="B22" s="3" t="n"/>
      <c r="C22" s="25" t="n">
        <v>39990000</v>
      </c>
      <c r="D22" s="25" t="n">
        <v>39990000</v>
      </c>
      <c r="E22" s="25" t="n">
        <v>38990000</v>
      </c>
      <c r="F22" s="40" t="n">
        <v>39990000</v>
      </c>
      <c r="G22" s="40" t="n">
        <v>39590000</v>
      </c>
      <c r="H22" s="26" t="n"/>
    </row>
    <row r="23">
      <c r="A23" t="inlineStr">
        <is>
          <t>AW SE 3 (40mm GPS)</t>
        </is>
      </c>
      <c r="B23" s="25" t="n"/>
      <c r="C23" s="62" t="n">
        <v>5990000</v>
      </c>
      <c r="D23" s="62" t="n">
        <v>5890000</v>
      </c>
      <c r="E23" s="34" t="n">
        <v>6190000</v>
      </c>
      <c r="F23" s="40" t="n">
        <v>5990000</v>
      </c>
      <c r="G23" s="39" t="n">
        <v>6690000</v>
      </c>
      <c r="H23" s="26" t="n"/>
    </row>
    <row r="24">
      <c r="A24" t="inlineStr">
        <is>
          <t>AW SE 3 (40mm LTE)</t>
        </is>
      </c>
      <c r="B24" s="25" t="n"/>
      <c r="C24" s="62" t="n">
        <v>7990000</v>
      </c>
      <c r="D24" s="62" t="n">
        <v>7990000</v>
      </c>
      <c r="E24" s="34" t="n">
        <v>7690000</v>
      </c>
      <c r="F24" s="38" t="n">
        <v>7990000</v>
      </c>
      <c r="G24" s="38" t="n">
        <v>7990000</v>
      </c>
      <c r="H24" s="26" t="n">
        <v>-300</v>
      </c>
    </row>
    <row r="25">
      <c r="A25" t="inlineStr">
        <is>
          <t>AW SE 3 (44mm GPS)</t>
        </is>
      </c>
      <c r="B25" s="25" t="n"/>
      <c r="C25" s="64" t="n">
        <v>7190000</v>
      </c>
      <c r="D25" s="64" t="n">
        <v>7190000</v>
      </c>
      <c r="E25" s="34" t="n">
        <v>7190000</v>
      </c>
      <c r="F25" s="38" t="n">
        <v>7190000</v>
      </c>
      <c r="G25" s="38" t="n">
        <v>7190000</v>
      </c>
      <c r="H25" s="26" t="n">
        <v>-400</v>
      </c>
    </row>
    <row r="26">
      <c r="A26" t="inlineStr">
        <is>
          <t>AW SE 3 (44mm LTE)</t>
        </is>
      </c>
      <c r="B26" s="25" t="n"/>
      <c r="C26" s="64" t="n">
        <v>8790000</v>
      </c>
      <c r="D26" s="62" t="n">
        <v>8790000</v>
      </c>
      <c r="E26" s="34" t="n">
        <v>8490000</v>
      </c>
      <c r="F26" s="38" t="n">
        <v>8790000</v>
      </c>
      <c r="G26" s="40" t="n">
        <v>8990000</v>
      </c>
      <c r="H26" s="26" t="n"/>
    </row>
    <row r="27">
      <c r="A27" t="inlineStr">
        <is>
          <t>AW S11 (42mm GPS)</t>
        </is>
      </c>
      <c r="B27" s="3" t="n"/>
      <c r="C27" s="62" t="n">
        <v>10590000</v>
      </c>
      <c r="D27" s="62" t="n">
        <v>10490000</v>
      </c>
      <c r="E27" s="34" t="n">
        <v>10790000</v>
      </c>
      <c r="F27" s="38" t="n">
        <v>10490000</v>
      </c>
      <c r="G27" s="38" t="n">
        <v>9990000</v>
      </c>
      <c r="H27" s="26" t="n">
        <v>-1100</v>
      </c>
    </row>
    <row r="28">
      <c r="A28" t="inlineStr">
        <is>
          <t>AW S11 (42mm CEL)</t>
        </is>
      </c>
      <c r="B28" s="3" t="n"/>
      <c r="C28" s="62" t="n">
        <v>13990000</v>
      </c>
      <c r="D28" s="62" t="n">
        <v>13990000</v>
      </c>
      <c r="E28" s="34" t="n">
        <v>13690000</v>
      </c>
      <c r="F28" s="38" t="n">
        <v>13690000</v>
      </c>
      <c r="G28" s="38" t="n">
        <v>13990000</v>
      </c>
      <c r="H28" s="26" t="n">
        <v>-300</v>
      </c>
    </row>
    <row r="29">
      <c r="A29" t="inlineStr">
        <is>
          <t>AW S11 (46mm GPS)</t>
        </is>
      </c>
      <c r="B29" s="3" t="n"/>
      <c r="C29" s="64" t="n">
        <v>11890000</v>
      </c>
      <c r="D29" s="64" t="n">
        <v>11790000</v>
      </c>
      <c r="E29" s="34" t="n">
        <v>11690000</v>
      </c>
      <c r="F29" s="80" t="n">
        <v>11890000</v>
      </c>
      <c r="G29" s="38" t="n">
        <v>11750000</v>
      </c>
      <c r="H29" s="26" t="n">
        <v>-200</v>
      </c>
    </row>
    <row r="30">
      <c r="A30" t="inlineStr">
        <is>
          <t>AW S11 (46mm CEL)</t>
        </is>
      </c>
      <c r="B30" s="3" t="n"/>
      <c r="C30" s="62" t="n">
        <v>14890000</v>
      </c>
      <c r="D30" s="62" t="n">
        <v>14890000</v>
      </c>
      <c r="E30" s="34" t="n">
        <v>14490000</v>
      </c>
      <c r="F30" s="38" t="n">
        <v>14890000</v>
      </c>
      <c r="G30" s="39" t="n">
        <v>15290000</v>
      </c>
      <c r="H30" s="26" t="n"/>
    </row>
    <row r="31">
      <c r="A31" t="inlineStr">
        <is>
          <t>AW Ultra 3 (49mm)</t>
        </is>
      </c>
      <c r="B31" s="25" t="n"/>
      <c r="C31" s="62" t="n">
        <v>23390000</v>
      </c>
      <c r="D31" s="62" t="n">
        <v>23390000</v>
      </c>
      <c r="E31" s="25" t="n">
        <v>23490000</v>
      </c>
      <c r="F31" s="38" t="n">
        <v>23390000</v>
      </c>
      <c r="G31" s="39" t="n">
        <v>23990000</v>
      </c>
      <c r="H31" s="26" t="n"/>
    </row>
    <row r="32">
      <c r="A32" t="inlineStr">
        <is>
          <t>AirPods Pro 2 - 2023 (C-Type)</t>
        </is>
      </c>
      <c r="B32" s="3" t="n"/>
      <c r="C32" s="54" t="n">
        <v>4990000</v>
      </c>
      <c r="D32" s="62" t="n">
        <v>5290000</v>
      </c>
      <c r="E32" s="25" t="n">
        <v>4290000</v>
      </c>
      <c r="F32" s="38" t="n">
        <v>5090000</v>
      </c>
      <c r="G32" s="39" t="n">
        <v>5590000</v>
      </c>
      <c r="H32" s="26" t="n"/>
    </row>
    <row r="33">
      <c r="A33" t="inlineStr">
        <is>
          <t>AirPods 4 ANC</t>
        </is>
      </c>
      <c r="B33" s="3" t="n"/>
      <c r="C33" s="54" t="n">
        <v>4490000</v>
      </c>
      <c r="D33" s="62" t="n">
        <v>4490000</v>
      </c>
      <c r="E33" s="34" t="n">
        <v>4290000</v>
      </c>
      <c r="F33" s="38" t="n">
        <v>4490000</v>
      </c>
      <c r="G33" s="39" t="n">
        <v>4490000</v>
      </c>
      <c r="H33" s="26" t="n"/>
    </row>
    <row r="34">
      <c r="A34" t="inlineStr">
        <is>
          <t>AirPods 4 with charging case</t>
        </is>
      </c>
      <c r="B34" s="3" t="n"/>
      <c r="C34" s="54" t="n">
        <v>3090000</v>
      </c>
      <c r="D34" s="62" t="n">
        <v>3090000</v>
      </c>
      <c r="E34" s="34" t="n">
        <v>3190000</v>
      </c>
      <c r="F34" s="34" t="n">
        <v>3090000</v>
      </c>
      <c r="G34" s="38" t="n">
        <v>3390000</v>
      </c>
      <c r="H34" s="26" t="n">
        <v>100</v>
      </c>
    </row>
    <row r="35">
      <c r="A35" t="inlineStr">
        <is>
          <t>AirPods Pro 3</t>
        </is>
      </c>
      <c r="B35" s="3" t="n"/>
      <c r="C35" s="40" t="n">
        <v>6790000</v>
      </c>
      <c r="D35" s="62" t="n">
        <v>6790000</v>
      </c>
      <c r="E35" s="72" t="n">
        <v>6490000</v>
      </c>
      <c r="F35" s="40" t="n">
        <v>6790000</v>
      </c>
      <c r="G35" s="38" t="n">
        <v>6390000</v>
      </c>
      <c r="H35" s="26" t="n">
        <v>100</v>
      </c>
    </row>
    <row r="36">
      <c r="A36" t="inlineStr">
        <is>
          <t>MacBook Air 13" M2 16/256GB</t>
        </is>
      </c>
      <c r="B36" s="25" t="n"/>
      <c r="C36" s="53" t="n">
        <v>19690000</v>
      </c>
      <c r="D36" s="62" t="n">
        <v>19390000</v>
      </c>
      <c r="E36" s="37" t="n"/>
      <c r="F36" s="38" t="n">
        <v>19490000</v>
      </c>
      <c r="G36" s="40" t="n">
        <v>18990000</v>
      </c>
      <c r="H36" s="26" t="n"/>
    </row>
    <row r="37">
      <c r="A37" t="inlineStr">
        <is>
          <t>MacBook Air 13" M4 16/256GB</t>
        </is>
      </c>
      <c r="B37" s="3" t="n"/>
      <c r="C37" s="53" t="n">
        <v>25290000</v>
      </c>
      <c r="D37" s="62" t="n">
        <v>24490000</v>
      </c>
      <c r="E37" s="37" t="n"/>
      <c r="F37" s="38" t="n">
        <v>25090000</v>
      </c>
      <c r="G37" s="40" t="n">
        <v>24490000</v>
      </c>
      <c r="H37" s="26" t="n"/>
    </row>
    <row r="38">
      <c r="A38" t="inlineStr">
        <is>
          <t>MacBook Air 15" M4 16/256GB</t>
        </is>
      </c>
      <c r="B38" s="25" t="n"/>
      <c r="C38" s="62" t="n">
        <v>29990000</v>
      </c>
      <c r="D38" s="64" t="n">
        <v>29990000</v>
      </c>
      <c r="E38" s="37" t="n"/>
      <c r="F38" s="40" t="n">
        <v>29990000</v>
      </c>
      <c r="G38" s="40" t="n">
        <v>29990000</v>
      </c>
      <c r="H38" s="26" t="n"/>
    </row>
    <row r="39">
      <c r="A39" t="inlineStr">
        <is>
          <t>MacBook Pro 14" M4 16/512GB</t>
        </is>
      </c>
      <c r="B39" s="25" t="n"/>
      <c r="C39" s="53" t="inlineStr">
        <is>
          <t>OOS</t>
        </is>
      </c>
      <c r="D39" s="64" t="n">
        <v>37990000</v>
      </c>
      <c r="E39" s="37" t="n"/>
      <c r="F39" s="40" t="n">
        <v>38590000</v>
      </c>
      <c r="G39" s="40" t="n">
        <v>38390000</v>
      </c>
      <c r="H39" s="26" t="n"/>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53" t="inlineStr">
        <is>
          <t>OOS</t>
        </is>
      </c>
      <c r="D41" s="64" t="n">
        <v>64490000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7.xml><?xml version="1.0" encoding="utf-8"?>
<worksheet xmlns="http://schemas.openxmlformats.org/spreadsheetml/2006/main">
  <sheetPr>
    <outlinePr summaryBelow="1" summaryRight="1"/>
    <pageSetUpPr/>
  </sheetPr>
  <dimension ref="A1:L153"/>
  <sheetViews>
    <sheetView zoomScale="93" zoomScaleNormal="130" workbookViewId="0">
      <pane xSplit="2" ySplit="1" topLeftCell="C2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0.125" bestFit="1" customWidth="1" style="35" min="3" max="3"/>
    <col width="11.125" bestFit="1" customWidth="1" style="35" min="4" max="4"/>
    <col width="10.125" bestFit="1" customWidth="1" style="35" min="5"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76" t="n">
        <v>24890000</v>
      </c>
      <c r="E2" s="72" t="n">
        <v>24490000</v>
      </c>
      <c r="F2" s="38" t="n">
        <v>24690000</v>
      </c>
      <c r="G2" s="38" t="n">
        <v>24690000</v>
      </c>
    </row>
    <row r="3">
      <c r="A3" t="inlineStr">
        <is>
          <t>iPhone Air 256G</t>
        </is>
      </c>
      <c r="B3" s="83" t="n"/>
      <c r="C3" s="76" t="n">
        <v>30890000</v>
      </c>
      <c r="D3" s="76" t="n">
        <v>30590000</v>
      </c>
      <c r="E3" s="25" t="n">
        <v>29990000</v>
      </c>
      <c r="F3" s="38" t="n">
        <v>30590000</v>
      </c>
      <c r="G3" s="40" t="n">
        <v>29990000</v>
      </c>
      <c r="H3" s="26" t="n"/>
    </row>
    <row r="4">
      <c r="A4" t="inlineStr">
        <is>
          <t>iPhone 17 Pro 256GB</t>
        </is>
      </c>
      <c r="B4" s="83" t="n"/>
      <c r="C4" s="76" t="n">
        <v>34690000</v>
      </c>
      <c r="D4" s="76" t="n">
        <v>34390000</v>
      </c>
      <c r="E4" s="25" t="n">
        <v>33490000</v>
      </c>
      <c r="F4" s="38" t="n">
        <v>34390000</v>
      </c>
      <c r="G4" s="40" t="n">
        <v>33990000</v>
      </c>
      <c r="H4" s="26" t="n"/>
    </row>
    <row r="5">
      <c r="A5" t="inlineStr">
        <is>
          <t>iPhone 17 Pro Max 256GB</t>
        </is>
      </c>
      <c r="B5" s="83" t="n"/>
      <c r="C5" s="68" t="n">
        <v>37990000</v>
      </c>
      <c r="D5" s="68" t="n">
        <v>37990000</v>
      </c>
      <c r="E5" s="34" t="n">
        <v>36690000</v>
      </c>
      <c r="F5" s="40" t="n">
        <v>37890000</v>
      </c>
      <c r="G5" s="40" t="n">
        <v>37290000</v>
      </c>
      <c r="H5" s="26" t="n"/>
    </row>
    <row r="6">
      <c r="A6" t="inlineStr">
        <is>
          <t>iPhone 16e  128GB</t>
        </is>
      </c>
      <c r="B6" s="83" t="n"/>
      <c r="C6" s="76" t="n">
        <v>15190000</v>
      </c>
      <c r="D6" s="76" t="n">
        <v>15190000</v>
      </c>
      <c r="E6" s="72" t="n">
        <v>12490000</v>
      </c>
      <c r="F6" s="72" t="n">
        <v>12490000</v>
      </c>
      <c r="G6" s="40" t="n">
        <v>15190000</v>
      </c>
      <c r="H6" s="26" t="n"/>
    </row>
    <row r="7">
      <c r="A7" t="inlineStr">
        <is>
          <t>iPhone 16  128GB</t>
        </is>
      </c>
      <c r="B7" s="71" t="n"/>
      <c r="C7" s="73" t="n">
        <v>21190000</v>
      </c>
      <c r="D7" s="70" t="n">
        <v>20890000</v>
      </c>
      <c r="E7" s="25" t="n">
        <v>20490000</v>
      </c>
      <c r="F7" s="40" t="n">
        <v>20890000</v>
      </c>
      <c r="G7" s="40" t="n">
        <v>20590000</v>
      </c>
      <c r="H7" s="26" t="n"/>
    </row>
    <row r="8">
      <c r="A8" t="inlineStr">
        <is>
          <t>iPhone 16  Plus 128GB</t>
        </is>
      </c>
      <c r="B8" s="3" t="n"/>
      <c r="C8" s="62" t="n">
        <v>24890000</v>
      </c>
      <c r="D8" s="62" t="n">
        <v>24590000</v>
      </c>
      <c r="E8" s="25" t="n">
        <v>23490000</v>
      </c>
      <c r="F8" s="40" t="n">
        <v>24590000</v>
      </c>
      <c r="G8" s="40" t="n">
        <v>23990000</v>
      </c>
      <c r="H8" s="26" t="n"/>
    </row>
    <row r="9">
      <c r="A9" t="inlineStr">
        <is>
          <t>iPhone 16 Pro  128GB</t>
        </is>
      </c>
      <c r="B9" s="25" t="n"/>
      <c r="C9" s="40" t="n">
        <v>25590000</v>
      </c>
      <c r="D9" s="40" t="n">
        <v>25590000</v>
      </c>
      <c r="E9" s="25" t="n">
        <v>24990000</v>
      </c>
      <c r="F9" s="40" t="n">
        <v>25490000</v>
      </c>
      <c r="G9" s="40" t="n">
        <v>24990000</v>
      </c>
      <c r="H9" s="26" t="n"/>
    </row>
    <row r="10">
      <c r="A10" t="inlineStr">
        <is>
          <t>iPhone 16 Pro Max 256GB</t>
        </is>
      </c>
      <c r="B10" s="3" t="n"/>
      <c r="C10" s="62" t="n">
        <v>31290000</v>
      </c>
      <c r="D10" s="62" t="n">
        <v>30990000</v>
      </c>
      <c r="E10" s="34" t="n">
        <v>30490000</v>
      </c>
      <c r="F10" s="38" t="n">
        <v>30990000</v>
      </c>
      <c r="G10" s="38" t="n">
        <v>30490000</v>
      </c>
      <c r="H10" s="26" t="n"/>
    </row>
    <row r="11">
      <c r="A11" t="inlineStr">
        <is>
          <t>iPhone 15  128GB</t>
        </is>
      </c>
      <c r="B11" s="25" t="n"/>
      <c r="C11" s="64" t="n">
        <v>17290000</v>
      </c>
      <c r="D11" s="62" t="n">
        <v>16990000</v>
      </c>
      <c r="E11" s="25" t="n">
        <v>16690000</v>
      </c>
      <c r="F11" s="40" t="n">
        <v>16990000</v>
      </c>
      <c r="G11" s="40" t="n">
        <v>16590000</v>
      </c>
      <c r="H11" s="26" t="n"/>
    </row>
    <row r="12">
      <c r="A12" t="inlineStr">
        <is>
          <t>iPhone 15  Plus 128GB</t>
        </is>
      </c>
      <c r="B12" s="25" t="n"/>
      <c r="C12" s="64" t="n">
        <v>19590000</v>
      </c>
      <c r="D12" s="64" t="inlineStr">
        <is>
          <t>OOS</t>
        </is>
      </c>
      <c r="E12" s="64" t="inlineStr">
        <is>
          <t>OOS</t>
        </is>
      </c>
      <c r="F12" s="40" t="n">
        <v>17690000</v>
      </c>
      <c r="G12" s="40" t="n">
        <v>18490000</v>
      </c>
      <c r="H12" s="26" t="n"/>
    </row>
    <row r="13">
      <c r="A13" t="inlineStr">
        <is>
          <t>iPhone 14 128GB</t>
        </is>
      </c>
      <c r="B13" s="25" t="n"/>
      <c r="C13" s="64" t="n">
        <v>13990000</v>
      </c>
      <c r="D13" s="64" t="n">
        <v>13690000</v>
      </c>
      <c r="E13" s="25" t="n">
        <v>13390000</v>
      </c>
      <c r="F13" s="40" t="n">
        <v>13590000</v>
      </c>
      <c r="G13" s="40" t="n">
        <v>12990000</v>
      </c>
      <c r="H13" s="26" t="n"/>
    </row>
    <row r="14">
      <c r="A14" t="inlineStr">
        <is>
          <t>iPhone 13  128GB</t>
        </is>
      </c>
      <c r="B14" s="3" t="n"/>
      <c r="C14" s="64" t="n">
        <v>12490000</v>
      </c>
      <c r="D14" s="54" t="n">
        <v>12190000</v>
      </c>
      <c r="E14" s="25" t="n">
        <v>11990000</v>
      </c>
      <c r="F14" s="40" t="n">
        <v>12090000</v>
      </c>
      <c r="G14" s="40" t="n">
        <v>11890000</v>
      </c>
      <c r="H14" s="26" t="n"/>
    </row>
    <row r="15">
      <c r="A15" t="inlineStr">
        <is>
          <t>iPad Mini 7 128GB Wifi</t>
        </is>
      </c>
      <c r="B15" s="25" t="n"/>
      <c r="C15" s="62" t="n">
        <v>11790000</v>
      </c>
      <c r="D15" s="64" t="n">
        <v>11790000</v>
      </c>
      <c r="E15" s="34" t="n">
        <v>11290000</v>
      </c>
      <c r="F15" s="38" t="n">
        <v>11790000</v>
      </c>
      <c r="G15" s="40" t="n">
        <v>11590000</v>
      </c>
      <c r="H15" s="26" t="n"/>
    </row>
    <row r="16">
      <c r="A16" t="inlineStr">
        <is>
          <t>iPad Gen 11th  128GB Wifi</t>
        </is>
      </c>
      <c r="B16" s="3" t="n"/>
      <c r="C16" s="62" t="n">
        <v>8690000</v>
      </c>
      <c r="D16" s="62" t="n">
        <v>8690000</v>
      </c>
      <c r="E16" s="34" t="n">
        <v>8490000</v>
      </c>
      <c r="F16" s="38" t="n">
        <v>8690000</v>
      </c>
      <c r="G16" s="38" t="n">
        <v>8490000</v>
      </c>
      <c r="H16" s="26" t="n"/>
      <c r="J16" t="inlineStr">
        <is>
          <t xml:space="preserve">MW </t>
        </is>
      </c>
      <c r="K16" t="inlineStr">
        <is>
          <t>Duy</t>
        </is>
      </c>
      <c r="L16" t="b">
        <v>1</v>
      </c>
    </row>
    <row r="17">
      <c r="A17" t="inlineStr">
        <is>
          <t>iPad Air M3  11" 128 GB Wifi</t>
        </is>
      </c>
      <c r="B17" s="3" t="n"/>
      <c r="C17" s="62" t="n">
        <v>13290000</v>
      </c>
      <c r="D17" s="62" t="n">
        <v>13290000</v>
      </c>
      <c r="E17" s="34" t="n">
        <v>12990000</v>
      </c>
      <c r="F17" s="38" t="n">
        <v>13290000</v>
      </c>
      <c r="G17" s="38" t="n">
        <v>13190000</v>
      </c>
      <c r="H17" s="26" t="n"/>
      <c r="I17" s="26" t="n"/>
      <c r="J17" t="inlineStr">
        <is>
          <t>FPT</t>
        </is>
      </c>
      <c r="K17" t="inlineStr">
        <is>
          <t>Trang</t>
        </is>
      </c>
      <c r="L17" t="b">
        <v>1</v>
      </c>
    </row>
    <row r="18">
      <c r="A18" t="inlineStr">
        <is>
          <t>iPad Air M3  13" 128 GB Wifi</t>
        </is>
      </c>
      <c r="B18" s="25" t="n"/>
      <c r="C18" s="62" t="n">
        <v>19290000</v>
      </c>
      <c r="D18" s="62" t="n">
        <v>19290000</v>
      </c>
      <c r="E18" s="25" t="n">
        <v>20490000</v>
      </c>
      <c r="F18" s="38" t="n">
        <v>19290000</v>
      </c>
      <c r="G18" s="38" t="n">
        <v>18690000</v>
      </c>
      <c r="H18" s="79" t="n"/>
      <c r="J18" t="inlineStr">
        <is>
          <t>Viettel</t>
        </is>
      </c>
      <c r="K18" t="inlineStr">
        <is>
          <t>Nghĩa</t>
        </is>
      </c>
      <c r="L18" t="b">
        <v>1</v>
      </c>
    </row>
    <row r="19">
      <c r="A19" t="inlineStr">
        <is>
          <t>iPad Pro  M4  11" 256 GB Wifi</t>
        </is>
      </c>
      <c r="B19" s="25" t="n"/>
      <c r="C19" s="25" t="inlineStr">
        <is>
          <t>OOS</t>
        </is>
      </c>
      <c r="D19" s="64" t="n">
        <v>27990000</v>
      </c>
      <c r="E19" s="25" t="inlineStr">
        <is>
          <t>OOS</t>
        </is>
      </c>
      <c r="F19" s="38" t="n">
        <v>28190000</v>
      </c>
      <c r="G19" s="40" t="n">
        <v>27190000</v>
      </c>
      <c r="H19" s="26" t="n"/>
      <c r="J19" t="inlineStr">
        <is>
          <t>CPS</t>
        </is>
      </c>
      <c r="K19" t="inlineStr">
        <is>
          <t>Hải</t>
        </is>
      </c>
      <c r="L19" t="b">
        <v>1</v>
      </c>
    </row>
    <row r="20">
      <c r="A20" t="inlineStr">
        <is>
          <t>iPad Pro  M4  13" 256 GB Wifi</t>
        </is>
      </c>
      <c r="B20" s="3" t="n"/>
      <c r="C20" s="25" t="inlineStr">
        <is>
          <t>OOS</t>
        </is>
      </c>
      <c r="D20" s="64" t="n">
        <v>36290000</v>
      </c>
      <c r="E20" s="25" t="inlineStr">
        <is>
          <t>OOS</t>
        </is>
      </c>
      <c r="F20" s="38" t="n">
        <v>36290000</v>
      </c>
      <c r="G20" s="40" t="n">
        <v>33690000</v>
      </c>
      <c r="H20" s="26" t="n"/>
      <c r="J20" t="inlineStr">
        <is>
          <t>ShopDunk</t>
        </is>
      </c>
      <c r="K20" t="inlineStr">
        <is>
          <t>Đạt</t>
        </is>
      </c>
      <c r="L20" t="b">
        <v>1</v>
      </c>
    </row>
    <row r="21">
      <c r="A21" t="inlineStr">
        <is>
          <t>iPad Pro M5 11” 256GB Wifi</t>
        </is>
      </c>
      <c r="B21" s="3" t="n"/>
      <c r="C21" s="64" t="n">
        <v>29990000</v>
      </c>
      <c r="D21" s="64" t="n">
        <v>29990000</v>
      </c>
      <c r="E21" s="25" t="n">
        <v>28990000</v>
      </c>
      <c r="F21" s="40" t="n">
        <v>29990000</v>
      </c>
      <c r="G21" s="40" t="n">
        <v>28990000</v>
      </c>
      <c r="H21" s="26" t="n"/>
    </row>
    <row r="22">
      <c r="A22" t="inlineStr">
        <is>
          <t>iPad Pro M5 13” 256GB Wifi</t>
        </is>
      </c>
      <c r="B22" s="3" t="n"/>
      <c r="C22" s="25" t="n">
        <v>39990000</v>
      </c>
      <c r="D22" s="25" t="n">
        <v>39990000</v>
      </c>
      <c r="E22" s="25" t="n">
        <v>38990000</v>
      </c>
      <c r="F22" s="40" t="n">
        <v>39990000</v>
      </c>
      <c r="G22" s="40" t="n">
        <v>39590000</v>
      </c>
      <c r="H22" s="26" t="n"/>
    </row>
    <row r="23">
      <c r="A23" t="inlineStr">
        <is>
          <t>AW SE 3 (40mm GPS)</t>
        </is>
      </c>
      <c r="B23" s="25" t="n"/>
      <c r="C23" s="62" t="n">
        <v>5890000</v>
      </c>
      <c r="D23" s="62" t="n">
        <v>5690000</v>
      </c>
      <c r="E23" s="34" t="n">
        <v>5890000</v>
      </c>
      <c r="F23" s="38" t="n">
        <v>5590000</v>
      </c>
      <c r="G23" s="34" t="n">
        <v>5990000</v>
      </c>
      <c r="H23" s="26" t="n"/>
    </row>
    <row r="24">
      <c r="A24" t="inlineStr">
        <is>
          <t>AW SE 3 (40mm LTE)</t>
        </is>
      </c>
      <c r="B24" s="25" t="n"/>
      <c r="C24" s="62" t="n">
        <v>7790000</v>
      </c>
      <c r="D24" s="62" t="n">
        <v>7990000</v>
      </c>
      <c r="E24" s="34" t="n">
        <v>7490000</v>
      </c>
      <c r="F24" s="38" t="n">
        <v>7690000</v>
      </c>
      <c r="G24" s="38" t="n">
        <v>7790000</v>
      </c>
      <c r="H24" s="26" t="n"/>
    </row>
    <row r="25">
      <c r="A25" t="inlineStr">
        <is>
          <t>AW SE 3 (44mm GPS)</t>
        </is>
      </c>
      <c r="B25" s="25" t="n"/>
      <c r="C25" s="62" t="n">
        <v>6990000</v>
      </c>
      <c r="D25" s="62" t="n">
        <v>6990000</v>
      </c>
      <c r="E25" s="34" t="n">
        <v>6490000</v>
      </c>
      <c r="F25" s="40" t="n">
        <v>7190000</v>
      </c>
      <c r="G25" s="40" t="n">
        <v>7190000</v>
      </c>
      <c r="H25" s="26" t="n"/>
    </row>
    <row r="26">
      <c r="A26" t="inlineStr">
        <is>
          <t>AW SE 3 (44mm LTE)</t>
        </is>
      </c>
      <c r="B26" s="25" t="n"/>
      <c r="C26" s="62" t="n">
        <v>8590000</v>
      </c>
      <c r="D26" s="64" t="n">
        <v>8790000</v>
      </c>
      <c r="E26" s="34" t="n">
        <v>7990000</v>
      </c>
      <c r="F26" s="40" t="n">
        <v>8790000</v>
      </c>
      <c r="G26" s="38" t="n">
        <v>8490000</v>
      </c>
      <c r="H26" s="26" t="n"/>
    </row>
    <row r="27">
      <c r="A27" t="inlineStr">
        <is>
          <t>AW S11 (42mm GPS)</t>
        </is>
      </c>
      <c r="B27" s="3" t="n"/>
      <c r="C27" s="62" t="n">
        <v>9290000</v>
      </c>
      <c r="D27" s="62" t="n">
        <v>9290000</v>
      </c>
      <c r="E27" s="34" t="n">
        <v>8490000</v>
      </c>
      <c r="F27" s="38" t="n">
        <v>9190000</v>
      </c>
      <c r="G27" s="38" t="n">
        <v>9190000</v>
      </c>
      <c r="H27" s="26" t="n"/>
    </row>
    <row r="28">
      <c r="A28" t="inlineStr">
        <is>
          <t>AW S11 (42mm CEL)</t>
        </is>
      </c>
      <c r="B28" s="3" t="n"/>
      <c r="C28" s="62" t="n">
        <v>12190000</v>
      </c>
      <c r="D28" s="62" t="n">
        <v>13990000</v>
      </c>
      <c r="E28" s="34" t="n">
        <v>11490000</v>
      </c>
      <c r="F28" s="38" t="n">
        <v>13690000</v>
      </c>
      <c r="G28" s="38" t="n">
        <v>13990000</v>
      </c>
      <c r="H28" s="26" t="n"/>
    </row>
    <row r="29">
      <c r="A29" t="inlineStr">
        <is>
          <t>AW S11 (46mm GPS)</t>
        </is>
      </c>
      <c r="B29" s="3" t="n"/>
      <c r="C29" s="62" t="n">
        <v>10150000</v>
      </c>
      <c r="D29" s="64" t="n">
        <v>10090000</v>
      </c>
      <c r="E29" s="34" t="n">
        <v>9190000</v>
      </c>
      <c r="F29" s="38" t="n">
        <v>10090000</v>
      </c>
      <c r="G29" s="38" t="n">
        <v>10150000</v>
      </c>
      <c r="H29" s="26" t="n"/>
    </row>
    <row r="30">
      <c r="A30" t="inlineStr">
        <is>
          <t>AW S11 (46mm CEL)</t>
        </is>
      </c>
      <c r="B30" s="3" t="n"/>
      <c r="C30" s="64" t="n">
        <v>14890000</v>
      </c>
      <c r="D30" s="62" t="n">
        <v>13090000</v>
      </c>
      <c r="E30" s="34" t="n">
        <v>12490000</v>
      </c>
      <c r="F30" s="38" t="n">
        <v>13290000</v>
      </c>
      <c r="G30" s="34" t="n">
        <v>13190000</v>
      </c>
      <c r="H30" s="26" t="n"/>
    </row>
    <row r="31">
      <c r="A31" t="inlineStr">
        <is>
          <t>AW Ultra 3 (49mm)</t>
        </is>
      </c>
      <c r="B31" s="25" t="n"/>
      <c r="C31" s="62" t="n">
        <v>23190000</v>
      </c>
      <c r="D31" s="62" t="n">
        <v>23190000</v>
      </c>
      <c r="E31" s="34" t="n">
        <v>22990000</v>
      </c>
      <c r="F31" s="38" t="n">
        <v>22990000</v>
      </c>
      <c r="G31" s="34" t="n">
        <v>23390000</v>
      </c>
      <c r="H31" s="26" t="n"/>
    </row>
    <row r="32">
      <c r="A32" t="inlineStr">
        <is>
          <t>AirPods Pro 2 - 2023 (C-Type)</t>
        </is>
      </c>
      <c r="B32" s="3" t="n"/>
      <c r="C32" s="64" t="n">
        <v>4990000</v>
      </c>
      <c r="D32" s="62" t="n">
        <v>4290000</v>
      </c>
      <c r="E32" s="25" t="n">
        <v>4290000</v>
      </c>
      <c r="F32" s="38" t="n">
        <v>4990000</v>
      </c>
      <c r="G32" s="39" t="n">
        <v>5590000</v>
      </c>
      <c r="H32" s="26" t="n"/>
      <c r="J32" s="84" t="n"/>
    </row>
    <row r="33">
      <c r="A33" t="inlineStr">
        <is>
          <t>AirPods 4 ANC</t>
        </is>
      </c>
      <c r="B33" s="3" t="n"/>
      <c r="C33" s="64" t="n">
        <v>4490000</v>
      </c>
      <c r="D33" s="62" t="n">
        <v>4390000</v>
      </c>
      <c r="E33" s="34" t="n">
        <v>4390000</v>
      </c>
      <c r="F33" s="38" t="n">
        <v>4490000</v>
      </c>
      <c r="G33" s="34" t="n">
        <v>4390000</v>
      </c>
      <c r="H33" s="26" t="n"/>
    </row>
    <row r="34">
      <c r="A34" t="inlineStr">
        <is>
          <t>AirPods 4 with charging case</t>
        </is>
      </c>
      <c r="B34" s="3" t="n"/>
      <c r="C34" s="64" t="n">
        <v>3090000</v>
      </c>
      <c r="D34" s="62" t="n">
        <v>2990000</v>
      </c>
      <c r="E34" s="34" t="n">
        <v>2990000</v>
      </c>
      <c r="F34" s="34" t="n">
        <v>2990000</v>
      </c>
      <c r="G34" s="38" t="n">
        <v>2990000</v>
      </c>
      <c r="H34" s="26" t="n"/>
    </row>
    <row r="35">
      <c r="A35" t="inlineStr">
        <is>
          <t>AirPods Pro 3</t>
        </is>
      </c>
      <c r="B35" s="3" t="n"/>
      <c r="C35" s="40" t="n">
        <v>6790000</v>
      </c>
      <c r="D35" s="64" t="n">
        <v>6790000</v>
      </c>
      <c r="E35" s="72" t="n">
        <v>6490000</v>
      </c>
      <c r="F35" s="40" t="n">
        <v>6790000</v>
      </c>
      <c r="G35" s="40" t="n">
        <v>6390000</v>
      </c>
      <c r="H35" s="26" t="n"/>
    </row>
    <row r="36">
      <c r="A36" t="inlineStr">
        <is>
          <t>MacBook Air 13" M2 16/256GB</t>
        </is>
      </c>
      <c r="B36" s="25" t="n"/>
      <c r="C36" s="64" t="n">
        <v>19690000</v>
      </c>
      <c r="D36" s="62" t="n">
        <v>19690000</v>
      </c>
      <c r="E36" s="37" t="n"/>
      <c r="F36" s="38" t="n">
        <v>19690000</v>
      </c>
      <c r="G36" s="40" t="n">
        <v>18990000</v>
      </c>
      <c r="H36" s="26" t="n"/>
    </row>
    <row r="37">
      <c r="A37" t="inlineStr">
        <is>
          <t>MacBook Air 13" M4 16/256GB</t>
        </is>
      </c>
      <c r="B37" s="3" t="n"/>
      <c r="C37" s="64" t="n">
        <v>25290000</v>
      </c>
      <c r="D37" s="62" t="n">
        <v>25090000</v>
      </c>
      <c r="E37" s="37" t="n"/>
      <c r="F37" s="38" t="n">
        <v>24990000</v>
      </c>
      <c r="G37" s="38" t="n">
        <v>24990000</v>
      </c>
      <c r="H37" s="26" t="n"/>
    </row>
    <row r="38">
      <c r="A38" t="inlineStr">
        <is>
          <t>MacBook Air 15" M4 16/256GB</t>
        </is>
      </c>
      <c r="B38" s="25" t="n"/>
      <c r="C38" s="64" t="n">
        <v>29990000</v>
      </c>
      <c r="D38" s="64" t="n">
        <v>29990000</v>
      </c>
      <c r="E38" s="37" t="n"/>
      <c r="F38" s="40" t="n">
        <v>29990000</v>
      </c>
      <c r="G38" s="38" t="n">
        <v>28290000</v>
      </c>
      <c r="H38" s="26" t="n"/>
    </row>
    <row r="39">
      <c r="A39" t="inlineStr">
        <is>
          <t>MacBook Pro 14" M4 16/512GB</t>
        </is>
      </c>
      <c r="B39" s="25" t="n"/>
      <c r="C39" s="64" t="inlineStr">
        <is>
          <t>OOS</t>
        </is>
      </c>
      <c r="D39" s="64" t="n">
        <v>37990000</v>
      </c>
      <c r="E39" s="37" t="n"/>
      <c r="F39" s="40" t="n">
        <v>38590000</v>
      </c>
      <c r="G39" s="40" t="n">
        <v>38390000</v>
      </c>
      <c r="H39" s="26" t="n"/>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64" t="inlineStr">
        <is>
          <t>OOS</t>
        </is>
      </c>
      <c r="D41" s="64" t="n">
        <v>64490000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8.xml><?xml version="1.0" encoding="utf-8"?>
<worksheet xmlns="http://schemas.openxmlformats.org/spreadsheetml/2006/main">
  <sheetPr>
    <outlinePr summaryBelow="1" summaryRight="1"/>
    <pageSetUpPr/>
  </sheetPr>
  <dimension ref="A1:L153"/>
  <sheetViews>
    <sheetView zoomScale="75"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35" min="5" max="5"/>
    <col width="14.375" customWidth="1" style="35" min="6" max="6"/>
    <col width="13" customWidth="1" style="35" min="7" max="7"/>
    <col width="12.12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76" t="n">
        <v>24690000</v>
      </c>
      <c r="E2" s="34" t="n">
        <v>24190000</v>
      </c>
      <c r="F2" s="40" t="n">
        <v>24690000</v>
      </c>
      <c r="G2" s="40" t="n">
        <v>24690000</v>
      </c>
    </row>
    <row r="3">
      <c r="A3" t="inlineStr">
        <is>
          <t>iPhone Air 256G</t>
        </is>
      </c>
      <c r="B3" s="83" t="n"/>
      <c r="C3" s="76" t="n">
        <v>30290000</v>
      </c>
      <c r="D3" s="76" t="n">
        <v>29990000</v>
      </c>
      <c r="E3" s="25" t="n">
        <v>29990000</v>
      </c>
      <c r="F3" s="38" t="n">
        <v>29990000</v>
      </c>
      <c r="G3" s="40" t="n">
        <v>29990000</v>
      </c>
      <c r="H3" s="26" t="n"/>
    </row>
    <row r="4">
      <c r="A4" t="inlineStr">
        <is>
          <t>iPhone 17 Pro 256GB</t>
        </is>
      </c>
      <c r="B4" s="83" t="n"/>
      <c r="C4" s="68" t="n">
        <v>34690000</v>
      </c>
      <c r="D4" s="68" t="n">
        <v>34390000</v>
      </c>
      <c r="E4" s="25" t="n">
        <v>33490000</v>
      </c>
      <c r="F4" s="40" t="n">
        <v>34390000</v>
      </c>
      <c r="G4" s="40" t="n">
        <v>33990000</v>
      </c>
      <c r="H4" s="26" t="n"/>
    </row>
    <row r="5">
      <c r="A5" t="inlineStr">
        <is>
          <t>iPhone 17 Pro Max 256GB</t>
        </is>
      </c>
      <c r="B5" s="83" t="n"/>
      <c r="C5" s="68" t="n">
        <v>37990000</v>
      </c>
      <c r="D5" s="68" t="n">
        <v>37790000</v>
      </c>
      <c r="E5" s="34" t="n">
        <v>36490000</v>
      </c>
      <c r="F5" s="38" t="n">
        <v>37790000</v>
      </c>
      <c r="G5" s="38" t="n">
        <v>37190000</v>
      </c>
      <c r="H5" s="26" t="n">
        <v>-100</v>
      </c>
    </row>
    <row r="6">
      <c r="A6" t="inlineStr">
        <is>
          <t>iPhone 16e  128GB</t>
        </is>
      </c>
      <c r="B6" s="83" t="n"/>
      <c r="C6" s="68" t="n">
        <v>15190000</v>
      </c>
      <c r="D6" s="68" t="n">
        <v>15190000</v>
      </c>
      <c r="E6" s="72" t="n">
        <v>12490000</v>
      </c>
      <c r="F6" s="72" t="n">
        <v>12490000</v>
      </c>
      <c r="G6" s="40" t="n">
        <v>15190000</v>
      </c>
      <c r="H6" s="26" t="n"/>
    </row>
    <row r="7">
      <c r="A7" t="inlineStr">
        <is>
          <t>iPhone 16  128GB</t>
        </is>
      </c>
      <c r="B7" s="71" t="n"/>
      <c r="C7" s="70" t="n">
        <v>21190000</v>
      </c>
      <c r="D7" s="70" t="n">
        <v>20890000</v>
      </c>
      <c r="E7" s="25" t="n">
        <v>20490000</v>
      </c>
      <c r="F7" s="40" t="n">
        <v>20890000</v>
      </c>
      <c r="G7" s="40" t="n">
        <v>20590000</v>
      </c>
      <c r="H7" s="26" t="n"/>
    </row>
    <row r="8">
      <c r="A8" t="inlineStr">
        <is>
          <t>iPhone 16  Plus 128GB</t>
        </is>
      </c>
      <c r="B8" s="3" t="n"/>
      <c r="C8" s="64" t="n">
        <v>24890000</v>
      </c>
      <c r="D8" s="62" t="n">
        <v>24490000</v>
      </c>
      <c r="E8" s="25" t="n">
        <v>23490000</v>
      </c>
      <c r="F8" s="40" t="n">
        <v>24490000</v>
      </c>
      <c r="G8" s="40" t="n">
        <v>23990000</v>
      </c>
      <c r="H8" s="26" t="n"/>
    </row>
    <row r="9">
      <c r="A9" t="inlineStr">
        <is>
          <t>iPhone 16 Pro  128GB</t>
        </is>
      </c>
      <c r="B9" s="25" t="n"/>
      <c r="C9" s="40" t="n">
        <v>25590000</v>
      </c>
      <c r="D9" s="40" t="n">
        <v>25490000</v>
      </c>
      <c r="E9" s="25" t="n">
        <v>24990000</v>
      </c>
      <c r="F9" s="40" t="n">
        <v>25390000</v>
      </c>
      <c r="G9" s="40" t="n">
        <v>24990000</v>
      </c>
      <c r="H9" s="26" t="n"/>
    </row>
    <row r="10">
      <c r="A10" t="inlineStr">
        <is>
          <t>iPhone 16 Pro Max 256GB</t>
        </is>
      </c>
      <c r="B10" s="3" t="n"/>
      <c r="C10" s="64" t="n">
        <v>31290000</v>
      </c>
      <c r="D10" s="64" t="n">
        <v>30990000</v>
      </c>
      <c r="E10" s="25" t="n">
        <v>30490000</v>
      </c>
      <c r="F10" s="40" t="n">
        <v>30990000</v>
      </c>
      <c r="G10" s="38" t="n">
        <v>30990000</v>
      </c>
      <c r="H10" s="26" t="n">
        <v>500</v>
      </c>
    </row>
    <row r="11">
      <c r="A11" t="inlineStr">
        <is>
          <t>iPhone 15  128GB</t>
        </is>
      </c>
      <c r="B11" s="25" t="n"/>
      <c r="C11" s="64" t="n">
        <v>17290000</v>
      </c>
      <c r="D11" s="64" t="n">
        <v>16990000</v>
      </c>
      <c r="E11" s="25" t="n">
        <v>16690000</v>
      </c>
      <c r="F11" s="40" t="n">
        <v>16990000</v>
      </c>
      <c r="G11" s="40" t="n">
        <v>16590000</v>
      </c>
      <c r="H11" s="26" t="n"/>
    </row>
    <row r="12">
      <c r="A12" t="inlineStr">
        <is>
          <t>iPhone 15  Plus 128GB</t>
        </is>
      </c>
      <c r="B12" s="25" t="n"/>
      <c r="C12" s="64" t="n">
        <v>19590000</v>
      </c>
      <c r="D12" s="64" t="inlineStr">
        <is>
          <t>OOS</t>
        </is>
      </c>
      <c r="E12" s="64" t="inlineStr">
        <is>
          <t>OOS</t>
        </is>
      </c>
      <c r="F12" s="40" t="n">
        <v>17690000</v>
      </c>
      <c r="G12" s="40" t="n">
        <v>18490000</v>
      </c>
      <c r="H12" s="26" t="n"/>
    </row>
    <row r="13">
      <c r="A13" t="inlineStr">
        <is>
          <t>iPhone 14 128GB</t>
        </is>
      </c>
      <c r="B13" s="25" t="n"/>
      <c r="C13" s="62" t="n">
        <v>13790000</v>
      </c>
      <c r="D13" s="64" t="n">
        <v>13590000</v>
      </c>
      <c r="E13" s="25" t="n">
        <v>13390000</v>
      </c>
      <c r="F13" s="40" t="n">
        <v>13590000</v>
      </c>
      <c r="G13" s="40" t="n">
        <v>12990000</v>
      </c>
      <c r="H13" s="26" t="n"/>
    </row>
    <row r="14">
      <c r="A14" t="inlineStr">
        <is>
          <t>iPhone 13  128GB</t>
        </is>
      </c>
      <c r="B14" s="3" t="n"/>
      <c r="C14" s="62" t="n">
        <v>12390000</v>
      </c>
      <c r="D14" s="54" t="n">
        <v>12090000</v>
      </c>
      <c r="E14" s="25" t="n">
        <v>11990000</v>
      </c>
      <c r="F14" s="40" t="n">
        <v>12090000</v>
      </c>
      <c r="G14" s="40" t="n">
        <v>11890000</v>
      </c>
      <c r="H14" s="26" t="n"/>
    </row>
    <row r="15">
      <c r="A15" t="inlineStr">
        <is>
          <t>iPad Mini 7 128GB Wifi</t>
        </is>
      </c>
      <c r="B15" s="25" t="n"/>
      <c r="C15" s="64" t="n">
        <v>11790000</v>
      </c>
      <c r="D15" s="64" t="n">
        <v>11790000</v>
      </c>
      <c r="E15" s="25" t="n">
        <v>11290000</v>
      </c>
      <c r="F15" s="40" t="n">
        <v>11790000</v>
      </c>
      <c r="G15" s="40" t="n">
        <v>11590000</v>
      </c>
      <c r="H15" s="26" t="n"/>
    </row>
    <row r="16">
      <c r="A16" t="inlineStr">
        <is>
          <t>iPad Gen 11th  128GB Wifi</t>
        </is>
      </c>
      <c r="B16" s="3" t="n"/>
      <c r="C16" s="64" t="n">
        <v>8690000</v>
      </c>
      <c r="D16" s="62" t="n">
        <v>8490000</v>
      </c>
      <c r="E16" s="34" t="n">
        <v>8390000</v>
      </c>
      <c r="F16" s="38" t="n">
        <v>8490000</v>
      </c>
      <c r="G16" s="40" t="n">
        <v>8490000</v>
      </c>
      <c r="H16" s="26" t="n"/>
      <c r="J16" t="inlineStr">
        <is>
          <t xml:space="preserve">MW </t>
        </is>
      </c>
      <c r="K16" t="inlineStr">
        <is>
          <t>Duy</t>
        </is>
      </c>
      <c r="L16" t="b">
        <v>1</v>
      </c>
    </row>
    <row r="17">
      <c r="A17" t="inlineStr">
        <is>
          <t>iPad Air M3  11" 128 GB Wifi</t>
        </is>
      </c>
      <c r="B17" s="3" t="n"/>
      <c r="C17" s="62" t="n">
        <v>12890000</v>
      </c>
      <c r="D17" s="62" t="n">
        <v>12890000</v>
      </c>
      <c r="E17" s="34" t="n">
        <v>12490000</v>
      </c>
      <c r="F17" s="38" t="n">
        <v>12890000</v>
      </c>
      <c r="G17" s="38" t="n">
        <v>12890000</v>
      </c>
      <c r="H17" s="26" t="n">
        <v>-400</v>
      </c>
      <c r="I17" s="26" t="n"/>
      <c r="J17" t="inlineStr">
        <is>
          <t>FPT</t>
        </is>
      </c>
      <c r="K17" t="inlineStr">
        <is>
          <t>Trang</t>
        </is>
      </c>
      <c r="L17" t="b">
        <v>1</v>
      </c>
    </row>
    <row r="18">
      <c r="A18" t="inlineStr">
        <is>
          <t>iPad Air M3  13" 128 GB Wifi</t>
        </is>
      </c>
      <c r="B18" s="25" t="n"/>
      <c r="C18" s="62" t="n">
        <v>18690000</v>
      </c>
      <c r="D18" s="62" t="n">
        <v>18690000</v>
      </c>
      <c r="E18" s="25" t="n">
        <v>20490000</v>
      </c>
      <c r="F18" s="38" t="n">
        <v>18690000</v>
      </c>
      <c r="G18" s="40" t="n">
        <v>18690000</v>
      </c>
      <c r="H18" s="79" t="n"/>
      <c r="J18" t="inlineStr">
        <is>
          <t>Viettel</t>
        </is>
      </c>
      <c r="K18" t="inlineStr">
        <is>
          <t>Nghĩa</t>
        </is>
      </c>
      <c r="L18" t="b">
        <v>1</v>
      </c>
    </row>
    <row r="19">
      <c r="A19" t="inlineStr">
        <is>
          <t>iPad Pro  M4  11" 256 GB Wifi</t>
        </is>
      </c>
      <c r="B19" s="25" t="n"/>
      <c r="C19" s="25" t="inlineStr">
        <is>
          <t>OOS</t>
        </is>
      </c>
      <c r="D19" s="64" t="n">
        <v>27990000</v>
      </c>
      <c r="E19" s="25" t="inlineStr">
        <is>
          <t>OOS</t>
        </is>
      </c>
      <c r="F19" s="40" t="n">
        <v>28190000</v>
      </c>
      <c r="G19" s="40" t="n">
        <v>27190000</v>
      </c>
      <c r="H19" s="26" t="n"/>
      <c r="J19" t="inlineStr">
        <is>
          <t>CPS</t>
        </is>
      </c>
      <c r="K19" t="inlineStr">
        <is>
          <t>Hải</t>
        </is>
      </c>
      <c r="L19" t="b">
        <v>1</v>
      </c>
    </row>
    <row r="20">
      <c r="A20" t="inlineStr">
        <is>
          <t>iPad Pro  M4  13" 256 GB Wifi</t>
        </is>
      </c>
      <c r="B20" s="3" t="n"/>
      <c r="C20" s="25" t="inlineStr">
        <is>
          <t>OOS</t>
        </is>
      </c>
      <c r="D20" s="64" t="n">
        <v>36290000</v>
      </c>
      <c r="E20" s="25" t="n">
        <v>34290000</v>
      </c>
      <c r="F20" s="40" t="n">
        <v>36290000</v>
      </c>
      <c r="G20" s="40" t="n">
        <v>33690000</v>
      </c>
      <c r="H20" s="26" t="n"/>
      <c r="J20" t="inlineStr">
        <is>
          <t>ShopDunk</t>
        </is>
      </c>
      <c r="K20" t="inlineStr">
        <is>
          <t>Đạt</t>
        </is>
      </c>
      <c r="L20" t="b">
        <v>1</v>
      </c>
    </row>
    <row r="21">
      <c r="A21" t="inlineStr">
        <is>
          <t>iPad Pro M5 11” 256GB Wifi</t>
        </is>
      </c>
      <c r="B21" s="3" t="n"/>
      <c r="C21" s="64" t="n">
        <v>29990000</v>
      </c>
      <c r="D21" s="64" t="n">
        <v>29990000</v>
      </c>
      <c r="E21" s="25" t="n">
        <v>28990000</v>
      </c>
      <c r="F21" s="40" t="n">
        <v>29990000</v>
      </c>
      <c r="G21" s="40" t="n">
        <v>28990000</v>
      </c>
      <c r="H21" s="26" t="n"/>
    </row>
    <row r="22">
      <c r="A22" t="inlineStr">
        <is>
          <t>iPad Pro M5 13” 256GB Wifi</t>
        </is>
      </c>
      <c r="B22" s="3" t="n"/>
      <c r="C22" s="25" t="n">
        <v>39990000</v>
      </c>
      <c r="D22" s="25" t="n">
        <v>39990000</v>
      </c>
      <c r="E22" s="25" t="n">
        <v>38990000</v>
      </c>
      <c r="F22" s="40" t="n">
        <v>39990000</v>
      </c>
      <c r="G22" s="40" t="n">
        <v>39590000</v>
      </c>
      <c r="H22" s="26" t="n"/>
    </row>
    <row r="23">
      <c r="A23" t="inlineStr">
        <is>
          <t>AW SE 3 (40mm GPS)</t>
        </is>
      </c>
      <c r="B23" s="25" t="n"/>
      <c r="C23" s="62" t="n">
        <v>5590000</v>
      </c>
      <c r="D23" s="62" t="n">
        <v>5490000</v>
      </c>
      <c r="E23" s="25" t="n">
        <v>5890000</v>
      </c>
      <c r="F23" s="40" t="n">
        <v>5590000</v>
      </c>
      <c r="G23" s="40" t="n">
        <v>5990000</v>
      </c>
      <c r="H23" s="26" t="n"/>
    </row>
    <row r="24">
      <c r="A24" t="inlineStr">
        <is>
          <t>AW SE 3 (40mm LTE)</t>
        </is>
      </c>
      <c r="B24" s="25" t="n"/>
      <c r="C24" s="64" t="n">
        <v>7790000</v>
      </c>
      <c r="D24" s="62" t="n">
        <v>7590000</v>
      </c>
      <c r="E24" s="34" t="n">
        <v>7090000</v>
      </c>
      <c r="F24" s="40" t="n">
        <v>7590000</v>
      </c>
      <c r="G24" s="40" t="n">
        <v>7790000</v>
      </c>
      <c r="H24" s="26" t="n"/>
    </row>
    <row r="25">
      <c r="A25" t="inlineStr">
        <is>
          <t>AW SE 3 (44mm GPS)</t>
        </is>
      </c>
      <c r="B25" s="25" t="n"/>
      <c r="C25" s="64" t="n">
        <v>6990000</v>
      </c>
      <c r="D25" s="64" t="n">
        <v>6990000</v>
      </c>
      <c r="E25" s="25" t="n">
        <v>6490000</v>
      </c>
      <c r="F25" s="40" t="n">
        <v>7190000</v>
      </c>
      <c r="G25" s="40" t="n">
        <v>7190000</v>
      </c>
      <c r="H25" s="26" t="n"/>
    </row>
    <row r="26">
      <c r="A26" t="inlineStr">
        <is>
          <t>AW SE 3 (44mm LTE)</t>
        </is>
      </c>
      <c r="B26" s="25" t="n"/>
      <c r="C26" s="62" t="n">
        <v>8390000</v>
      </c>
      <c r="D26" s="64" t="n">
        <v>8290000</v>
      </c>
      <c r="E26" s="25" t="n">
        <v>7990000</v>
      </c>
      <c r="F26" s="40" t="n">
        <v>8790000</v>
      </c>
      <c r="G26" s="40" t="n">
        <v>8490000</v>
      </c>
      <c r="H26" s="26" t="n"/>
    </row>
    <row r="27">
      <c r="A27" t="inlineStr">
        <is>
          <t>AW S11 (42mm GPS)</t>
        </is>
      </c>
      <c r="B27" s="3" t="n"/>
      <c r="C27" s="62" t="n">
        <v>9190000</v>
      </c>
      <c r="D27" s="62" t="n">
        <v>9190000</v>
      </c>
      <c r="E27" s="25" t="n">
        <v>8490000</v>
      </c>
      <c r="F27" s="40" t="n">
        <v>9190000</v>
      </c>
      <c r="G27" s="40" t="n">
        <v>9190000</v>
      </c>
      <c r="H27" s="26" t="n"/>
    </row>
    <row r="28">
      <c r="A28" t="inlineStr">
        <is>
          <t>AW S11 (42mm CEL)</t>
        </is>
      </c>
      <c r="B28" s="3" t="n"/>
      <c r="C28" s="64" t="n">
        <v>12190000</v>
      </c>
      <c r="D28" s="62" t="n">
        <v>12190000</v>
      </c>
      <c r="E28" s="25" t="n">
        <v>11490000</v>
      </c>
      <c r="F28" s="38" t="n">
        <v>12390000</v>
      </c>
      <c r="G28" s="40" t="n">
        <v>13990000</v>
      </c>
      <c r="H28" s="26" t="n"/>
    </row>
    <row r="29">
      <c r="A29" t="inlineStr">
        <is>
          <t>AW S11 (46mm GPS)</t>
        </is>
      </c>
      <c r="B29" s="3" t="n"/>
      <c r="C29" s="62" t="n">
        <v>9990000</v>
      </c>
      <c r="D29" s="64" t="n">
        <v>9990000</v>
      </c>
      <c r="E29" s="25" t="n">
        <v>9190000</v>
      </c>
      <c r="F29" s="40" t="n">
        <v>9990000</v>
      </c>
      <c r="G29" s="40" t="n">
        <v>10150000</v>
      </c>
      <c r="H29" s="26" t="n"/>
    </row>
    <row r="30">
      <c r="A30" t="inlineStr">
        <is>
          <t>AW S11 (46mm CEL)</t>
        </is>
      </c>
      <c r="B30" s="3" t="n"/>
      <c r="C30" s="62" t="n">
        <v>13150000</v>
      </c>
      <c r="D30" s="64" t="n">
        <v>13090000</v>
      </c>
      <c r="E30" s="25" t="n">
        <v>12490000</v>
      </c>
      <c r="F30" s="40" t="n">
        <v>13290000</v>
      </c>
      <c r="G30" s="40" t="n">
        <v>13190000</v>
      </c>
      <c r="H30" s="26" t="n"/>
    </row>
    <row r="31">
      <c r="A31" t="inlineStr">
        <is>
          <t>AW Ultra 3 (49mm)</t>
        </is>
      </c>
      <c r="B31" s="25" t="n"/>
      <c r="C31" s="64" t="n">
        <v>23190000</v>
      </c>
      <c r="D31" s="62" t="n">
        <v>23190000</v>
      </c>
      <c r="E31" s="25" t="n">
        <v>22990000</v>
      </c>
      <c r="F31" s="40" t="n">
        <v>22990000</v>
      </c>
      <c r="G31" s="40" t="n">
        <v>23390000</v>
      </c>
      <c r="H31" s="26" t="n"/>
    </row>
    <row r="32">
      <c r="A32" t="inlineStr">
        <is>
          <t>AirPods Pro 2 - 2023 (C-Type)</t>
        </is>
      </c>
      <c r="B32" s="3" t="n"/>
      <c r="C32" s="64" t="n">
        <v>4990000</v>
      </c>
      <c r="D32" s="62" t="n">
        <v>4990000</v>
      </c>
      <c r="E32" s="25" t="n">
        <v>4290000</v>
      </c>
      <c r="F32" s="40" t="n">
        <v>4950000</v>
      </c>
      <c r="G32" s="40" t="n">
        <v>5590000</v>
      </c>
      <c r="H32" s="26" t="n"/>
      <c r="J32" s="84" t="n"/>
    </row>
    <row r="33">
      <c r="A33" t="inlineStr">
        <is>
          <t>AirPods 4 ANC</t>
        </is>
      </c>
      <c r="B33" s="3" t="n"/>
      <c r="C33" s="64" t="n">
        <v>4490000</v>
      </c>
      <c r="D33" s="64" t="n">
        <v>4390000</v>
      </c>
      <c r="E33" s="25" t="n">
        <v>4390000</v>
      </c>
      <c r="F33" s="40" t="n">
        <v>4450000</v>
      </c>
      <c r="G33" s="40" t="n">
        <v>4390000</v>
      </c>
      <c r="H33" s="26" t="n"/>
    </row>
    <row r="34">
      <c r="A34" t="inlineStr">
        <is>
          <t>AirPods 4 with charging case</t>
        </is>
      </c>
      <c r="B34" s="3" t="n"/>
      <c r="C34" s="64" t="n">
        <v>3090000</v>
      </c>
      <c r="D34" s="62" t="n">
        <v>3050000</v>
      </c>
      <c r="E34" s="25" t="n">
        <v>2990000</v>
      </c>
      <c r="F34" s="39" t="n">
        <v>3050000</v>
      </c>
      <c r="G34" s="40" t="n">
        <v>2990000</v>
      </c>
      <c r="H34" s="26" t="n"/>
    </row>
    <row r="35">
      <c r="A35" t="inlineStr">
        <is>
          <t>AirPods Pro 3</t>
        </is>
      </c>
      <c r="B35" s="3" t="n"/>
      <c r="C35" s="40" t="n">
        <v>6790000</v>
      </c>
      <c r="D35" s="64" t="n">
        <v>6790000</v>
      </c>
      <c r="E35" s="72" t="n">
        <v>6490000</v>
      </c>
      <c r="F35" s="40" t="n">
        <v>6790000</v>
      </c>
      <c r="G35" s="38" t="n">
        <v>6490000</v>
      </c>
      <c r="H35" s="26" t="n">
        <v>100</v>
      </c>
    </row>
    <row r="36">
      <c r="A36" t="inlineStr">
        <is>
          <t>MacBook Air 13" M2 16/256GB</t>
        </is>
      </c>
      <c r="B36" s="25" t="n"/>
      <c r="C36" s="64" t="n">
        <v>19690000</v>
      </c>
      <c r="D36" s="64" t="n">
        <v>19690000</v>
      </c>
      <c r="E36" s="37" t="n"/>
      <c r="F36" s="40" t="n">
        <v>19690000</v>
      </c>
      <c r="G36" s="40" t="n">
        <v>18990000</v>
      </c>
      <c r="H36" s="26" t="n"/>
    </row>
    <row r="37">
      <c r="A37" t="inlineStr">
        <is>
          <t>MacBook Air 13" M4 16/256GB</t>
        </is>
      </c>
      <c r="B37" s="3" t="n"/>
      <c r="C37" s="64" t="n">
        <v>25290000</v>
      </c>
      <c r="D37" s="62" t="n">
        <v>24990000</v>
      </c>
      <c r="E37" s="37" t="n"/>
      <c r="F37" s="40" t="n">
        <v>24990000</v>
      </c>
      <c r="G37" s="38" t="n">
        <v>24690000</v>
      </c>
      <c r="H37" s="26" t="n">
        <v>-300</v>
      </c>
    </row>
    <row r="38">
      <c r="A38" t="inlineStr">
        <is>
          <t>MacBook Air 15" M4 16/256GB</t>
        </is>
      </c>
      <c r="B38" s="25" t="n"/>
      <c r="C38" s="64" t="n">
        <v>29990000</v>
      </c>
      <c r="D38" s="64" t="n">
        <v>29990000</v>
      </c>
      <c r="E38" s="37" t="n"/>
      <c r="F38" s="40" t="n">
        <v>29990000</v>
      </c>
      <c r="G38" s="40" t="n">
        <v>28290000</v>
      </c>
      <c r="H38" s="26" t="n"/>
    </row>
    <row r="39">
      <c r="A39" t="inlineStr">
        <is>
          <t>MacBook Pro 14" M4 16/512GB</t>
        </is>
      </c>
      <c r="B39" s="25" t="n"/>
      <c r="C39" s="64" t="inlineStr">
        <is>
          <t>OOS</t>
        </is>
      </c>
      <c r="D39" s="64" t="n">
        <v>37990000</v>
      </c>
      <c r="E39" s="37" t="n"/>
      <c r="F39" s="40" t="n">
        <v>38590000</v>
      </c>
      <c r="G39" s="40" t="n">
        <v>38390000</v>
      </c>
      <c r="H39" s="26" t="n"/>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64" t="inlineStr">
        <is>
          <t>OOS</t>
        </is>
      </c>
      <c r="D41" s="64" t="n">
        <v>64490000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89.xml><?xml version="1.0" encoding="utf-8"?>
<worksheet xmlns="http://schemas.openxmlformats.org/spreadsheetml/2006/main">
  <sheetPr>
    <outlinePr summaryBelow="1" summaryRight="1"/>
    <pageSetUpPr/>
  </sheetPr>
  <dimension ref="A1:L153"/>
  <sheetViews>
    <sheetView zoomScaleNormal="13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35" min="5" max="5"/>
    <col width="14.375" customWidth="1" style="35" min="6" max="6"/>
    <col width="13" customWidth="1" style="35" min="7" max="7"/>
    <col width="13.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76" t="n">
        <v>24490000</v>
      </c>
      <c r="E2" s="34" t="n">
        <v>24690000</v>
      </c>
      <c r="F2" s="38" t="n">
        <v>24890000</v>
      </c>
      <c r="G2" s="40" t="n">
        <v>24690000</v>
      </c>
    </row>
    <row r="3">
      <c r="A3" t="inlineStr">
        <is>
          <t>iPhone Air 256G</t>
        </is>
      </c>
      <c r="B3" s="83" t="n"/>
      <c r="C3" s="76" t="n">
        <v>26990000</v>
      </c>
      <c r="D3" s="76" t="n">
        <v>26490000</v>
      </c>
      <c r="E3" s="34" t="n">
        <v>25990000</v>
      </c>
      <c r="F3" s="38" t="n">
        <v>26490000</v>
      </c>
      <c r="G3" s="38" t="n">
        <v>25990000</v>
      </c>
      <c r="H3" s="26" t="n">
        <v>-4000</v>
      </c>
    </row>
    <row r="4">
      <c r="A4" t="inlineStr">
        <is>
          <t>iPhone 17 Pro 256GB</t>
        </is>
      </c>
      <c r="B4" s="83" t="n"/>
      <c r="C4" s="68" t="n">
        <v>34690000</v>
      </c>
      <c r="D4" s="76" t="n">
        <v>33990000</v>
      </c>
      <c r="E4" s="34" t="n">
        <v>34090000</v>
      </c>
      <c r="F4" s="38" t="n">
        <v>34390000</v>
      </c>
      <c r="G4" s="40" t="n">
        <v>33990000</v>
      </c>
      <c r="H4" s="26" t="n"/>
    </row>
    <row r="5">
      <c r="A5" t="inlineStr">
        <is>
          <t>iPhone 17 Pro Max 256GB</t>
        </is>
      </c>
      <c r="B5" s="83" t="n"/>
      <c r="C5" s="68" t="n">
        <v>37990000</v>
      </c>
      <c r="D5" s="76" t="n">
        <v>37690000</v>
      </c>
      <c r="E5" s="34" t="n">
        <v>36990000</v>
      </c>
      <c r="F5" s="38" t="n">
        <v>37690000</v>
      </c>
      <c r="G5" s="38" t="n">
        <v>36990000</v>
      </c>
      <c r="H5" s="26" t="n">
        <v>-200</v>
      </c>
    </row>
    <row r="6">
      <c r="A6" t="inlineStr">
        <is>
          <t>iPhone 16e  128GB</t>
        </is>
      </c>
      <c r="B6" s="83" t="n"/>
      <c r="C6" s="68" t="n">
        <v>15190000</v>
      </c>
      <c r="D6" s="68" t="n">
        <v>15990000</v>
      </c>
      <c r="E6" s="72" t="n">
        <v>12490000</v>
      </c>
      <c r="F6" s="72" t="n">
        <v>12490000</v>
      </c>
      <c r="G6" s="40" t="n">
        <v>15190000</v>
      </c>
      <c r="H6" s="26" t="n"/>
    </row>
    <row r="7">
      <c r="A7" t="inlineStr">
        <is>
          <t>iPhone 16  128GB</t>
        </is>
      </c>
      <c r="B7" s="71" t="n"/>
      <c r="C7" s="73" t="n">
        <v>19990000</v>
      </c>
      <c r="D7" s="73" t="n">
        <v>19490000</v>
      </c>
      <c r="E7" s="34" t="n">
        <v>19690000</v>
      </c>
      <c r="F7" s="38" t="n">
        <v>19790000</v>
      </c>
      <c r="G7" s="38" t="n">
        <v>19690000</v>
      </c>
      <c r="H7" s="26" t="n">
        <v>-900</v>
      </c>
    </row>
    <row r="8">
      <c r="A8" t="inlineStr">
        <is>
          <t>iPhone 16  Plus 128GB</t>
        </is>
      </c>
      <c r="B8" s="3" t="n"/>
      <c r="C8" s="62" t="n">
        <v>23990000</v>
      </c>
      <c r="D8" s="62" t="n">
        <v>23790000</v>
      </c>
      <c r="E8" s="25" t="n">
        <v>23490000</v>
      </c>
      <c r="F8" s="38" t="n">
        <v>23790000</v>
      </c>
      <c r="G8" s="38" t="n">
        <v>23390000</v>
      </c>
      <c r="H8" s="26" t="n">
        <v>-700</v>
      </c>
    </row>
    <row r="9">
      <c r="A9" t="inlineStr">
        <is>
          <t>iPhone 16 Pro  128GB</t>
        </is>
      </c>
      <c r="B9" s="25" t="n"/>
      <c r="C9" s="64" t="n">
        <v>25590000</v>
      </c>
      <c r="D9" s="40" t="n">
        <v>25490000</v>
      </c>
      <c r="E9" s="25" t="n">
        <v>24990000</v>
      </c>
      <c r="F9" s="38" t="n">
        <v>25490000</v>
      </c>
      <c r="G9" s="40" t="n">
        <v>24990000</v>
      </c>
      <c r="H9" s="26" t="n"/>
    </row>
    <row r="10">
      <c r="A10" t="inlineStr">
        <is>
          <t>iPhone 16 Pro Max 256GB</t>
        </is>
      </c>
      <c r="B10" s="3" t="n"/>
      <c r="C10" s="62" t="n">
        <v>31590000</v>
      </c>
      <c r="D10" s="62" t="n">
        <v>31290000</v>
      </c>
      <c r="E10" s="34" t="n">
        <v>30890000</v>
      </c>
      <c r="F10" s="38" t="n">
        <v>31390000</v>
      </c>
      <c r="G10" s="38" t="n">
        <v>31990000</v>
      </c>
      <c r="H10" s="26" t="n">
        <v>1000</v>
      </c>
    </row>
    <row r="11">
      <c r="A11" t="inlineStr">
        <is>
          <t>iPhone 15  128GB</t>
        </is>
      </c>
      <c r="B11" s="25" t="n"/>
      <c r="C11" s="62" t="n">
        <v>16990000</v>
      </c>
      <c r="D11" s="62" t="n">
        <v>16490000</v>
      </c>
      <c r="E11" s="25" t="n">
        <v>16690000</v>
      </c>
      <c r="F11" s="38" t="n">
        <v>16790000</v>
      </c>
      <c r="G11" s="40" t="n">
        <v>16590000</v>
      </c>
      <c r="H11" s="26" t="n"/>
    </row>
    <row r="12">
      <c r="A12" t="inlineStr">
        <is>
          <t>iPhone 15  Plus 128GB</t>
        </is>
      </c>
      <c r="B12" s="25" t="n"/>
      <c r="C12" s="64" t="n">
        <v>19590000</v>
      </c>
      <c r="D12" s="64" t="inlineStr">
        <is>
          <t>OOS</t>
        </is>
      </c>
      <c r="E12" s="64" t="inlineStr">
        <is>
          <t>OOS</t>
        </is>
      </c>
      <c r="F12" s="40" t="n">
        <v>17690000</v>
      </c>
      <c r="G12" s="40" t="n">
        <v>18490000</v>
      </c>
      <c r="H12" s="26" t="n"/>
    </row>
    <row r="13">
      <c r="A13" t="inlineStr">
        <is>
          <t>iPhone 14 128GB</t>
        </is>
      </c>
      <c r="B13" s="25" t="n"/>
      <c r="C13" s="64" t="n">
        <v>13890000</v>
      </c>
      <c r="D13" s="62" t="n">
        <v>13390000</v>
      </c>
      <c r="E13" s="25" t="n">
        <v>13390000</v>
      </c>
      <c r="F13" s="40" t="n">
        <v>13590000</v>
      </c>
      <c r="G13" s="40" t="n">
        <v>12990000</v>
      </c>
      <c r="H13" s="26" t="n"/>
    </row>
    <row r="14">
      <c r="A14" t="inlineStr">
        <is>
          <t>iPhone 13  128GB</t>
        </is>
      </c>
      <c r="B14" s="3" t="n"/>
      <c r="C14" s="64" t="n">
        <v>12490000</v>
      </c>
      <c r="D14" s="54" t="n">
        <v>11890000</v>
      </c>
      <c r="E14" s="25" t="n">
        <v>11990000</v>
      </c>
      <c r="F14" s="40" t="n">
        <v>12090000</v>
      </c>
      <c r="G14" s="40" t="n">
        <v>11890000</v>
      </c>
      <c r="H14" s="26" t="n"/>
    </row>
    <row r="15">
      <c r="A15" t="inlineStr">
        <is>
          <t>iPad Mini 7 128GB Wifi</t>
        </is>
      </c>
      <c r="B15" s="25" t="n"/>
      <c r="C15" s="64" t="n">
        <v>11790000</v>
      </c>
      <c r="D15" s="62" t="n">
        <v>11490000</v>
      </c>
      <c r="E15" s="25" t="n">
        <v>11290000</v>
      </c>
      <c r="F15" s="40" t="n">
        <v>11790000</v>
      </c>
      <c r="G15" s="40" t="n">
        <v>11590000</v>
      </c>
      <c r="H15" s="26" t="n"/>
    </row>
    <row r="16">
      <c r="A16" t="inlineStr">
        <is>
          <t>iPad Gen 11th  128GB Wifi</t>
        </is>
      </c>
      <c r="B16" s="3" t="n"/>
      <c r="C16" s="62" t="n">
        <v>8490000</v>
      </c>
      <c r="D16" s="64" t="n">
        <v>8490000</v>
      </c>
      <c r="E16" s="34" t="n">
        <v>8490000</v>
      </c>
      <c r="F16" s="38" t="n">
        <v>8590000</v>
      </c>
      <c r="G16" s="38" t="n">
        <v>8390000</v>
      </c>
      <c r="H16" s="26" t="n">
        <v>-100</v>
      </c>
      <c r="J16" t="inlineStr">
        <is>
          <t xml:space="preserve">MW </t>
        </is>
      </c>
      <c r="K16" t="inlineStr">
        <is>
          <t>Hải</t>
        </is>
      </c>
      <c r="L16" t="b">
        <v>1</v>
      </c>
    </row>
    <row r="17">
      <c r="A17" t="inlineStr">
        <is>
          <t>iPad Air M3  11" 128 GB Wifi</t>
        </is>
      </c>
      <c r="B17" s="3" t="n"/>
      <c r="C17" s="62" t="n">
        <v>15790000</v>
      </c>
      <c r="D17" s="62" t="n">
        <v>15790000</v>
      </c>
      <c r="E17" s="34" t="n">
        <v>15390000</v>
      </c>
      <c r="F17" s="38" t="n">
        <v>15790000</v>
      </c>
      <c r="G17" s="38" t="n">
        <v>15990000</v>
      </c>
      <c r="H17" s="26" t="n">
        <v>3100</v>
      </c>
      <c r="I17" s="26" t="n"/>
      <c r="J17" t="inlineStr">
        <is>
          <t>FPT</t>
        </is>
      </c>
      <c r="K17" t="inlineStr">
        <is>
          <t>Trang</t>
        </is>
      </c>
      <c r="L17" t="b">
        <v>1</v>
      </c>
    </row>
    <row r="18">
      <c r="A18" t="inlineStr">
        <is>
          <t>iPad Air M3  13" 128 GB Wifi</t>
        </is>
      </c>
      <c r="B18" s="25" t="n"/>
      <c r="C18" s="62" t="n">
        <v>21790000</v>
      </c>
      <c r="D18" s="62" t="n">
        <v>21190000</v>
      </c>
      <c r="E18" s="25" t="n">
        <v>20490000</v>
      </c>
      <c r="F18" s="38" t="n">
        <v>21390000</v>
      </c>
      <c r="G18" s="38" t="n">
        <v>20990000</v>
      </c>
      <c r="H18" s="79" t="n">
        <v>2300</v>
      </c>
      <c r="J18" t="inlineStr">
        <is>
          <t>Viettel</t>
        </is>
      </c>
      <c r="K18" t="inlineStr">
        <is>
          <t>Nghĩa</t>
        </is>
      </c>
      <c r="L18" t="b">
        <v>1</v>
      </c>
    </row>
    <row r="19">
      <c r="A19" t="inlineStr">
        <is>
          <t>iPad Pro  M4  11" 256 GB Wifi</t>
        </is>
      </c>
      <c r="B19" s="25" t="n"/>
      <c r="C19" s="25" t="inlineStr">
        <is>
          <t>OOS</t>
        </is>
      </c>
      <c r="D19" s="64" t="n">
        <v>27990000</v>
      </c>
      <c r="E19" s="25" t="inlineStr">
        <is>
          <t>OOS</t>
        </is>
      </c>
      <c r="F19" s="40" t="n">
        <v>28190000</v>
      </c>
      <c r="G19" s="25" t="inlineStr">
        <is>
          <t>OOS</t>
        </is>
      </c>
      <c r="H19" s="26" t="n"/>
      <c r="J19" t="inlineStr">
        <is>
          <t>CPS</t>
        </is>
      </c>
      <c r="K19" t="inlineStr">
        <is>
          <t>Duy</t>
        </is>
      </c>
      <c r="L19" t="b">
        <v>1</v>
      </c>
    </row>
    <row r="20">
      <c r="A20" t="inlineStr">
        <is>
          <t>iPad Pro  M4  13" 256 GB Wifi</t>
        </is>
      </c>
      <c r="B20" s="3" t="n"/>
      <c r="C20" s="25" t="inlineStr">
        <is>
          <t>OOS</t>
        </is>
      </c>
      <c r="D20" s="64" t="n">
        <v>36290000</v>
      </c>
      <c r="E20" s="25" t="inlineStr">
        <is>
          <t>OOS</t>
        </is>
      </c>
      <c r="F20" s="40" t="n">
        <v>36290000</v>
      </c>
      <c r="G20" s="25" t="inlineStr">
        <is>
          <t>OOS</t>
        </is>
      </c>
      <c r="H20" s="26" t="n"/>
      <c r="J20" t="inlineStr">
        <is>
          <t>ShopDunk</t>
        </is>
      </c>
      <c r="K20" t="inlineStr">
        <is>
          <t>Đạt</t>
        </is>
      </c>
      <c r="L20" t="b">
        <v>1</v>
      </c>
    </row>
    <row r="21">
      <c r="A21" t="inlineStr">
        <is>
          <t>iPad Pro M5 11” 256GB Wifi</t>
        </is>
      </c>
      <c r="B21" s="3" t="n"/>
      <c r="C21" s="64" t="n">
        <v>29990000</v>
      </c>
      <c r="D21" s="62" t="n">
        <v>29790000</v>
      </c>
      <c r="E21" s="25" t="n">
        <v>28990000</v>
      </c>
      <c r="F21" s="38" t="n">
        <v>29790000</v>
      </c>
      <c r="G21" s="40" t="n">
        <v>28990000</v>
      </c>
      <c r="H21" s="26" t="n"/>
    </row>
    <row r="22">
      <c r="A22" t="inlineStr">
        <is>
          <t>iPad Pro M5 13” 256GB Wifi</t>
        </is>
      </c>
      <c r="B22" s="3" t="n"/>
      <c r="C22" s="64" t="n">
        <v>39990000</v>
      </c>
      <c r="D22" s="25" t="n">
        <v>39990000</v>
      </c>
      <c r="E22" s="25" t="n">
        <v>38990000</v>
      </c>
      <c r="F22" s="40" t="n">
        <v>39990000</v>
      </c>
      <c r="G22" s="40" t="n">
        <v>39590000</v>
      </c>
      <c r="H22" s="26" t="n"/>
    </row>
    <row r="23">
      <c r="A23" t="inlineStr">
        <is>
          <t>AW SE 3 (40mm GPS)</t>
        </is>
      </c>
      <c r="B23" s="25" t="n"/>
      <c r="C23" s="64" t="n">
        <v>5690000</v>
      </c>
      <c r="D23" s="62" t="n">
        <v>5690000</v>
      </c>
      <c r="E23" s="34" t="n">
        <v>6190000</v>
      </c>
      <c r="F23" s="38" t="n">
        <v>6090000</v>
      </c>
      <c r="G23" s="38" t="n">
        <v>6390000</v>
      </c>
      <c r="H23" s="26" t="n">
        <v>400</v>
      </c>
    </row>
    <row r="24">
      <c r="A24" t="inlineStr">
        <is>
          <t>AW SE 3 (40mm LTE)</t>
        </is>
      </c>
      <c r="B24" s="25" t="n"/>
      <c r="C24" s="64" t="n">
        <v>7690000</v>
      </c>
      <c r="D24" s="62" t="n">
        <v>7690000</v>
      </c>
      <c r="E24" s="34" t="n">
        <v>7790000</v>
      </c>
      <c r="F24" s="38" t="n">
        <v>7790000</v>
      </c>
      <c r="G24" s="40" t="n">
        <v>7790000</v>
      </c>
      <c r="H24" s="26" t="n"/>
    </row>
    <row r="25">
      <c r="A25" t="inlineStr">
        <is>
          <t>AW SE 3 (44mm GPS)</t>
        </is>
      </c>
      <c r="B25" s="25" t="n"/>
      <c r="C25" s="64" t="n">
        <v>6990000</v>
      </c>
      <c r="D25" s="64" t="n">
        <v>6990000</v>
      </c>
      <c r="E25" s="34" t="n">
        <v>6990000</v>
      </c>
      <c r="F25" s="38" t="n">
        <v>6990000</v>
      </c>
      <c r="G25" s="38" t="n">
        <v>7290000</v>
      </c>
      <c r="H25" s="26" t="n">
        <v>100</v>
      </c>
    </row>
    <row r="26">
      <c r="A26" t="inlineStr">
        <is>
          <t>AW SE 3 (44mm LTE)</t>
        </is>
      </c>
      <c r="B26" s="25" t="n"/>
      <c r="C26" s="64" t="n">
        <v>8390000</v>
      </c>
      <c r="D26" s="62" t="n">
        <v>8290000</v>
      </c>
      <c r="E26" s="34" t="n">
        <v>8590000</v>
      </c>
      <c r="F26" s="38" t="n">
        <v>8490000</v>
      </c>
      <c r="G26" s="40" t="n">
        <v>8490000</v>
      </c>
      <c r="H26" s="26" t="n"/>
    </row>
    <row r="27">
      <c r="A27" t="inlineStr">
        <is>
          <t>AW S11 (42mm GPS)</t>
        </is>
      </c>
      <c r="B27" s="3" t="n"/>
      <c r="C27" s="64" t="n">
        <v>9290000</v>
      </c>
      <c r="D27" s="64" t="n">
        <v>9190000</v>
      </c>
      <c r="E27" s="34" t="n">
        <v>8990000</v>
      </c>
      <c r="F27" s="38" t="n">
        <v>9290000</v>
      </c>
      <c r="G27" s="38" t="n">
        <v>9390000</v>
      </c>
      <c r="H27" s="26" t="n">
        <v>200</v>
      </c>
    </row>
    <row r="28">
      <c r="A28" t="inlineStr">
        <is>
          <t>AW S11 (42mm CEL)</t>
        </is>
      </c>
      <c r="B28" s="3" t="n"/>
      <c r="C28" s="64" t="n">
        <v>12190000</v>
      </c>
      <c r="D28" s="62" t="n">
        <v>12190000</v>
      </c>
      <c r="E28" s="34" t="n">
        <v>11990000</v>
      </c>
      <c r="F28" s="40" t="n">
        <v>12390000</v>
      </c>
      <c r="G28" s="38" t="n">
        <v>12190000</v>
      </c>
      <c r="H28" s="26" t="n">
        <v>-1800</v>
      </c>
    </row>
    <row r="29">
      <c r="A29" t="inlineStr">
        <is>
          <t>AW S11 (46mm GPS)</t>
        </is>
      </c>
      <c r="B29" s="3" t="n"/>
      <c r="C29" s="64" t="n">
        <v>9990000</v>
      </c>
      <c r="D29" s="64" t="n">
        <v>9990000</v>
      </c>
      <c r="E29" s="34" t="n">
        <v>9690000</v>
      </c>
      <c r="F29" s="38" t="n">
        <v>10190000</v>
      </c>
      <c r="G29" s="40" t="n">
        <v>10150000</v>
      </c>
      <c r="H29" s="26" t="n"/>
    </row>
    <row r="30">
      <c r="A30" t="inlineStr">
        <is>
          <t>AW S11 (46mm CEL)</t>
        </is>
      </c>
      <c r="B30" s="3" t="n"/>
      <c r="C30" s="62" t="inlineStr">
        <is>
          <t>OOS</t>
        </is>
      </c>
      <c r="D30" s="62" t="n">
        <v>12990000</v>
      </c>
      <c r="E30" s="34" t="n">
        <v>12990000</v>
      </c>
      <c r="F30" s="40" t="n">
        <v>13290000</v>
      </c>
      <c r="G30" s="40" t="n">
        <v>13190000</v>
      </c>
      <c r="H30" s="26" t="n"/>
    </row>
    <row r="31">
      <c r="A31" t="inlineStr">
        <is>
          <t>AW Ultra 3 (49mm)</t>
        </is>
      </c>
      <c r="B31" s="25" t="n"/>
      <c r="C31" s="64" t="n">
        <v>23190000</v>
      </c>
      <c r="D31" s="62" t="n">
        <v>23290000</v>
      </c>
      <c r="E31" s="34" t="n">
        <v>22490000</v>
      </c>
      <c r="F31" s="40" t="n">
        <v>22990000</v>
      </c>
      <c r="G31" s="38" t="n">
        <v>23290000</v>
      </c>
      <c r="H31" s="26" t="n">
        <v>-100</v>
      </c>
    </row>
    <row r="32">
      <c r="A32" t="inlineStr">
        <is>
          <t>AirPods Pro 2 - 2023 (C-Type)</t>
        </is>
      </c>
      <c r="B32" s="3" t="n"/>
      <c r="C32" s="64" t="n">
        <v>4990000</v>
      </c>
      <c r="D32" s="62" t="n">
        <v>4990000</v>
      </c>
      <c r="E32" s="34" t="n">
        <v>6490000</v>
      </c>
      <c r="F32" s="40" t="n">
        <v>4950000</v>
      </c>
      <c r="G32" s="40" t="n">
        <v>5590000</v>
      </c>
      <c r="H32" s="26" t="n"/>
      <c r="J32" s="84" t="n"/>
    </row>
    <row r="33">
      <c r="A33" t="inlineStr">
        <is>
          <t>AirPods 4 ANC</t>
        </is>
      </c>
      <c r="B33" s="3" t="n"/>
      <c r="C33" s="64" t="n">
        <v>4490000</v>
      </c>
      <c r="D33" s="64" t="n">
        <v>4390000</v>
      </c>
      <c r="E33" s="25" t="n">
        <v>4390000</v>
      </c>
      <c r="F33" s="40" t="n">
        <v>4450000</v>
      </c>
      <c r="G33" s="40" t="n">
        <v>4390000</v>
      </c>
      <c r="H33" s="26" t="n"/>
    </row>
    <row r="34">
      <c r="A34" t="inlineStr">
        <is>
          <t>AirPods 4 with charging case</t>
        </is>
      </c>
      <c r="B34" s="3" t="n"/>
      <c r="C34" s="64" t="n">
        <v>3090000</v>
      </c>
      <c r="D34" s="64" t="n">
        <v>3050000</v>
      </c>
      <c r="E34" s="25" t="n">
        <v>2990000</v>
      </c>
      <c r="F34" s="39" t="n">
        <v>3050000</v>
      </c>
      <c r="G34" s="40" t="n">
        <v>2990000</v>
      </c>
      <c r="H34" s="26" t="n"/>
    </row>
    <row r="35">
      <c r="A35" t="inlineStr">
        <is>
          <t>AirPods Pro 3</t>
        </is>
      </c>
      <c r="B35" s="3" t="n"/>
      <c r="C35" s="64" t="n">
        <v>6790000</v>
      </c>
      <c r="D35" s="64" t="n">
        <v>6790000</v>
      </c>
      <c r="E35" s="72" t="n">
        <v>6490000</v>
      </c>
      <c r="F35" s="40" t="n">
        <v>6790000</v>
      </c>
      <c r="G35" s="40" t="n">
        <v>6490000</v>
      </c>
      <c r="H35" s="26" t="n"/>
    </row>
    <row r="36">
      <c r="A36" t="inlineStr">
        <is>
          <t>MacBook Air 13" M2 16/256GB</t>
        </is>
      </c>
      <c r="B36" s="25" t="n"/>
      <c r="C36" s="64" t="n">
        <v>19690000</v>
      </c>
      <c r="D36" s="62" t="n">
        <v>19190000</v>
      </c>
      <c r="E36" s="37" t="n"/>
      <c r="F36" s="40" t="n">
        <v>19690000</v>
      </c>
      <c r="G36" s="40" t="n">
        <v>18990000</v>
      </c>
      <c r="H36" s="26" t="n"/>
    </row>
    <row r="37">
      <c r="A37" t="inlineStr">
        <is>
          <t>MacBook Air 13" M4 16/256GB</t>
        </is>
      </c>
      <c r="B37" s="3" t="n"/>
      <c r="C37" s="64" t="n">
        <v>23990000</v>
      </c>
      <c r="D37" s="62" t="n">
        <v>24490000</v>
      </c>
      <c r="E37" s="37" t="n"/>
      <c r="F37" s="38" t="n">
        <v>23990000</v>
      </c>
      <c r="G37" s="38" t="n">
        <v>23690000</v>
      </c>
      <c r="H37" s="26" t="n">
        <v>-1000</v>
      </c>
    </row>
    <row r="38">
      <c r="A38" t="inlineStr">
        <is>
          <t>MacBook Air 15" M4 16/256GB</t>
        </is>
      </c>
      <c r="B38" s="25" t="n"/>
      <c r="C38" s="64" t="n">
        <v>29990000</v>
      </c>
      <c r="D38" s="62" t="n">
        <v>28990000</v>
      </c>
      <c r="E38" s="37" t="n"/>
      <c r="F38" s="38" t="n">
        <v>28990000</v>
      </c>
      <c r="G38" s="38" t="n">
        <v>28590000</v>
      </c>
      <c r="H38" s="26" t="n">
        <v>300</v>
      </c>
    </row>
    <row r="39">
      <c r="A39" t="inlineStr">
        <is>
          <t>MacBook Pro 14" M4 16/512GB</t>
        </is>
      </c>
      <c r="B39" s="25" t="n"/>
      <c r="C39" s="64" t="inlineStr">
        <is>
          <t>OOS</t>
        </is>
      </c>
      <c r="D39" s="64" t="n">
        <v>37990000</v>
      </c>
      <c r="E39" s="37" t="n"/>
      <c r="F39" s="40" t="n">
        <v>38590000</v>
      </c>
      <c r="G39" s="40" t="n">
        <v>38390000</v>
      </c>
      <c r="H39" s="26" t="n"/>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64" t="inlineStr">
        <is>
          <t>OOS</t>
        </is>
      </c>
      <c r="D41" s="62" t="n">
        <v>63990000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90.xml><?xml version="1.0" encoding="utf-8"?>
<worksheet xmlns="http://schemas.openxmlformats.org/spreadsheetml/2006/main">
  <sheetPr>
    <outlinePr summaryBelow="1" summaryRight="1"/>
    <pageSetUpPr/>
  </sheetPr>
  <dimension ref="A1:L153"/>
  <sheetViews>
    <sheetView zoomScale="125" zoomScaleNormal="130" workbookViewId="0">
      <pane xSplit="2" ySplit="1" topLeftCell="C19"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35" min="5" max="5"/>
    <col width="14.375" customWidth="1" style="35" min="6" max="6"/>
    <col width="13" customWidth="1" style="35" min="7" max="7"/>
    <col width="13.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68" t="n">
        <v>24990000</v>
      </c>
      <c r="D2" s="76" t="n">
        <v>24990000</v>
      </c>
      <c r="E2" s="34" t="n">
        <v>24190000</v>
      </c>
      <c r="F2" s="38" t="n">
        <v>24990000</v>
      </c>
      <c r="G2" s="38" t="n">
        <v>24790000</v>
      </c>
      <c r="H2" t="n">
        <v>100</v>
      </c>
    </row>
    <row r="3">
      <c r="A3" t="inlineStr">
        <is>
          <t>iPhone Air 256G</t>
        </is>
      </c>
      <c r="B3" s="83" t="n"/>
      <c r="C3" s="76" t="n">
        <v>26790000</v>
      </c>
      <c r="D3" s="68" t="n">
        <v>26490000</v>
      </c>
      <c r="E3" s="34" t="n">
        <v>25490000</v>
      </c>
      <c r="F3" s="40" t="n">
        <v>26490000</v>
      </c>
      <c r="G3" s="40" t="n">
        <v>25990000</v>
      </c>
      <c r="H3" s="26" t="n"/>
    </row>
    <row r="4">
      <c r="A4" t="inlineStr">
        <is>
          <t>iPhone 17 Pro 256GB</t>
        </is>
      </c>
      <c r="B4" s="83" t="n"/>
      <c r="C4" s="68" t="n">
        <v>34690000</v>
      </c>
      <c r="D4" s="76" t="n">
        <v>34390000</v>
      </c>
      <c r="E4" s="34" t="n">
        <v>34190000</v>
      </c>
      <c r="F4" s="40" t="n">
        <v>34390000</v>
      </c>
      <c r="G4" s="38" t="n">
        <v>34090000</v>
      </c>
      <c r="H4" s="26" t="n">
        <v>100</v>
      </c>
    </row>
    <row r="5">
      <c r="A5" t="inlineStr">
        <is>
          <t>iPhone 17 Pro Max 256GB</t>
        </is>
      </c>
      <c r="B5" s="83" t="n"/>
      <c r="C5" s="68" t="n">
        <v>37990000</v>
      </c>
      <c r="D5" s="68" t="n">
        <v>37690000</v>
      </c>
      <c r="E5" s="34" t="n">
        <v>36490000</v>
      </c>
      <c r="F5" s="40" t="n">
        <v>37690000</v>
      </c>
      <c r="G5" s="38" t="n">
        <v>37290000</v>
      </c>
      <c r="H5" s="26" t="n">
        <v>300</v>
      </c>
    </row>
    <row r="6">
      <c r="A6" t="inlineStr">
        <is>
          <t>iPhone 16e  128GB</t>
        </is>
      </c>
      <c r="B6" s="83" t="n"/>
      <c r="C6" s="68" t="n">
        <v>15990000</v>
      </c>
      <c r="D6" s="76" t="n">
        <v>15190000</v>
      </c>
      <c r="E6" s="72" t="n">
        <v>12490000</v>
      </c>
      <c r="F6" s="72" t="n">
        <v>12490000</v>
      </c>
      <c r="G6" s="40" t="n">
        <v>15190000</v>
      </c>
      <c r="H6" s="26" t="n"/>
    </row>
    <row r="7">
      <c r="A7" t="inlineStr">
        <is>
          <t>iPhone 16  128GB</t>
        </is>
      </c>
      <c r="B7" s="71" t="n"/>
      <c r="C7" s="70" t="n">
        <v>19990000</v>
      </c>
      <c r="D7" s="73" t="n">
        <v>19790000</v>
      </c>
      <c r="E7" s="34" t="n">
        <v>19490000</v>
      </c>
      <c r="F7" s="40" t="n">
        <v>19790000</v>
      </c>
      <c r="G7" s="40" t="n">
        <v>19690000</v>
      </c>
      <c r="H7" s="26" t="n"/>
    </row>
    <row r="8">
      <c r="A8" t="inlineStr">
        <is>
          <t>iPhone 16  Plus 128GB</t>
        </is>
      </c>
      <c r="B8" s="3" t="n"/>
      <c r="C8" s="64" t="n">
        <v>23990000</v>
      </c>
      <c r="D8" s="64" t="n">
        <v>23790000</v>
      </c>
      <c r="E8" s="34" t="n">
        <v>23190000</v>
      </c>
      <c r="F8" s="40" t="n">
        <v>23790000</v>
      </c>
      <c r="G8" s="40" t="n">
        <v>23390000</v>
      </c>
      <c r="H8" s="26" t="n"/>
    </row>
    <row r="9">
      <c r="A9" t="inlineStr">
        <is>
          <t>iPhone 16 Pro  128GB</t>
        </is>
      </c>
      <c r="B9" s="25" t="n"/>
      <c r="C9" s="64" t="n">
        <v>25590000</v>
      </c>
      <c r="D9" s="40" t="n">
        <v>25490000</v>
      </c>
      <c r="E9" s="25" t="n">
        <v>24990000</v>
      </c>
      <c r="F9" s="38" t="n">
        <v>25590000</v>
      </c>
      <c r="G9" s="40" t="n">
        <v>24990000</v>
      </c>
      <c r="H9" s="26" t="n"/>
    </row>
    <row r="10">
      <c r="A10" t="inlineStr">
        <is>
          <t>iPhone 16 Pro Max 256GB</t>
        </is>
      </c>
      <c r="B10" s="3" t="n"/>
      <c r="C10" s="64" t="n">
        <v>31590000</v>
      </c>
      <c r="D10" s="62" t="n">
        <v>31590000</v>
      </c>
      <c r="E10" s="25" t="n">
        <v>30890000</v>
      </c>
      <c r="F10" s="38" t="n">
        <v>31590000</v>
      </c>
      <c r="G10" s="38" t="n">
        <v>31190000</v>
      </c>
      <c r="H10" s="26" t="n">
        <v>-800</v>
      </c>
    </row>
    <row r="11">
      <c r="A11" t="inlineStr">
        <is>
          <t>iPhone 15  128GB</t>
        </is>
      </c>
      <c r="B11" s="25" t="n"/>
      <c r="C11" s="64" t="n">
        <v>16990000</v>
      </c>
      <c r="D11" s="62" t="n">
        <v>16890000</v>
      </c>
      <c r="E11" s="34" t="n">
        <v>16490000</v>
      </c>
      <c r="F11" s="38" t="n">
        <v>16890000</v>
      </c>
      <c r="G11" s="38" t="n">
        <v>16390000</v>
      </c>
      <c r="H11" s="26" t="n">
        <v>-200</v>
      </c>
    </row>
    <row r="12">
      <c r="A12" t="inlineStr">
        <is>
          <t>iPhone 15  Plus 128GB</t>
        </is>
      </c>
      <c r="B12" s="25" t="n"/>
      <c r="C12" s="64" t="n">
        <v>19590000</v>
      </c>
      <c r="D12" s="64" t="inlineStr">
        <is>
          <t>OOS</t>
        </is>
      </c>
      <c r="E12" s="64" t="inlineStr">
        <is>
          <t>OOS</t>
        </is>
      </c>
      <c r="F12" s="40" t="n">
        <v>17690000</v>
      </c>
      <c r="G12" s="40" t="n">
        <v>18490000</v>
      </c>
      <c r="H12" s="26" t="n"/>
    </row>
    <row r="13">
      <c r="A13" t="inlineStr">
        <is>
          <t>iPhone 14 128GB</t>
        </is>
      </c>
      <c r="B13" s="25" t="n"/>
      <c r="C13" s="64" t="n">
        <v>13890000</v>
      </c>
      <c r="D13" s="64" t="n">
        <v>13590000</v>
      </c>
      <c r="E13" s="34" t="n">
        <v>13590000</v>
      </c>
      <c r="F13" s="40" t="n">
        <v>13590000</v>
      </c>
      <c r="G13" s="40" t="n">
        <v>12990000</v>
      </c>
      <c r="H13" s="26" t="n"/>
    </row>
    <row r="14">
      <c r="A14" t="inlineStr">
        <is>
          <t>iPhone 13  128GB</t>
        </is>
      </c>
      <c r="B14" s="3" t="n"/>
      <c r="C14" s="64" t="n">
        <v>12490000</v>
      </c>
      <c r="D14" s="54" t="n">
        <v>12090000</v>
      </c>
      <c r="E14" s="34" t="n">
        <v>12090000</v>
      </c>
      <c r="F14" s="38" t="n">
        <v>11990000</v>
      </c>
      <c r="G14" s="40" t="n">
        <v>11890000</v>
      </c>
      <c r="H14" s="26" t="n"/>
    </row>
    <row r="15">
      <c r="A15" t="inlineStr">
        <is>
          <t>iPad Mini 7 128GB Wifi</t>
        </is>
      </c>
      <c r="B15" s="25" t="n"/>
      <c r="C15" s="64" t="n">
        <v>11790000</v>
      </c>
      <c r="D15" s="62" t="n">
        <v>11790000</v>
      </c>
      <c r="E15" s="25" t="n">
        <v>11290000</v>
      </c>
      <c r="F15" s="40" t="n">
        <v>11790000</v>
      </c>
      <c r="G15" s="40" t="n">
        <v>11590000</v>
      </c>
      <c r="H15" s="26" t="n"/>
    </row>
    <row r="16">
      <c r="A16" t="inlineStr">
        <is>
          <t>iPad Gen 11th  128GB Wifi</t>
        </is>
      </c>
      <c r="B16" s="3" t="n"/>
      <c r="C16" s="64" t="n">
        <v>8490000</v>
      </c>
      <c r="D16" s="64" t="n">
        <v>8490000</v>
      </c>
      <c r="E16" s="25" t="n">
        <v>8490000</v>
      </c>
      <c r="F16" s="38" t="n">
        <v>8490000</v>
      </c>
      <c r="G16" s="40" t="n">
        <v>8390000</v>
      </c>
      <c r="H16" s="26" t="n"/>
      <c r="J16" t="inlineStr">
        <is>
          <t xml:space="preserve">MW </t>
        </is>
      </c>
      <c r="K16" t="inlineStr">
        <is>
          <t>Hải</t>
        </is>
      </c>
      <c r="L16" t="b">
        <v>1</v>
      </c>
    </row>
    <row r="17">
      <c r="A17" t="inlineStr">
        <is>
          <t>iPad Air M3  11" 128 GB Wifi</t>
        </is>
      </c>
      <c r="B17" s="3" t="n"/>
      <c r="C17" s="62" t="n">
        <v>13690000</v>
      </c>
      <c r="D17" s="62" t="n">
        <v>15790000</v>
      </c>
      <c r="E17" s="34" t="n">
        <v>13290000</v>
      </c>
      <c r="F17" s="38" t="n">
        <v>13590000</v>
      </c>
      <c r="G17" s="38" t="n">
        <v>13290000</v>
      </c>
      <c r="H17" s="26">
        <f>15990-13290</f>
        <v/>
      </c>
      <c r="I17" s="26" t="n"/>
      <c r="J17" t="inlineStr">
        <is>
          <t>FPT</t>
        </is>
      </c>
      <c r="K17" t="inlineStr">
        <is>
          <t>Trang</t>
        </is>
      </c>
      <c r="L17" t="b">
        <v>1</v>
      </c>
    </row>
    <row r="18">
      <c r="A18" t="inlineStr">
        <is>
          <t>iPad Air M3  13" 128 GB Wifi</t>
        </is>
      </c>
      <c r="B18" s="25" t="n"/>
      <c r="C18" s="62" t="n">
        <v>19490000</v>
      </c>
      <c r="D18" s="62" t="n">
        <v>19290000</v>
      </c>
      <c r="E18" s="25" t="n"/>
      <c r="F18" s="38" t="n">
        <v>19290000</v>
      </c>
      <c r="G18" s="38" t="n">
        <v>19290000</v>
      </c>
      <c r="H18" s="79">
        <f>20990-19290</f>
        <v/>
      </c>
      <c r="J18" t="inlineStr">
        <is>
          <t>Viettel</t>
        </is>
      </c>
      <c r="K18" t="inlineStr">
        <is>
          <t>Nghĩa</t>
        </is>
      </c>
      <c r="L18" t="b">
        <v>1</v>
      </c>
    </row>
    <row r="19">
      <c r="A19" t="inlineStr">
        <is>
          <t>iPad Pro  M4  11" 256 GB Wifi</t>
        </is>
      </c>
      <c r="B19" s="25" t="n"/>
      <c r="C19" s="25" t="inlineStr">
        <is>
          <t>OOS</t>
        </is>
      </c>
      <c r="D19" s="64" t="n">
        <v>27990000</v>
      </c>
      <c r="E19" s="25" t="inlineStr">
        <is>
          <t>OOS</t>
        </is>
      </c>
      <c r="F19" s="38" t="n">
        <v>27990000</v>
      </c>
      <c r="G19" s="25" t="inlineStr">
        <is>
          <t>OOS</t>
        </is>
      </c>
      <c r="H19" s="26" t="n"/>
      <c r="J19" t="inlineStr">
        <is>
          <t>CPS</t>
        </is>
      </c>
      <c r="K19" t="inlineStr">
        <is>
          <t>Duy</t>
        </is>
      </c>
      <c r="L19" t="b">
        <v>1</v>
      </c>
    </row>
    <row r="20">
      <c r="A20" t="inlineStr">
        <is>
          <t>iPad Pro  M4  13" 256 GB Wifi</t>
        </is>
      </c>
      <c r="B20" s="3" t="n"/>
      <c r="C20" s="25" t="inlineStr">
        <is>
          <t>OOS</t>
        </is>
      </c>
      <c r="D20" s="64" t="n">
        <v>36290000</v>
      </c>
      <c r="E20" s="25" t="inlineStr">
        <is>
          <t>OOS</t>
        </is>
      </c>
      <c r="F20" s="40" t="n">
        <v>36290000</v>
      </c>
      <c r="G20" s="25" t="inlineStr">
        <is>
          <t>OOS</t>
        </is>
      </c>
      <c r="H20" s="26" t="n"/>
      <c r="J20" t="inlineStr">
        <is>
          <t>ShopDunk</t>
        </is>
      </c>
      <c r="K20" t="inlineStr">
        <is>
          <t>Đạt</t>
        </is>
      </c>
      <c r="L20" t="b">
        <v>1</v>
      </c>
    </row>
    <row r="21">
      <c r="A21" t="inlineStr">
        <is>
          <t>iPad Pro M5 11” 256GB Wifi</t>
        </is>
      </c>
      <c r="B21" s="3" t="n"/>
      <c r="C21" s="64" t="n">
        <v>29990000</v>
      </c>
      <c r="D21" s="64" t="n">
        <v>29790000</v>
      </c>
      <c r="E21" s="3" t="n">
        <v>27990000</v>
      </c>
      <c r="F21" s="38" t="n">
        <v>29790000</v>
      </c>
      <c r="G21" s="40" t="n">
        <v>28990000</v>
      </c>
      <c r="H21" s="26" t="n"/>
    </row>
    <row r="22">
      <c r="A22" t="inlineStr">
        <is>
          <t>iPad Pro M5 13” 256GB Wifi</t>
        </is>
      </c>
      <c r="B22" s="3" t="n"/>
      <c r="C22" s="64" t="n">
        <v>39990000</v>
      </c>
      <c r="D22" s="34" t="n">
        <v>39590000</v>
      </c>
      <c r="E22" s="25" t="n">
        <v>38990000</v>
      </c>
      <c r="F22" s="38" t="n">
        <v>39590000</v>
      </c>
      <c r="G22" s="40" t="n">
        <v>39590000</v>
      </c>
      <c r="H22" s="26" t="n"/>
    </row>
    <row r="23">
      <c r="A23" t="inlineStr">
        <is>
          <t>AW SE 3 (40mm GPS)</t>
        </is>
      </c>
      <c r="B23" s="25" t="n"/>
      <c r="C23" s="62" t="n">
        <v>6590000</v>
      </c>
      <c r="D23" s="62" t="n">
        <v>6390000</v>
      </c>
      <c r="E23" s="25" t="n">
        <v>6190000</v>
      </c>
      <c r="F23" s="38" t="n">
        <v>6390000</v>
      </c>
      <c r="G23" s="38" t="n">
        <v>6190000</v>
      </c>
      <c r="H23" s="26" t="n">
        <v>-200</v>
      </c>
    </row>
    <row r="24">
      <c r="A24" t="inlineStr">
        <is>
          <t>AW SE 3 (40mm LTE)</t>
        </is>
      </c>
      <c r="B24" s="25" t="n"/>
      <c r="C24" s="62" t="n">
        <v>8390000</v>
      </c>
      <c r="D24" s="62" t="n">
        <v>8190000</v>
      </c>
      <c r="E24" s="25" t="n">
        <v>7790000</v>
      </c>
      <c r="F24" s="38" t="n">
        <v>8190000</v>
      </c>
      <c r="G24" s="40" t="n">
        <v>7790000</v>
      </c>
      <c r="H24" s="26" t="n"/>
    </row>
    <row r="25">
      <c r="A25" t="inlineStr">
        <is>
          <t>AW SE 3 (44mm GPS)</t>
        </is>
      </c>
      <c r="B25" s="25" t="n"/>
      <c r="C25" s="62" t="n">
        <v>7690000</v>
      </c>
      <c r="D25" s="64" t="n">
        <v>7290000</v>
      </c>
      <c r="E25" s="25" t="n">
        <v>6990000</v>
      </c>
      <c r="F25" s="38" t="n">
        <v>7490000</v>
      </c>
      <c r="G25" s="38" t="n">
        <v>7190000</v>
      </c>
      <c r="H25" s="26" t="n">
        <v>-100</v>
      </c>
    </row>
    <row r="26">
      <c r="A26" t="inlineStr">
        <is>
          <t>AW SE 3 (44mm LTE)</t>
        </is>
      </c>
      <c r="B26" s="25" t="n"/>
      <c r="C26" s="62" t="n">
        <v>9190000</v>
      </c>
      <c r="D26" s="62" t="n">
        <v>8990000</v>
      </c>
      <c r="E26" s="25" t="n">
        <v>8590000</v>
      </c>
      <c r="F26" s="38" t="n">
        <v>8990000</v>
      </c>
      <c r="G26" s="40" t="n">
        <v>8490000</v>
      </c>
      <c r="H26" s="26" t="n"/>
    </row>
    <row r="27">
      <c r="A27" t="inlineStr">
        <is>
          <t>AW S11 (42mm GPS)</t>
        </is>
      </c>
      <c r="B27" s="3" t="n"/>
      <c r="C27" s="62" t="n">
        <v>9490000</v>
      </c>
      <c r="D27" s="62" t="n">
        <v>9490000</v>
      </c>
      <c r="E27" s="25" t="n">
        <v>8990000</v>
      </c>
      <c r="F27" s="38" t="n">
        <v>9490000</v>
      </c>
      <c r="G27" s="38" t="n">
        <v>9190000</v>
      </c>
      <c r="H27" s="26" t="n">
        <v>-200</v>
      </c>
    </row>
    <row r="28">
      <c r="A28" t="inlineStr">
        <is>
          <t>AW S11 (42mm CEL)</t>
        </is>
      </c>
      <c r="B28" s="3" t="n"/>
      <c r="C28" s="62" t="n">
        <v>12490000</v>
      </c>
      <c r="D28" s="62" t="n">
        <v>12190000</v>
      </c>
      <c r="E28" s="25" t="n">
        <v>11990000</v>
      </c>
      <c r="F28" s="40" t="n">
        <v>12390000</v>
      </c>
      <c r="G28" s="40" t="n">
        <v>12190000</v>
      </c>
      <c r="H28" s="26" t="n"/>
    </row>
    <row r="29">
      <c r="A29" t="inlineStr">
        <is>
          <t>AW S11 (46mm GPS)</t>
        </is>
      </c>
      <c r="B29" s="3" t="n"/>
      <c r="C29" s="62" t="n">
        <v>10290000</v>
      </c>
      <c r="D29" s="62" t="n">
        <v>10090000</v>
      </c>
      <c r="E29" s="25" t="n">
        <v>9690000</v>
      </c>
      <c r="F29" s="38" t="n">
        <v>10090000</v>
      </c>
      <c r="G29" s="38" t="n">
        <v>9990000</v>
      </c>
      <c r="H29" s="26" t="n">
        <v>-200</v>
      </c>
    </row>
    <row r="30">
      <c r="A30" t="inlineStr">
        <is>
          <t>AW S11 (46mm CEL)</t>
        </is>
      </c>
      <c r="B30" s="3" t="n"/>
      <c r="C30" s="64" t="n">
        <v>13290000</v>
      </c>
      <c r="D30" s="62" t="n">
        <v>12990000</v>
      </c>
      <c r="E30" s="34" t="n">
        <v>12490000</v>
      </c>
      <c r="F30" s="40" t="n">
        <v>13290000</v>
      </c>
      <c r="G30" s="40" t="n">
        <v>13190000</v>
      </c>
      <c r="H30" s="26" t="n"/>
    </row>
    <row r="31">
      <c r="A31" t="inlineStr">
        <is>
          <t>AW Ultra 3 (49mm)</t>
        </is>
      </c>
      <c r="B31" s="25" t="n"/>
      <c r="C31" s="64" t="n">
        <v>23290000</v>
      </c>
      <c r="D31" s="62" t="n">
        <v>22990000</v>
      </c>
      <c r="E31" s="25" t="n">
        <v>22490000</v>
      </c>
      <c r="F31" s="40" t="n">
        <v>22990000</v>
      </c>
      <c r="G31" s="40" t="n">
        <v>23290000</v>
      </c>
      <c r="H31" s="26" t="n"/>
    </row>
    <row r="32">
      <c r="A32" t="inlineStr">
        <is>
          <t>AirPods Pro 2 - 2023 (C-Type)</t>
        </is>
      </c>
      <c r="B32" s="3" t="n"/>
      <c r="C32" s="64" t="n">
        <v>4990000</v>
      </c>
      <c r="D32" s="62" t="n">
        <v>4990000</v>
      </c>
      <c r="E32" s="34" t="n">
        <v>4290000</v>
      </c>
      <c r="F32" s="40" t="n">
        <v>4950000</v>
      </c>
      <c r="G32" s="40" t="n">
        <v>5590000</v>
      </c>
      <c r="H32" s="26" t="n"/>
      <c r="J32" s="84" t="n"/>
    </row>
    <row r="33">
      <c r="A33" t="inlineStr">
        <is>
          <t>AirPods 4 ANC</t>
        </is>
      </c>
      <c r="B33" s="3" t="n"/>
      <c r="C33" s="64" t="n">
        <v>4490000</v>
      </c>
      <c r="D33" s="64" t="n">
        <v>4290000</v>
      </c>
      <c r="E33" s="25" t="n">
        <v>4390000</v>
      </c>
      <c r="F33" s="40" t="n">
        <v>4450000</v>
      </c>
      <c r="G33" s="40" t="n">
        <v>4390000</v>
      </c>
      <c r="H33" s="26" t="n"/>
    </row>
    <row r="34">
      <c r="A34" t="inlineStr">
        <is>
          <t>AirPods 4 with charging case</t>
        </is>
      </c>
      <c r="B34" s="3" t="n"/>
      <c r="C34" s="64" t="n">
        <v>3090000</v>
      </c>
      <c r="D34" s="64" t="n">
        <v>2990000</v>
      </c>
      <c r="E34" s="25" t="n">
        <v>2990000</v>
      </c>
      <c r="F34" s="39" t="n">
        <v>3050000</v>
      </c>
      <c r="G34" s="40" t="n">
        <v>2990000</v>
      </c>
      <c r="H34" s="26" t="n"/>
    </row>
    <row r="35">
      <c r="A35" t="inlineStr">
        <is>
          <t>AirPods Pro 3</t>
        </is>
      </c>
      <c r="B35" s="3" t="n"/>
      <c r="C35" s="64" t="n">
        <v>6790000</v>
      </c>
      <c r="D35" s="64" t="n">
        <v>6790000</v>
      </c>
      <c r="E35" s="72" t="n">
        <v>6490000</v>
      </c>
      <c r="F35" s="40" t="n">
        <v>6790000</v>
      </c>
      <c r="G35" s="40" t="n">
        <v>6490000</v>
      </c>
      <c r="H35" s="26" t="n"/>
    </row>
    <row r="36">
      <c r="A36" t="inlineStr">
        <is>
          <t>MacBook Air 13" M2 16/256GB</t>
        </is>
      </c>
      <c r="B36" s="25" t="n"/>
      <c r="C36" s="64" t="n">
        <v>19690000</v>
      </c>
      <c r="D36" s="62" t="n">
        <v>19690000</v>
      </c>
      <c r="E36" s="37" t="n"/>
      <c r="F36" s="40" t="n">
        <v>19690000</v>
      </c>
      <c r="G36" s="40" t="n">
        <v>18990000</v>
      </c>
      <c r="H36" s="26" t="n"/>
    </row>
    <row r="37">
      <c r="A37" t="inlineStr">
        <is>
          <t>MacBook Air 13" M4 16/256GB</t>
        </is>
      </c>
      <c r="B37" s="3" t="n"/>
      <c r="C37" s="64" t="n">
        <v>23990000</v>
      </c>
      <c r="D37" s="62" t="n">
        <v>23990000</v>
      </c>
      <c r="E37" s="37" t="n"/>
      <c r="F37" s="40" t="n">
        <v>23990000</v>
      </c>
      <c r="G37" s="40" t="n">
        <v>23690000</v>
      </c>
      <c r="H37" s="26" t="n"/>
    </row>
    <row r="38">
      <c r="A38" t="inlineStr">
        <is>
          <t>MacBook Air 15" M4 16/256GB</t>
        </is>
      </c>
      <c r="B38" s="25" t="n"/>
      <c r="C38" s="64" t="n">
        <v>29990000</v>
      </c>
      <c r="D38" s="64" t="n">
        <v>28990000</v>
      </c>
      <c r="E38" s="37" t="n"/>
      <c r="F38" s="40" t="n">
        <v>28990000</v>
      </c>
      <c r="G38" s="40" t="n">
        <v>28590000</v>
      </c>
      <c r="H38" s="26" t="n"/>
    </row>
    <row r="39">
      <c r="A39" t="inlineStr">
        <is>
          <t>MacBook Pro 14" M4 16/512GB</t>
        </is>
      </c>
      <c r="B39" s="25" t="n"/>
      <c r="C39" s="64" t="inlineStr">
        <is>
          <t>OOS</t>
        </is>
      </c>
      <c r="D39" s="64" t="n">
        <v>37990000</v>
      </c>
      <c r="E39" s="37" t="n"/>
      <c r="F39" s="40" t="n">
        <v>38590000</v>
      </c>
      <c r="G39" s="40" t="n">
        <v>38390000</v>
      </c>
      <c r="H39" s="26" t="n"/>
    </row>
    <row r="40">
      <c r="A40" t="inlineStr">
        <is>
          <t>MacBook Pro 14" M5 16/512GB</t>
        </is>
      </c>
      <c r="B40" s="25" t="n"/>
      <c r="C40" s="64" t="n">
        <v>41990000</v>
      </c>
      <c r="D40" s="64" t="n">
        <v>41990000</v>
      </c>
      <c r="E40" s="37" t="n"/>
      <c r="F40" s="40" t="n">
        <v>41990000</v>
      </c>
      <c r="G40" s="40" t="n">
        <v>41990000</v>
      </c>
      <c r="H40" s="26" t="n"/>
    </row>
    <row r="41">
      <c r="A41" t="inlineStr">
        <is>
          <t>MacBook Pro 16" M4 24/512GB</t>
        </is>
      </c>
      <c r="B41" s="25" t="n"/>
      <c r="C41" s="64" t="inlineStr">
        <is>
          <t>OOS</t>
        </is>
      </c>
      <c r="D41" s="64" t="n">
        <v>63990000</v>
      </c>
      <c r="E41" s="37" t="n"/>
      <c r="F41" s="40" t="n">
        <v>63990000</v>
      </c>
      <c r="G41" s="40"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91.xml><?xml version="1.0" encoding="utf-8"?>
<worksheet xmlns="http://schemas.openxmlformats.org/spreadsheetml/2006/main">
  <sheetPr>
    <outlinePr summaryBelow="1" summaryRight="1"/>
    <pageSetUpPr/>
  </sheetPr>
  <dimension ref="A1:L153"/>
  <sheetViews>
    <sheetView zoomScaleNormal="130" workbookViewId="0">
      <pane xSplit="2" ySplit="1" topLeftCell="C10"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35" min="5" max="5"/>
    <col width="14.375" customWidth="1" style="35" min="6" max="6"/>
    <col width="13" customWidth="1" style="35" min="7" max="7"/>
    <col width="13.5" customWidth="1" style="35" min="8" max="8"/>
  </cols>
  <sheetData>
    <row r="1">
      <c r="B1" s="47" t="inlineStr">
        <is>
          <t>TZ</t>
        </is>
      </c>
      <c r="C1" s="81" t="inlineStr">
        <is>
          <t>MW</t>
        </is>
      </c>
      <c r="D1" s="81" t="inlineStr">
        <is>
          <t>FPT</t>
        </is>
      </c>
      <c r="E1" s="82" t="inlineStr">
        <is>
          <t>Viettel</t>
        </is>
      </c>
      <c r="F1" s="82" t="inlineStr">
        <is>
          <t>CPS</t>
        </is>
      </c>
      <c r="G1" s="82" t="inlineStr">
        <is>
          <t>Shopdunk</t>
        </is>
      </c>
    </row>
    <row r="2">
      <c r="A2" t="inlineStr">
        <is>
          <t>iPhone 17  256GB</t>
        </is>
      </c>
      <c r="B2" s="83" t="n"/>
      <c r="C2" s="85" t="n">
        <v>24990000</v>
      </c>
      <c r="D2" s="86" t="n">
        <v>24890000</v>
      </c>
      <c r="E2" s="87" t="n">
        <v>24190000</v>
      </c>
      <c r="F2" s="88" t="n">
        <v>24890000</v>
      </c>
      <c r="G2" s="89" t="n">
        <v>24790000</v>
      </c>
    </row>
    <row r="3">
      <c r="A3" t="inlineStr">
        <is>
          <t>iPhone Air 256G</t>
        </is>
      </c>
      <c r="B3" s="83" t="n"/>
      <c r="C3" s="86" t="n">
        <v>25990000</v>
      </c>
      <c r="D3" s="86" t="n">
        <v>25990000</v>
      </c>
      <c r="E3" s="87" t="n">
        <v>25490000</v>
      </c>
      <c r="F3" s="90" t="n">
        <v>25990000</v>
      </c>
      <c r="G3" s="89" t="n">
        <v>25990000</v>
      </c>
      <c r="H3" s="26" t="n"/>
    </row>
    <row r="4">
      <c r="A4" t="inlineStr">
        <is>
          <t>iPhone 17 Pro 256GB</t>
        </is>
      </c>
      <c r="B4" s="83" t="n"/>
      <c r="C4" s="85" t="n">
        <v>34690000</v>
      </c>
      <c r="D4" s="85" t="n">
        <v>34390000</v>
      </c>
      <c r="E4" s="87" t="n">
        <v>34190000</v>
      </c>
      <c r="F4" s="91" t="n">
        <v>34390000</v>
      </c>
      <c r="G4" s="92" t="n">
        <v>33990000</v>
      </c>
      <c r="H4" s="26" t="n">
        <v>-100</v>
      </c>
    </row>
    <row r="5">
      <c r="A5" t="inlineStr">
        <is>
          <t>iPhone 17 Pro Max 256GB</t>
        </is>
      </c>
      <c r="B5" s="83" t="n"/>
      <c r="C5" s="85" t="n">
        <v>37990000</v>
      </c>
      <c r="D5" s="85" t="n">
        <v>37690000</v>
      </c>
      <c r="E5" s="93" t="n">
        <v>36490000</v>
      </c>
      <c r="F5" s="91" t="n">
        <v>37690000</v>
      </c>
      <c r="G5" s="92" t="n">
        <v>36990000</v>
      </c>
      <c r="H5" s="26" t="n">
        <v>-300</v>
      </c>
    </row>
    <row r="6">
      <c r="A6" t="inlineStr">
        <is>
          <t>iPhone 16e  128GB</t>
        </is>
      </c>
      <c r="B6" s="83" t="n"/>
      <c r="C6" s="85" t="n">
        <v>15990000</v>
      </c>
      <c r="D6" s="87" t="inlineStr">
        <is>
          <t>OOS</t>
        </is>
      </c>
      <c r="E6" s="93" t="n">
        <v>12490000</v>
      </c>
      <c r="F6" s="94" t="n">
        <v>12490000</v>
      </c>
      <c r="G6" s="89" t="n">
        <v>15190000</v>
      </c>
      <c r="H6" s="26" t="n"/>
    </row>
    <row r="7">
      <c r="A7" t="inlineStr">
        <is>
          <t>iPhone 16  128GB</t>
        </is>
      </c>
      <c r="B7" s="71" t="n"/>
      <c r="C7" s="95" t="n">
        <v>19990000</v>
      </c>
      <c r="D7" s="95" t="n">
        <v>19790000</v>
      </c>
      <c r="E7" s="96" t="n">
        <v>19390000</v>
      </c>
      <c r="F7" s="91" t="n">
        <v>19790000</v>
      </c>
      <c r="G7" s="92" t="n">
        <v>19490000</v>
      </c>
      <c r="H7" s="26" t="n">
        <v>-200</v>
      </c>
    </row>
    <row r="8">
      <c r="A8" t="inlineStr">
        <is>
          <t>iPhone 16  Plus 128GB</t>
        </is>
      </c>
      <c r="B8" s="3" t="n"/>
      <c r="C8" s="87" t="n">
        <v>23990000</v>
      </c>
      <c r="D8" s="87" t="n">
        <v>23790000</v>
      </c>
      <c r="E8" s="96" t="n">
        <v>22990000</v>
      </c>
      <c r="F8" s="91" t="n">
        <v>23790000</v>
      </c>
      <c r="G8" s="89" t="n">
        <v>23390000</v>
      </c>
      <c r="H8" s="26" t="n"/>
    </row>
    <row r="9">
      <c r="A9" t="inlineStr">
        <is>
          <t>iPhone 16 Pro  128GB</t>
        </is>
      </c>
      <c r="B9" s="25" t="n"/>
      <c r="C9" s="87" t="n">
        <v>25590000</v>
      </c>
      <c r="D9" s="89" t="n">
        <v>25490000</v>
      </c>
      <c r="E9" s="97" t="n">
        <v>24990000</v>
      </c>
      <c r="F9" s="91" t="n">
        <v>25590000</v>
      </c>
      <c r="G9" s="89" t="n">
        <v>24990000</v>
      </c>
      <c r="H9" s="26" t="n"/>
    </row>
    <row r="10">
      <c r="A10" t="inlineStr">
        <is>
          <t>iPhone 16 Pro Max 256GB</t>
        </is>
      </c>
      <c r="B10" s="3" t="n"/>
      <c r="C10" s="98" t="n">
        <v>31990000</v>
      </c>
      <c r="D10" s="98" t="n">
        <v>31590000</v>
      </c>
      <c r="E10" s="97" t="n">
        <v>30890000</v>
      </c>
      <c r="F10" s="90" t="n">
        <v>31790000</v>
      </c>
      <c r="G10" s="89" t="n">
        <v>31190000</v>
      </c>
      <c r="H10" s="26" t="n"/>
    </row>
    <row r="11">
      <c r="A11" t="inlineStr">
        <is>
          <t>iPhone 15  128GB</t>
        </is>
      </c>
      <c r="B11" s="25" t="n"/>
      <c r="C11" s="87" t="n">
        <v>16990000</v>
      </c>
      <c r="D11" s="87" t="n">
        <v>16890000</v>
      </c>
      <c r="E11" s="87" t="n">
        <v>16490000</v>
      </c>
      <c r="F11" s="91" t="n">
        <v>16890000</v>
      </c>
      <c r="G11" s="92" t="n">
        <v>16390000</v>
      </c>
      <c r="H11" s="26" t="n">
        <v>-200</v>
      </c>
    </row>
    <row r="12">
      <c r="A12" t="inlineStr">
        <is>
          <t>iPhone 15  Plus 128GB</t>
        </is>
      </c>
      <c r="B12" s="25" t="n"/>
      <c r="C12" s="87" t="n">
        <v>18990000</v>
      </c>
      <c r="D12" s="87" t="inlineStr">
        <is>
          <t>OOS</t>
        </is>
      </c>
      <c r="E12" s="87" t="inlineStr">
        <is>
          <t>OOS</t>
        </is>
      </c>
      <c r="F12" s="91" t="n">
        <v>17690000</v>
      </c>
      <c r="G12" s="89" t="n">
        <v>18490000</v>
      </c>
      <c r="H12" s="26" t="n"/>
    </row>
    <row r="13">
      <c r="A13" t="inlineStr">
        <is>
          <t>iPhone 14 128GB</t>
        </is>
      </c>
      <c r="B13" s="25" t="n"/>
      <c r="C13" s="87" t="n">
        <v>13890000</v>
      </c>
      <c r="D13" s="87" t="n">
        <v>13590000</v>
      </c>
      <c r="E13" s="87" t="n">
        <v>13590000</v>
      </c>
      <c r="F13" s="91" t="n">
        <v>13590000</v>
      </c>
      <c r="G13" s="89" t="n">
        <v>12990000</v>
      </c>
      <c r="H13" s="26" t="n"/>
    </row>
    <row r="14">
      <c r="A14" t="inlineStr">
        <is>
          <t>iPhone 13  128GB</t>
        </is>
      </c>
      <c r="B14" s="3" t="n"/>
      <c r="C14" s="87" t="n">
        <v>12490000</v>
      </c>
      <c r="D14" s="99" t="n">
        <v>12090000</v>
      </c>
      <c r="E14" s="96" t="n">
        <v>11990000</v>
      </c>
      <c r="F14" s="90" t="n">
        <v>12090000</v>
      </c>
      <c r="G14" s="89" t="n">
        <v>11890000</v>
      </c>
      <c r="H14" s="26" t="n"/>
    </row>
    <row r="15">
      <c r="A15" t="inlineStr">
        <is>
          <t>iPad Mini 7 128GB Wifi</t>
        </is>
      </c>
      <c r="B15" s="25" t="n"/>
      <c r="C15" s="98" t="n">
        <v>13590000</v>
      </c>
      <c r="D15" s="98" t="n">
        <v>13590000</v>
      </c>
      <c r="E15" s="96" t="n">
        <v>13490000</v>
      </c>
      <c r="F15" s="90" t="n">
        <v>13590000</v>
      </c>
      <c r="G15" s="89" t="n">
        <v>11590000</v>
      </c>
      <c r="H15" s="26" t="n"/>
    </row>
    <row r="16">
      <c r="A16" t="inlineStr">
        <is>
          <t>iPad Gen 11th  128GB Wifi</t>
        </is>
      </c>
      <c r="B16" s="3" t="n"/>
      <c r="C16" s="98" t="n">
        <v>9590000</v>
      </c>
      <c r="D16" s="98" t="n">
        <v>9490000</v>
      </c>
      <c r="E16" s="96" t="n">
        <v>9390000</v>
      </c>
      <c r="F16" s="90" t="n">
        <v>9490000</v>
      </c>
      <c r="G16" s="89" t="n">
        <v>8390000</v>
      </c>
      <c r="H16" s="26" t="n"/>
      <c r="J16" t="inlineStr">
        <is>
          <t xml:space="preserve">MW </t>
        </is>
      </c>
      <c r="K16" t="inlineStr">
        <is>
          <t>Hải</t>
        </is>
      </c>
      <c r="L16" t="b">
        <v>1</v>
      </c>
    </row>
    <row r="17">
      <c r="A17" t="inlineStr">
        <is>
          <t>iPad Air M3  11" 128 GB Wifi</t>
        </is>
      </c>
      <c r="B17" s="3" t="n"/>
      <c r="C17" s="87" t="n">
        <v>13690000</v>
      </c>
      <c r="D17" s="98" t="n">
        <v>13590000</v>
      </c>
      <c r="E17" s="87" t="n">
        <v>13290000</v>
      </c>
      <c r="F17" s="91" t="n">
        <v>13590000</v>
      </c>
      <c r="G17" s="89" t="n">
        <v>13390000</v>
      </c>
      <c r="H17" s="26" t="n"/>
      <c r="I17" s="26" t="n"/>
      <c r="J17" t="inlineStr">
        <is>
          <t>FPT</t>
        </is>
      </c>
      <c r="K17" t="inlineStr">
        <is>
          <t>Trang</t>
        </is>
      </c>
      <c r="L17" t="b">
        <v>1</v>
      </c>
    </row>
    <row r="18">
      <c r="A18" t="inlineStr">
        <is>
          <t>iPad Air M3  13" 128 GB Wifi</t>
        </is>
      </c>
      <c r="B18" s="25" t="n"/>
      <c r="C18" s="87" t="n">
        <v>19490000</v>
      </c>
      <c r="D18" s="87" t="n">
        <v>19290000</v>
      </c>
      <c r="E18" s="97" t="n">
        <v>18990000</v>
      </c>
      <c r="F18" s="91" t="n">
        <v>19290000</v>
      </c>
      <c r="G18" s="92" t="n">
        <v>18990000</v>
      </c>
      <c r="H18" s="79" t="n">
        <v>-300</v>
      </c>
      <c r="J18" t="inlineStr">
        <is>
          <t>Viettel</t>
        </is>
      </c>
      <c r="K18" t="inlineStr">
        <is>
          <t>Nghĩa</t>
        </is>
      </c>
      <c r="L18" t="b">
        <v>1</v>
      </c>
    </row>
    <row r="19">
      <c r="A19" t="inlineStr">
        <is>
          <t>iPad Pro  M4  11" 256 GB Wifi</t>
        </is>
      </c>
      <c r="B19" s="25" t="n"/>
      <c r="C19" s="97" t="inlineStr">
        <is>
          <t>OOS</t>
        </is>
      </c>
      <c r="D19" s="87" t="n">
        <v>27990000</v>
      </c>
      <c r="E19" s="97" t="inlineStr">
        <is>
          <t>OOS</t>
        </is>
      </c>
      <c r="F19" s="91" t="inlineStr">
        <is>
          <t>OOS</t>
        </is>
      </c>
      <c r="G19" s="97" t="inlineStr">
        <is>
          <t>OOS</t>
        </is>
      </c>
      <c r="H19" s="26" t="n"/>
      <c r="J19" t="inlineStr">
        <is>
          <t>CPS</t>
        </is>
      </c>
      <c r="K19" t="inlineStr">
        <is>
          <t>Duy</t>
        </is>
      </c>
      <c r="L19" t="b">
        <v>1</v>
      </c>
    </row>
    <row r="20">
      <c r="A20" t="inlineStr">
        <is>
          <t>iPad Pro  M4  13" 256 GB Wifi</t>
        </is>
      </c>
      <c r="B20" s="3" t="n"/>
      <c r="C20" s="97" t="inlineStr">
        <is>
          <t>OOS</t>
        </is>
      </c>
      <c r="D20" s="87" t="n">
        <v>36290000</v>
      </c>
      <c r="E20" s="97" t="inlineStr">
        <is>
          <t>OOS</t>
        </is>
      </c>
      <c r="F20" s="91" t="n">
        <v>36290000</v>
      </c>
      <c r="G20" s="97" t="inlineStr">
        <is>
          <t>OOS</t>
        </is>
      </c>
      <c r="H20" s="26" t="n"/>
      <c r="J20" t="inlineStr">
        <is>
          <t>ShopDunk</t>
        </is>
      </c>
      <c r="K20" t="inlineStr">
        <is>
          <t>Đạt</t>
        </is>
      </c>
      <c r="L20" t="b">
        <v>1</v>
      </c>
    </row>
    <row r="21">
      <c r="A21" t="inlineStr">
        <is>
          <t>iPad Pro M5 11” 256GB Wifi</t>
        </is>
      </c>
      <c r="B21" s="3" t="n"/>
      <c r="C21" s="98" t="n">
        <v>29790000</v>
      </c>
      <c r="D21" s="87" t="n">
        <v>29790000</v>
      </c>
      <c r="E21" s="100" t="n">
        <v>28990000</v>
      </c>
      <c r="F21" s="91" t="n">
        <v>29790000</v>
      </c>
      <c r="G21" s="92" t="n">
        <v>29190000</v>
      </c>
      <c r="H21" s="26" t="n">
        <v>200</v>
      </c>
    </row>
    <row r="22">
      <c r="A22" t="inlineStr">
        <is>
          <t>iPad Pro M5 13” 256GB Wifi</t>
        </is>
      </c>
      <c r="B22" s="3" t="n"/>
      <c r="C22" s="87" t="n">
        <v>39590000</v>
      </c>
      <c r="D22" s="101" t="n">
        <v>39590000</v>
      </c>
      <c r="E22" s="97" t="n">
        <v>38990000</v>
      </c>
      <c r="F22" s="91" t="n">
        <v>39590000</v>
      </c>
      <c r="G22" s="89" t="n">
        <v>39590000</v>
      </c>
      <c r="H22" s="26" t="n"/>
    </row>
    <row r="23">
      <c r="A23" t="inlineStr">
        <is>
          <t>AW SE 3 (40mm GPS)</t>
        </is>
      </c>
      <c r="B23" s="25" t="n"/>
      <c r="C23" s="98" t="n">
        <v>6790000</v>
      </c>
      <c r="D23" s="98" t="n">
        <v>6790000</v>
      </c>
      <c r="E23" s="96" t="n">
        <v>6490000</v>
      </c>
      <c r="F23" s="90" t="n">
        <v>6790000</v>
      </c>
      <c r="G23" s="92" t="n">
        <v>6590000</v>
      </c>
      <c r="H23" s="26" t="n">
        <v>400</v>
      </c>
    </row>
    <row r="24">
      <c r="A24" t="inlineStr">
        <is>
          <t>AW SE 3 (40mm LTE)</t>
        </is>
      </c>
      <c r="B24" s="25" t="n"/>
      <c r="C24" s="87" t="n">
        <v>8390000</v>
      </c>
      <c r="D24" s="98" t="n">
        <v>8390000</v>
      </c>
      <c r="E24" s="96" t="n">
        <v>7990000</v>
      </c>
      <c r="F24" s="90" t="n">
        <v>8390000</v>
      </c>
      <c r="G24" s="92" t="n">
        <v>8290000</v>
      </c>
      <c r="H24" s="26" t="n">
        <v>500</v>
      </c>
    </row>
    <row r="25">
      <c r="A25" t="inlineStr">
        <is>
          <t>AW SE 3 (44mm GPS)</t>
        </is>
      </c>
      <c r="B25" s="25" t="n"/>
      <c r="C25" s="87" t="n">
        <v>7690000</v>
      </c>
      <c r="D25" s="98" t="n">
        <v>7690000</v>
      </c>
      <c r="E25" s="96" t="n">
        <v>7390000</v>
      </c>
      <c r="F25" s="90" t="n">
        <v>7690000</v>
      </c>
      <c r="G25" s="92" t="n">
        <v>7690000</v>
      </c>
      <c r="H25" s="26" t="n">
        <v>500</v>
      </c>
    </row>
    <row r="26">
      <c r="A26" t="inlineStr">
        <is>
          <t>AW SE 3 (44mm LTE)</t>
        </is>
      </c>
      <c r="B26" s="25" t="n"/>
      <c r="C26" s="87" t="n">
        <v>9190000</v>
      </c>
      <c r="D26" s="98" t="n">
        <v>9190000</v>
      </c>
      <c r="E26" s="96" t="n">
        <v>8990000</v>
      </c>
      <c r="F26" s="90" t="n">
        <v>9190000</v>
      </c>
      <c r="G26" s="92" t="n">
        <v>8990000</v>
      </c>
      <c r="H26" s="26" t="n">
        <v>500</v>
      </c>
    </row>
    <row r="27">
      <c r="A27" t="inlineStr">
        <is>
          <t>AW S11 (42mm GPS)</t>
        </is>
      </c>
      <c r="B27" s="3" t="n"/>
      <c r="C27" s="98" t="n">
        <v>11190000</v>
      </c>
      <c r="D27" s="98" t="n">
        <v>11190000</v>
      </c>
      <c r="E27" s="96" t="n">
        <v>10690000</v>
      </c>
      <c r="F27" s="90" t="n">
        <v>11190000</v>
      </c>
      <c r="G27" s="92" t="n">
        <v>10990000</v>
      </c>
      <c r="H27" s="26">
        <f>10990-9190</f>
        <v/>
      </c>
    </row>
    <row r="28">
      <c r="A28" t="inlineStr">
        <is>
          <t>AW S11 (42mm CEL)</t>
        </is>
      </c>
      <c r="B28" s="3" t="n"/>
      <c r="C28" s="98" t="n">
        <v>14090000</v>
      </c>
      <c r="D28" s="98" t="n">
        <v>14090000</v>
      </c>
      <c r="E28" s="96" t="n">
        <v>13990000</v>
      </c>
      <c r="F28" s="90" t="n">
        <v>14090000</v>
      </c>
      <c r="G28" s="92" t="n">
        <v>13990000</v>
      </c>
      <c r="H28" s="26">
        <f>13990-12190</f>
        <v/>
      </c>
    </row>
    <row r="29">
      <c r="A29" t="inlineStr">
        <is>
          <t>AW S11 (46mm GPS)</t>
        </is>
      </c>
      <c r="B29" s="3" t="n"/>
      <c r="C29" s="98" t="n">
        <v>11990000</v>
      </c>
      <c r="D29" s="98" t="n">
        <v>11900000</v>
      </c>
      <c r="E29" s="96" t="n">
        <v>11490000</v>
      </c>
      <c r="F29" s="90" t="n">
        <v>11990000</v>
      </c>
      <c r="G29" s="92" t="n">
        <v>11890000</v>
      </c>
      <c r="H29" s="26">
        <f>13990-12190</f>
        <v/>
      </c>
    </row>
    <row r="30">
      <c r="A30" t="inlineStr">
        <is>
          <t>AW S11 (46mm CEL)</t>
        </is>
      </c>
      <c r="B30" s="3" t="n"/>
      <c r="C30" s="98" t="n">
        <v>14090000</v>
      </c>
      <c r="D30" s="98" t="n">
        <v>14990000</v>
      </c>
      <c r="E30" s="96" t="n">
        <v>14490000</v>
      </c>
      <c r="F30" s="90" t="n">
        <v>14990000</v>
      </c>
      <c r="G30" s="92" t="n">
        <v>14990000</v>
      </c>
      <c r="H30" s="26">
        <f>14990-13190</f>
        <v/>
      </c>
    </row>
    <row r="31">
      <c r="A31" t="inlineStr">
        <is>
          <t>AW Ultra 3 (49mm)</t>
        </is>
      </c>
      <c r="B31" s="25" t="n"/>
      <c r="C31" s="98" t="n">
        <v>23490000</v>
      </c>
      <c r="D31" s="87" t="n">
        <v>22990000</v>
      </c>
      <c r="E31" s="97" t="n">
        <v>22490000</v>
      </c>
      <c r="F31" s="91" t="n">
        <v>22990000</v>
      </c>
      <c r="G31" s="89" t="n">
        <v>22990000</v>
      </c>
      <c r="H31" s="26" t="n"/>
    </row>
    <row r="32">
      <c r="A32" t="inlineStr">
        <is>
          <t>AirPods Pro 2 - 2023 (C-Type)</t>
        </is>
      </c>
      <c r="B32" s="3" t="n"/>
      <c r="C32" s="98" t="n">
        <v>4890000</v>
      </c>
      <c r="D32" s="98" t="n">
        <v>4990000</v>
      </c>
      <c r="E32" s="87" t="n">
        <v>4290000</v>
      </c>
      <c r="F32" s="91" t="n">
        <v>4950000</v>
      </c>
      <c r="G32" s="89" t="n">
        <v>5590000</v>
      </c>
      <c r="H32" s="26" t="n"/>
      <c r="J32" s="84" t="n"/>
    </row>
    <row r="33">
      <c r="A33" t="inlineStr">
        <is>
          <t>AirPods 4 ANC</t>
        </is>
      </c>
      <c r="B33" s="3" t="n"/>
      <c r="C33" s="98" t="n">
        <v>4690000</v>
      </c>
      <c r="D33" s="98" t="n">
        <v>4490000</v>
      </c>
      <c r="E33" s="96" t="n">
        <v>4490000</v>
      </c>
      <c r="F33" s="90" t="n">
        <v>4690000</v>
      </c>
      <c r="G33" s="92" t="n">
        <v>4590000</v>
      </c>
      <c r="H33" s="26" t="n">
        <v>200</v>
      </c>
    </row>
    <row r="34">
      <c r="A34" t="inlineStr">
        <is>
          <t>AirPods 4 with charging case</t>
        </is>
      </c>
      <c r="B34" s="3" t="n"/>
      <c r="C34" s="98" t="n">
        <v>3590000</v>
      </c>
      <c r="D34" s="98" t="n">
        <v>3550000</v>
      </c>
      <c r="E34" s="96" t="n">
        <v>3390000</v>
      </c>
      <c r="F34" s="90" t="n">
        <v>3550000</v>
      </c>
      <c r="G34" s="92" t="n">
        <v>3490000</v>
      </c>
      <c r="H34" s="26" t="n">
        <v>500</v>
      </c>
    </row>
    <row r="35">
      <c r="A35" t="inlineStr">
        <is>
          <t>AirPods Pro 3</t>
        </is>
      </c>
      <c r="B35" s="3" t="n"/>
      <c r="C35" s="87" t="n">
        <v>6790000</v>
      </c>
      <c r="D35" s="98" t="n">
        <v>6590000</v>
      </c>
      <c r="E35" s="93" t="n">
        <v>6490000</v>
      </c>
      <c r="F35" s="91" t="n">
        <v>6790000</v>
      </c>
      <c r="G35" s="89" t="n">
        <v>6490000</v>
      </c>
      <c r="H35" s="26" t="n"/>
    </row>
    <row r="36">
      <c r="A36" t="inlineStr">
        <is>
          <t>MacBook Air 13" M2 16/256GB</t>
        </is>
      </c>
      <c r="B36" s="25" t="n"/>
      <c r="C36" s="87" t="n">
        <v>19690000</v>
      </c>
      <c r="D36" s="98" t="n">
        <v>19690000</v>
      </c>
      <c r="E36" s="102" t="n"/>
      <c r="F36" s="91" t="n">
        <v>19690000</v>
      </c>
      <c r="G36" s="89" t="n">
        <v>18990000</v>
      </c>
      <c r="H36" s="26" t="n"/>
    </row>
    <row r="37">
      <c r="A37" t="inlineStr">
        <is>
          <t>MacBook Air 13" M4 16/256GB</t>
        </is>
      </c>
      <c r="B37" s="3" t="n"/>
      <c r="C37" s="87" t="n">
        <v>23990000</v>
      </c>
      <c r="D37" s="98" t="n">
        <v>23990000</v>
      </c>
      <c r="E37" s="102" t="n"/>
      <c r="F37" s="91" t="n">
        <v>23990000</v>
      </c>
      <c r="G37" s="89" t="n">
        <v>23490000</v>
      </c>
      <c r="H37" s="26" t="n">
        <v>-200</v>
      </c>
    </row>
    <row r="38">
      <c r="A38" t="inlineStr">
        <is>
          <t>MacBook Air 15" M4 16/256GB</t>
        </is>
      </c>
      <c r="B38" s="25" t="n"/>
      <c r="C38" s="87" t="n">
        <v>28990000</v>
      </c>
      <c r="D38" s="87" t="n">
        <v>28990000</v>
      </c>
      <c r="E38" s="102" t="n"/>
      <c r="F38" s="91" t="n">
        <v>28990000</v>
      </c>
      <c r="G38" s="89" t="n">
        <v>28590000</v>
      </c>
      <c r="H38" s="26" t="n"/>
    </row>
    <row r="39">
      <c r="A39" t="inlineStr">
        <is>
          <t>MacBook Pro 14" M4 16/512GB</t>
        </is>
      </c>
      <c r="B39" s="25" t="n"/>
      <c r="C39" s="87" t="inlineStr">
        <is>
          <t>OOS</t>
        </is>
      </c>
      <c r="D39" s="87" t="n">
        <v>37990000</v>
      </c>
      <c r="E39" s="102" t="n"/>
      <c r="F39" s="91" t="n">
        <v>38590000</v>
      </c>
      <c r="G39" s="89" t="n">
        <v>38390000</v>
      </c>
      <c r="H39" s="26" t="n"/>
    </row>
    <row r="40">
      <c r="A40" t="inlineStr">
        <is>
          <t>MacBook Pro 14" M5 16/512GB</t>
        </is>
      </c>
      <c r="B40" s="25" t="n"/>
      <c r="C40" s="87" t="n">
        <v>41690000</v>
      </c>
      <c r="D40" s="87" t="n">
        <v>41690000</v>
      </c>
      <c r="E40" s="102" t="n"/>
      <c r="F40" s="91" t="n">
        <v>41990000</v>
      </c>
      <c r="G40" s="89" t="n">
        <v>41990000</v>
      </c>
      <c r="H40" s="26" t="n"/>
    </row>
    <row r="41">
      <c r="A41" t="inlineStr">
        <is>
          <t>MacBook Pro 16" M4 24/512GB</t>
        </is>
      </c>
      <c r="B41" s="25" t="n"/>
      <c r="C41" s="87" t="inlineStr">
        <is>
          <t>OOS</t>
        </is>
      </c>
      <c r="D41" s="87" t="n">
        <v>63990000</v>
      </c>
      <c r="E41" s="102" t="n"/>
      <c r="F41" s="91" t="n">
        <v>63990000</v>
      </c>
      <c r="G41" s="89" t="n">
        <v>63990000</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pageMargins left="0.7" right="0.7" top="0.75" bottom="0.75" header="0.3" footer="0.3"/>
  <pageSetup orientation="portrait" paperSize="9" horizontalDpi="0" verticalDpi="0"/>
  <legacyDrawing xmlns:r="http://schemas.openxmlformats.org/officeDocument/2006/relationships" r:id="anysvml"/>
</worksheet>
</file>

<file path=xl/worksheets/sheet92.xml><?xml version="1.0" encoding="utf-8"?>
<worksheet xmlns="http://schemas.openxmlformats.org/spreadsheetml/2006/main">
  <sheetPr>
    <outlinePr summaryBelow="1" summaryRight="1"/>
    <pageSetUpPr/>
  </sheetPr>
  <dimension ref="A1:L153"/>
  <sheetViews>
    <sheetView zoomScaleNormal="130" workbookViewId="0">
      <pane xSplit="2" ySplit="1" topLeftCell="C12"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6" min="5" max="5"/>
    <col width="14.375" customWidth="1" style="35" min="6" max="6"/>
    <col width="13" customWidth="1" style="35" min="7" max="7"/>
    <col width="13.5" customWidth="1" style="35" min="8" max="8"/>
    <col width="11" customWidth="1" style="114" min="9" max="9"/>
  </cols>
  <sheetData>
    <row r="1">
      <c r="B1" s="47" t="inlineStr">
        <is>
          <t>TZ</t>
        </is>
      </c>
      <c r="C1" s="81" t="inlineStr">
        <is>
          <t>MW</t>
        </is>
      </c>
      <c r="D1" s="81" t="inlineStr">
        <is>
          <t>FPT</t>
        </is>
      </c>
      <c r="E1" s="116" t="inlineStr">
        <is>
          <t>Viettel</t>
        </is>
      </c>
      <c r="F1" s="82" t="inlineStr">
        <is>
          <t>CPS</t>
        </is>
      </c>
      <c r="G1" s="82" t="inlineStr">
        <is>
          <t>Shopdunk</t>
        </is>
      </c>
    </row>
    <row r="2">
      <c r="A2" t="inlineStr">
        <is>
          <t>iPhone 17  256GB</t>
        </is>
      </c>
      <c r="B2" s="83" t="n"/>
      <c r="C2" s="85" t="n">
        <v>24990000</v>
      </c>
      <c r="D2" s="103" t="n">
        <v>24890000</v>
      </c>
      <c r="E2" s="117" t="n">
        <v>24190000</v>
      </c>
      <c r="F2" s="118" t="n">
        <v>24890000</v>
      </c>
      <c r="G2" s="111" t="n">
        <v>24790000</v>
      </c>
      <c r="I2" s="115">
        <f>E2-W3Q2FY26!E2</f>
        <v/>
      </c>
    </row>
    <row r="3">
      <c r="A3" t="inlineStr">
        <is>
          <t>iPhone Air 256G</t>
        </is>
      </c>
      <c r="B3" s="83" t="n"/>
      <c r="C3" s="85" t="n">
        <v>25990000</v>
      </c>
      <c r="D3" s="103" t="n">
        <v>25790000</v>
      </c>
      <c r="E3" s="117" t="n">
        <v>25490000</v>
      </c>
      <c r="F3" s="90" t="n">
        <v>25790000</v>
      </c>
      <c r="G3" s="112" t="n">
        <v>25790000</v>
      </c>
      <c r="H3" s="26" t="n">
        <v>-200</v>
      </c>
      <c r="I3" s="115">
        <f>E3-W3Q2FY26!E3</f>
        <v/>
      </c>
    </row>
    <row r="4">
      <c r="A4" t="inlineStr">
        <is>
          <t>iPhone 17 Pro 256GB</t>
        </is>
      </c>
      <c r="B4" s="83" t="n"/>
      <c r="C4" s="85" t="n">
        <v>34690000</v>
      </c>
      <c r="D4" s="104" t="n">
        <v>34390000</v>
      </c>
      <c r="E4" s="117" t="n">
        <v>33590000</v>
      </c>
      <c r="F4" s="91" t="n">
        <v>34390000</v>
      </c>
      <c r="G4" s="111" t="n">
        <v>33990000</v>
      </c>
      <c r="H4" s="26" t="n"/>
      <c r="I4" s="115">
        <f>E4-W3Q2FY26!E4</f>
        <v/>
      </c>
    </row>
    <row r="5">
      <c r="A5" t="inlineStr">
        <is>
          <t>iPhone 17 Pro Max 256GB</t>
        </is>
      </c>
      <c r="B5" s="83" t="n"/>
      <c r="C5" s="85" t="n">
        <v>37990000</v>
      </c>
      <c r="D5" s="104" t="n">
        <v>37690000</v>
      </c>
      <c r="E5" s="93" t="n">
        <v>36490000</v>
      </c>
      <c r="F5" s="91" t="n">
        <v>37690000</v>
      </c>
      <c r="G5" s="112" t="n">
        <v>37190000</v>
      </c>
      <c r="H5" s="26" t="n">
        <v>200</v>
      </c>
      <c r="I5" s="115">
        <f>E5-W3Q2FY26!E5</f>
        <v/>
      </c>
    </row>
    <row r="6">
      <c r="A6" t="inlineStr">
        <is>
          <t>iPhone 16e  128GB</t>
        </is>
      </c>
      <c r="B6" s="83" t="n"/>
      <c r="C6" s="85" t="n">
        <v>15990000</v>
      </c>
      <c r="D6" s="87" t="inlineStr">
        <is>
          <t>OOS</t>
        </is>
      </c>
      <c r="E6" s="93" t="n">
        <v>12490000</v>
      </c>
      <c r="F6" s="94" t="n">
        <v>12490000</v>
      </c>
      <c r="G6" s="111" t="n">
        <v>15190000</v>
      </c>
      <c r="H6" s="26" t="n"/>
      <c r="I6" s="115">
        <f>E6-W3Q2FY26!E6</f>
        <v/>
      </c>
    </row>
    <row r="7">
      <c r="A7" t="inlineStr">
        <is>
          <t>iPhone 16  128GB</t>
        </is>
      </c>
      <c r="B7" s="71" t="n"/>
      <c r="C7" s="95" t="n">
        <v>19990000</v>
      </c>
      <c r="D7" s="109" t="n">
        <v>19690000</v>
      </c>
      <c r="E7" s="96" t="n">
        <v>19390000</v>
      </c>
      <c r="F7" s="91" t="n">
        <v>19790000</v>
      </c>
      <c r="G7" s="111" t="n">
        <v>19490000</v>
      </c>
      <c r="H7" s="26" t="n"/>
      <c r="I7" s="115">
        <f>E7-W3Q2FY26!E7</f>
        <v/>
      </c>
    </row>
    <row r="8">
      <c r="A8" t="inlineStr">
        <is>
          <t>iPhone 16  Plus 128GB</t>
        </is>
      </c>
      <c r="B8" s="3" t="n"/>
      <c r="C8" s="87" t="n">
        <v>23990000</v>
      </c>
      <c r="D8" s="105" t="n">
        <v>23790000</v>
      </c>
      <c r="E8" s="96" t="n">
        <v>22990000</v>
      </c>
      <c r="F8" s="91" t="n">
        <v>23790000</v>
      </c>
      <c r="G8" s="111" t="n">
        <v>23390000</v>
      </c>
      <c r="H8" s="26" t="n"/>
      <c r="I8" s="115">
        <f>E8-W3Q2FY26!E8</f>
        <v/>
      </c>
    </row>
    <row r="9">
      <c r="A9" t="inlineStr">
        <is>
          <t>iPhone 16 Pro  128GB</t>
        </is>
      </c>
      <c r="B9" s="25" t="n"/>
      <c r="C9" s="87" t="n">
        <v>25590000</v>
      </c>
      <c r="D9" s="106" t="n">
        <v>25590000</v>
      </c>
      <c r="E9" s="97" t="n">
        <v>24990000</v>
      </c>
      <c r="F9" s="91" t="n">
        <v>25590000</v>
      </c>
      <c r="G9" s="111" t="n">
        <v>24990000</v>
      </c>
      <c r="H9" s="26" t="n"/>
      <c r="I9" s="115">
        <f>E9-W3Q2FY26!E9</f>
        <v/>
      </c>
    </row>
    <row r="10">
      <c r="A10" t="inlineStr">
        <is>
          <t>iPhone 16 Pro Max 256GB</t>
        </is>
      </c>
      <c r="B10" s="3" t="n"/>
      <c r="C10" s="98" t="n">
        <v>32590000</v>
      </c>
      <c r="D10" s="107" t="n">
        <v>32490000</v>
      </c>
      <c r="E10" s="97" t="n">
        <v>30890000</v>
      </c>
      <c r="F10" s="90" t="n">
        <v>32490000</v>
      </c>
      <c r="G10" s="111" t="n">
        <v>31190000</v>
      </c>
      <c r="H10" s="26" t="n"/>
      <c r="I10" s="115">
        <f>E10-W3Q2FY26!E10</f>
        <v/>
      </c>
    </row>
    <row r="11">
      <c r="A11" t="inlineStr">
        <is>
          <t>iPhone 15  128GB</t>
        </is>
      </c>
      <c r="B11" s="25" t="n"/>
      <c r="C11" s="87" t="n">
        <v>16990000</v>
      </c>
      <c r="D11" s="107" t="n">
        <v>16790000</v>
      </c>
      <c r="E11" s="117" t="n">
        <v>16490000</v>
      </c>
      <c r="F11" s="90" t="n">
        <v>16790000</v>
      </c>
      <c r="G11" s="111" t="n">
        <v>16390000</v>
      </c>
      <c r="H11" s="26" t="n"/>
      <c r="I11" s="115">
        <f>E11-W3Q2FY26!E11</f>
        <v/>
      </c>
    </row>
    <row r="12">
      <c r="A12" t="inlineStr">
        <is>
          <t>iPhone 15  Plus 128GB</t>
        </is>
      </c>
      <c r="B12" s="25" t="n"/>
      <c r="C12" s="87" t="n">
        <v>18990000</v>
      </c>
      <c r="D12" s="87" t="inlineStr">
        <is>
          <t>OOS</t>
        </is>
      </c>
      <c r="E12" s="117" t="inlineStr">
        <is>
          <t>OOS</t>
        </is>
      </c>
      <c r="F12" s="91" t="n">
        <v>17690000</v>
      </c>
      <c r="G12" s="111" t="n">
        <v>18490000</v>
      </c>
      <c r="H12" s="26" t="n"/>
      <c r="I12" s="115">
        <f>E12-W3Q2FY26!E12</f>
        <v/>
      </c>
    </row>
    <row r="13">
      <c r="A13" t="inlineStr">
        <is>
          <t>iPhone 14 128GB</t>
        </is>
      </c>
      <c r="B13" s="25" t="n"/>
      <c r="C13" s="87" t="n">
        <v>13890000</v>
      </c>
      <c r="D13" s="105" t="n">
        <v>13590000</v>
      </c>
      <c r="E13" s="117" t="n">
        <v>13590000</v>
      </c>
      <c r="F13" s="91" t="n">
        <v>13590000</v>
      </c>
      <c r="G13" s="111" t="n">
        <v>12990000</v>
      </c>
      <c r="H13" s="26" t="n"/>
      <c r="I13" s="115">
        <f>E13-W3Q2FY26!E13</f>
        <v/>
      </c>
    </row>
    <row r="14">
      <c r="A14" t="inlineStr">
        <is>
          <t>iPhone 13  128GB</t>
        </is>
      </c>
      <c r="B14" s="3" t="n"/>
      <c r="C14" s="87" t="n">
        <v>12490000</v>
      </c>
      <c r="D14" s="108" t="n">
        <v>12090000</v>
      </c>
      <c r="E14" s="96" t="n">
        <v>11990000</v>
      </c>
      <c r="F14" s="91" t="n">
        <v>12090000</v>
      </c>
      <c r="G14" s="111" t="n">
        <v>11890000</v>
      </c>
      <c r="H14" s="26" t="n"/>
      <c r="I14" s="115">
        <f>E14-W3Q2FY26!E14</f>
        <v/>
      </c>
    </row>
    <row r="15">
      <c r="A15" t="inlineStr">
        <is>
          <t>iPad Mini 7 128GB Wifi</t>
        </is>
      </c>
      <c r="B15" s="25" t="n"/>
      <c r="C15" s="98" t="n">
        <v>13590000</v>
      </c>
      <c r="D15" s="107" t="n">
        <v>13390000</v>
      </c>
      <c r="E15" s="96" t="n">
        <v>13290000</v>
      </c>
      <c r="F15" s="90" t="n">
        <v>13390000</v>
      </c>
      <c r="G15" s="111" t="n">
        <v>11590000</v>
      </c>
      <c r="H15" s="26" t="n"/>
      <c r="I15" s="115">
        <f>E15-W3Q2FY26!E15</f>
        <v/>
      </c>
    </row>
    <row r="16">
      <c r="A16" t="inlineStr">
        <is>
          <t>iPad Gen 11th  128GB Wifi</t>
        </is>
      </c>
      <c r="B16" s="3" t="n"/>
      <c r="C16" s="87" t="n">
        <v>9590000</v>
      </c>
      <c r="D16" s="107" t="n">
        <v>9390000</v>
      </c>
      <c r="E16" s="96" t="n">
        <v>9190000</v>
      </c>
      <c r="F16" s="90" t="n">
        <v>9590000</v>
      </c>
      <c r="G16" s="112" t="n">
        <v>8990000</v>
      </c>
      <c r="H16" s="26" t="n">
        <v>600</v>
      </c>
      <c r="I16" s="115">
        <f>E16-W3Q2FY26!E16</f>
        <v/>
      </c>
      <c r="J16" t="inlineStr">
        <is>
          <t xml:space="preserve">MW </t>
        </is>
      </c>
      <c r="K16" t="inlineStr">
        <is>
          <t>Hải</t>
        </is>
      </c>
      <c r="L16" t="b">
        <v>1</v>
      </c>
    </row>
    <row r="17">
      <c r="A17" t="inlineStr">
        <is>
          <t>iPad Air M3  11" 128 GB Wifi</t>
        </is>
      </c>
      <c r="B17" s="3" t="n"/>
      <c r="C17" s="98" t="n">
        <v>16090000</v>
      </c>
      <c r="D17" s="107" t="n">
        <v>16090000</v>
      </c>
      <c r="E17" s="117" t="n">
        <v>15390000</v>
      </c>
      <c r="F17" s="90" t="n">
        <v>16090000</v>
      </c>
      <c r="G17" s="112" t="n">
        <v>13390000</v>
      </c>
      <c r="H17" s="26">
        <f>15590-13390</f>
        <v/>
      </c>
      <c r="I17" s="115">
        <f>E17-W3Q2FY26!E17</f>
        <v/>
      </c>
      <c r="J17" t="inlineStr">
        <is>
          <t>FPT</t>
        </is>
      </c>
      <c r="K17" t="inlineStr">
        <is>
          <t>Trang</t>
        </is>
      </c>
      <c r="L17" t="b">
        <v>1</v>
      </c>
    </row>
    <row r="18">
      <c r="A18" t="inlineStr">
        <is>
          <t>iPad Air M3  13" 128 GB Wifi</t>
        </is>
      </c>
      <c r="B18" s="25" t="n"/>
      <c r="C18" s="98" t="n">
        <v>21790000</v>
      </c>
      <c r="D18" s="107" t="n">
        <v>21790000</v>
      </c>
      <c r="E18" s="97" t="n">
        <v>20290000</v>
      </c>
      <c r="F18" s="90" t="n">
        <v>18990000</v>
      </c>
      <c r="G18" s="112" t="n">
        <v>18990000</v>
      </c>
      <c r="H18" s="79">
        <f>20490-18990</f>
        <v/>
      </c>
      <c r="I18" s="115">
        <f>E18-W3Q2FY26!E18</f>
        <v/>
      </c>
      <c r="J18" t="inlineStr">
        <is>
          <t>Viettel</t>
        </is>
      </c>
      <c r="K18" t="inlineStr">
        <is>
          <t>Nghĩa</t>
        </is>
      </c>
      <c r="L18" t="b">
        <v>1</v>
      </c>
    </row>
    <row r="19">
      <c r="A19" t="inlineStr">
        <is>
          <t>iPad Pro  M4  11" 256 GB Wifi</t>
        </is>
      </c>
      <c r="B19" s="25" t="n"/>
      <c r="C19" s="97" t="inlineStr">
        <is>
          <t>OOS</t>
        </is>
      </c>
      <c r="D19" s="107" t="n">
        <v>28490000</v>
      </c>
      <c r="E19" s="97" t="inlineStr">
        <is>
          <t>OOS</t>
        </is>
      </c>
      <c r="F19" s="91" t="inlineStr">
        <is>
          <t>OOS</t>
        </is>
      </c>
      <c r="G19" s="113" t="inlineStr">
        <is>
          <t>OOS</t>
        </is>
      </c>
      <c r="H19" s="26" t="n"/>
      <c r="I19" s="115">
        <f>E19-W3Q2FY26!E19</f>
        <v/>
      </c>
      <c r="J19" t="inlineStr">
        <is>
          <t>CPS</t>
        </is>
      </c>
      <c r="K19" t="inlineStr">
        <is>
          <t>Duy</t>
        </is>
      </c>
      <c r="L19" t="b">
        <v>1</v>
      </c>
    </row>
    <row r="20">
      <c r="A20" t="inlineStr">
        <is>
          <t>iPad Pro  M4  13" 256 GB Wifi</t>
        </is>
      </c>
      <c r="B20" s="3" t="n"/>
      <c r="C20" s="97" t="inlineStr">
        <is>
          <t>OOS</t>
        </is>
      </c>
      <c r="D20" s="87" t="n">
        <v>36290000</v>
      </c>
      <c r="E20" s="97" t="inlineStr">
        <is>
          <t>OOS</t>
        </is>
      </c>
      <c r="F20" s="91" t="n">
        <v>36290000</v>
      </c>
      <c r="G20" s="113" t="inlineStr">
        <is>
          <t>OOS</t>
        </is>
      </c>
      <c r="H20" s="26" t="n"/>
      <c r="I20" s="115">
        <f>E20-W3Q2FY26!E20</f>
        <v/>
      </c>
      <c r="J20" t="inlineStr">
        <is>
          <t>ShopDunk</t>
        </is>
      </c>
      <c r="K20" t="inlineStr">
        <is>
          <t>Đạt</t>
        </is>
      </c>
      <c r="L20" t="b">
        <v>1</v>
      </c>
    </row>
    <row r="21">
      <c r="A21" t="inlineStr">
        <is>
          <t>iPad Pro M5 11” 256GB Wifi</t>
        </is>
      </c>
      <c r="B21" s="3" t="n"/>
      <c r="C21" s="98" t="n">
        <v>29690000</v>
      </c>
      <c r="D21" s="107" t="n">
        <v>29490000</v>
      </c>
      <c r="E21" s="100" t="n">
        <v>28990000</v>
      </c>
      <c r="F21" s="90" t="n">
        <v>29490000</v>
      </c>
      <c r="G21" s="111" t="n">
        <v>29190000</v>
      </c>
      <c r="H21" s="26" t="n"/>
      <c r="I21" s="115">
        <f>E21-W3Q2FY26!E21</f>
        <v/>
      </c>
    </row>
    <row r="22">
      <c r="A22" t="inlineStr">
        <is>
          <t>iPad Pro M5 13” 256GB Wifi</t>
        </is>
      </c>
      <c r="B22" s="3" t="n"/>
      <c r="C22" s="87" t="n">
        <v>39590000</v>
      </c>
      <c r="D22" s="110" t="n">
        <v>39390000</v>
      </c>
      <c r="E22" s="97" t="n">
        <v>38990000</v>
      </c>
      <c r="F22" s="90" t="n">
        <v>39390000</v>
      </c>
      <c r="G22" s="111" t="n">
        <v>39590000</v>
      </c>
      <c r="H22" s="26" t="n"/>
      <c r="I22" s="115">
        <f>E22-W3Q2FY26!E22</f>
        <v/>
      </c>
    </row>
    <row r="23">
      <c r="A23" t="inlineStr">
        <is>
          <t>AW SE 3 (40mm GPS)</t>
        </is>
      </c>
      <c r="B23" s="25" t="n"/>
      <c r="C23" s="87" t="n">
        <v>6790000</v>
      </c>
      <c r="D23" s="105" t="n">
        <v>6790000</v>
      </c>
      <c r="E23" s="96" t="n">
        <v>6490000</v>
      </c>
      <c r="F23" s="91" t="n">
        <v>6790000</v>
      </c>
      <c r="G23" s="111" t="n">
        <v>6590000</v>
      </c>
      <c r="H23" s="26" t="n"/>
      <c r="I23" s="115">
        <f>E23-W3Q2FY26!E23</f>
        <v/>
      </c>
    </row>
    <row r="24">
      <c r="A24" t="inlineStr">
        <is>
          <t>AW SE 3 (40mm LTE)</t>
        </is>
      </c>
      <c r="B24" s="25" t="n"/>
      <c r="C24" s="87" t="n">
        <v>8390000</v>
      </c>
      <c r="D24" s="105" t="n">
        <v>8390000</v>
      </c>
      <c r="E24" s="96" t="n">
        <v>7990000</v>
      </c>
      <c r="F24" s="91" t="n">
        <v>8390000</v>
      </c>
      <c r="G24" s="111" t="n">
        <v>8290000</v>
      </c>
      <c r="H24" s="26" t="n"/>
      <c r="I24" s="115">
        <f>E24-W3Q2FY26!E24</f>
        <v/>
      </c>
    </row>
    <row r="25">
      <c r="A25" t="inlineStr">
        <is>
          <t>AW SE 3 (44mm GPS)</t>
        </is>
      </c>
      <c r="B25" s="25" t="n"/>
      <c r="C25" s="87" t="n">
        <v>7690000</v>
      </c>
      <c r="D25" s="105" t="n">
        <v>7690000</v>
      </c>
      <c r="E25" s="96" t="n">
        <v>7390000</v>
      </c>
      <c r="F25" s="91" t="n">
        <v>7690000</v>
      </c>
      <c r="G25" s="111" t="n">
        <v>7690000</v>
      </c>
      <c r="H25" s="26" t="n"/>
      <c r="I25" s="115">
        <f>E25-W3Q2FY26!E25</f>
        <v/>
      </c>
    </row>
    <row r="26">
      <c r="A26" t="inlineStr">
        <is>
          <t>AW SE 3 (44mm LTE)</t>
        </is>
      </c>
      <c r="B26" s="25" t="n"/>
      <c r="C26" s="87" t="n">
        <v>9190000</v>
      </c>
      <c r="D26" s="105" t="n">
        <v>9190000</v>
      </c>
      <c r="E26" s="96" t="n">
        <v>8990000</v>
      </c>
      <c r="F26" s="91" t="n">
        <v>9190000</v>
      </c>
      <c r="G26" s="111" t="n">
        <v>8990000</v>
      </c>
      <c r="H26" s="26" t="n"/>
      <c r="I26" s="115">
        <f>E26-W3Q2FY26!E26</f>
        <v/>
      </c>
    </row>
    <row r="27">
      <c r="A27" t="inlineStr">
        <is>
          <t>AW S11 (42mm GPS)</t>
        </is>
      </c>
      <c r="B27" s="3" t="n"/>
      <c r="C27" s="87" t="n">
        <v>11190000</v>
      </c>
      <c r="D27" s="105" t="n">
        <v>11190000</v>
      </c>
      <c r="E27" s="96" t="n">
        <v>10690000</v>
      </c>
      <c r="F27" s="91" t="n">
        <v>11190000</v>
      </c>
      <c r="G27" s="111" t="n">
        <v>10990000</v>
      </c>
      <c r="H27" s="26" t="n"/>
      <c r="I27" s="115">
        <f>E27-W3Q2FY26!E27</f>
        <v/>
      </c>
    </row>
    <row r="28">
      <c r="A28" t="inlineStr">
        <is>
          <t>AW S11 (42mm CEL)</t>
        </is>
      </c>
      <c r="B28" s="3" t="n"/>
      <c r="C28" s="98" t="inlineStr">
        <is>
          <t>OOS</t>
        </is>
      </c>
      <c r="D28" s="107" t="n">
        <v>14090000</v>
      </c>
      <c r="E28" s="96" t="n">
        <v>13990000</v>
      </c>
      <c r="F28" s="91" t="n">
        <v>14090000</v>
      </c>
      <c r="G28" s="111" t="n">
        <v>13990000</v>
      </c>
      <c r="H28" s="26" t="n"/>
      <c r="I28" s="115">
        <f>E28-W3Q2FY26!E28</f>
        <v/>
      </c>
    </row>
    <row r="29">
      <c r="A29" t="inlineStr">
        <is>
          <t>AW S11 (46mm GPS)</t>
        </is>
      </c>
      <c r="B29" s="3" t="n"/>
      <c r="C29" s="87" t="n">
        <v>11990000</v>
      </c>
      <c r="D29" s="107" t="n">
        <v>11590000</v>
      </c>
      <c r="E29" s="96" t="n">
        <v>11490000</v>
      </c>
      <c r="F29" s="91" t="n">
        <v>11990000</v>
      </c>
      <c r="G29" s="111" t="n">
        <v>11890000</v>
      </c>
      <c r="H29" s="26" t="n"/>
      <c r="I29" s="115">
        <f>E29-W3Q2FY26!E29</f>
        <v/>
      </c>
    </row>
    <row r="30">
      <c r="A30" t="inlineStr">
        <is>
          <t>AW S11 (46mm CEL)</t>
        </is>
      </c>
      <c r="B30" s="3" t="n"/>
      <c r="C30" s="98" t="n">
        <v>14990000</v>
      </c>
      <c r="D30" s="107" t="n">
        <v>14990000</v>
      </c>
      <c r="E30" s="96" t="n">
        <v>14490000</v>
      </c>
      <c r="F30" s="90" t="n">
        <v>14090000</v>
      </c>
      <c r="G30" s="111" t="n">
        <v>14990000</v>
      </c>
      <c r="H30" s="26" t="n"/>
      <c r="I30" s="115">
        <f>E30-W3Q2FY26!E30</f>
        <v/>
      </c>
    </row>
    <row r="31">
      <c r="A31" t="inlineStr">
        <is>
          <t>AW Ultra 3 (49mm)</t>
        </is>
      </c>
      <c r="B31" s="25" t="n"/>
      <c r="C31" s="87" t="n">
        <v>23490000</v>
      </c>
      <c r="D31" s="105" t="n">
        <v>22990000</v>
      </c>
      <c r="E31" s="97" t="n">
        <v>22490000</v>
      </c>
      <c r="F31" s="91" t="n">
        <v>22990000</v>
      </c>
      <c r="G31" s="111" t="n">
        <v>22990000</v>
      </c>
      <c r="H31" s="26" t="n"/>
      <c r="I31" s="115">
        <f>E31-W3Q2FY26!E31</f>
        <v/>
      </c>
    </row>
    <row r="32">
      <c r="A32" t="inlineStr">
        <is>
          <t>AirPods Pro 2 - 2023 (C-Type)</t>
        </is>
      </c>
      <c r="B32" s="3" t="n"/>
      <c r="C32" s="98" t="n">
        <v>4990000</v>
      </c>
      <c r="D32" s="105" t="n">
        <v>4990000</v>
      </c>
      <c r="E32" s="117" t="n">
        <v>4290000</v>
      </c>
      <c r="F32" s="91" t="n">
        <v>4950000</v>
      </c>
      <c r="G32" s="111" t="n">
        <v>5590000</v>
      </c>
      <c r="H32" s="26" t="n"/>
      <c r="I32" s="115">
        <f>E32-W3Q2FY26!E32</f>
        <v/>
      </c>
      <c r="J32" s="84" t="n"/>
    </row>
    <row r="33">
      <c r="A33" t="inlineStr">
        <is>
          <t>AirPods 4 ANC</t>
        </is>
      </c>
      <c r="B33" s="3" t="n"/>
      <c r="C33" s="98" t="n">
        <v>4590000</v>
      </c>
      <c r="D33" s="105" t="n">
        <v>4490000</v>
      </c>
      <c r="E33" s="96" t="n">
        <v>4490000</v>
      </c>
      <c r="F33" s="90" t="n">
        <v>4550000</v>
      </c>
      <c r="G33" s="111" t="n">
        <v>4590000</v>
      </c>
      <c r="H33" s="26" t="n"/>
      <c r="I33" s="115">
        <f>E33-W3Q2FY26!E33</f>
        <v/>
      </c>
    </row>
    <row r="34">
      <c r="A34" t="inlineStr">
        <is>
          <t>AirPods 4 with charging case</t>
        </is>
      </c>
      <c r="B34" s="3" t="n"/>
      <c r="C34" s="98" t="n">
        <v>3490000</v>
      </c>
      <c r="D34" s="105" t="n">
        <v>3490000</v>
      </c>
      <c r="E34" s="96" t="n">
        <v>3390000</v>
      </c>
      <c r="F34" s="90" t="n">
        <v>3450000</v>
      </c>
      <c r="G34" s="112" t="n">
        <v>3390000</v>
      </c>
      <c r="H34" s="26" t="n">
        <v>-100</v>
      </c>
      <c r="I34" s="115">
        <f>E34-W3Q2FY26!E34</f>
        <v/>
      </c>
    </row>
    <row r="35">
      <c r="A35" t="inlineStr">
        <is>
          <t>AirPods Pro 3</t>
        </is>
      </c>
      <c r="B35" s="3" t="n"/>
      <c r="C35" s="87" t="n">
        <v>6590000</v>
      </c>
      <c r="D35" s="105" t="n">
        <v>6590000</v>
      </c>
      <c r="E35" s="93" t="n">
        <v>6390000</v>
      </c>
      <c r="F35" s="90" t="n">
        <v>6590000</v>
      </c>
      <c r="G35" s="111" t="n">
        <v>6490000</v>
      </c>
      <c r="H35" s="26" t="n"/>
      <c r="I35" s="115">
        <f>E35-W3Q2FY26!E35</f>
        <v/>
      </c>
    </row>
    <row r="36">
      <c r="A36" t="inlineStr">
        <is>
          <t>MacBook Air 13" M2 16/256GB</t>
        </is>
      </c>
      <c r="B36" s="25" t="n"/>
      <c r="C36" s="87" t="n">
        <v>19690000</v>
      </c>
      <c r="D36" s="105" t="n">
        <v>19690000</v>
      </c>
      <c r="E36" s="102" t="n"/>
      <c r="F36" s="91" t="n">
        <v>19690000</v>
      </c>
      <c r="G36" s="111" t="n">
        <v>18990000</v>
      </c>
      <c r="H36" s="26" t="n"/>
      <c r="I36" s="115">
        <f>E36-W3Q2FY26!E36</f>
        <v/>
      </c>
    </row>
    <row r="37">
      <c r="A37" t="inlineStr">
        <is>
          <t>MacBook Air 13" M4 16/256GB</t>
        </is>
      </c>
      <c r="B37" s="3" t="n"/>
      <c r="C37" s="98" t="n">
        <v>25290000</v>
      </c>
      <c r="D37" s="107" t="n">
        <v>25290000</v>
      </c>
      <c r="E37" s="102" t="n"/>
      <c r="F37" s="90" t="n">
        <v>25290000</v>
      </c>
      <c r="G37" s="112" t="n">
        <v>24990000</v>
      </c>
      <c r="H37" s="26" t="n">
        <v>1500</v>
      </c>
      <c r="I37" s="115">
        <f>E37-W3Q2FY26!E37</f>
        <v/>
      </c>
    </row>
    <row r="38">
      <c r="A38" t="inlineStr">
        <is>
          <t>MacBook Air 15" M4 16/256GB</t>
        </is>
      </c>
      <c r="B38" s="25" t="n"/>
      <c r="C38" s="98" t="n">
        <v>29990000</v>
      </c>
      <c r="D38" s="107" t="n">
        <v>29990000</v>
      </c>
      <c r="E38" s="102" t="n"/>
      <c r="F38" s="90" t="n">
        <v>29990000</v>
      </c>
      <c r="G38" s="112" t="n">
        <v>29990000</v>
      </c>
      <c r="H38" s="26" t="n">
        <v>1400</v>
      </c>
      <c r="I38" s="115">
        <f>E38-W3Q2FY26!E38</f>
        <v/>
      </c>
    </row>
    <row r="39">
      <c r="A39" t="inlineStr">
        <is>
          <t>MacBook Pro 14" M4 16/512GB</t>
        </is>
      </c>
      <c r="B39" s="25" t="n"/>
      <c r="C39" s="87" t="inlineStr">
        <is>
          <t>OOS</t>
        </is>
      </c>
      <c r="D39" s="87" t="inlineStr">
        <is>
          <t>OOS</t>
        </is>
      </c>
      <c r="E39" s="102" t="n"/>
      <c r="F39" s="91" t="n">
        <v>38590000</v>
      </c>
      <c r="G39" s="111" t="n">
        <v>38390000</v>
      </c>
      <c r="H39" s="26" t="n"/>
      <c r="I39" s="115">
        <f>E39-W3Q2FY26!E39</f>
        <v/>
      </c>
    </row>
    <row r="40">
      <c r="A40" t="inlineStr">
        <is>
          <t>MacBook Pro 14" M5 16/512GB</t>
        </is>
      </c>
      <c r="B40" s="25" t="n"/>
      <c r="C40" s="98" t="n">
        <v>41890000</v>
      </c>
      <c r="D40" s="105" t="n">
        <v>41690000</v>
      </c>
      <c r="E40" s="102" t="n"/>
      <c r="F40" s="91" t="n">
        <v>41990000</v>
      </c>
      <c r="G40" s="111" t="n">
        <v>41990000</v>
      </c>
      <c r="H40" s="26" t="n"/>
      <c r="I40" s="115">
        <f>E40-W3Q2FY26!E40</f>
        <v/>
      </c>
    </row>
    <row r="41">
      <c r="A41" t="inlineStr">
        <is>
          <t>MacBook Pro 16" M4 24/512GB</t>
        </is>
      </c>
      <c r="B41" s="25" t="n"/>
      <c r="C41" s="87" t="inlineStr">
        <is>
          <t>OOS</t>
        </is>
      </c>
      <c r="D41" s="105" t="n">
        <v>63990000</v>
      </c>
      <c r="E41" s="102" t="n"/>
      <c r="F41" s="91" t="n">
        <v>63990000</v>
      </c>
      <c r="G41" s="111" t="n">
        <v>63990000</v>
      </c>
      <c r="I41" s="115">
        <f>E41-W3Q2FY26!E41</f>
        <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conditionalFormatting sqref="E2:E41">
    <cfRule type="expression" priority="2" dxfId="3">
      <formula>$I2=0</formula>
    </cfRule>
  </conditionalFormatting>
  <conditionalFormatting sqref="E2:E1000">
    <cfRule type="expression" priority="1" dxfId="2">
      <formula>AND($I2&lt;&gt;0,$I2&lt;&gt;"")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3.xml><?xml version="1.0" encoding="utf-8"?>
<worksheet xmlns="http://schemas.openxmlformats.org/spreadsheetml/2006/main">
  <sheetPr>
    <outlinePr summaryBelow="1" summaryRight="1"/>
    <pageSetUpPr/>
  </sheetPr>
  <dimension ref="A1:L153"/>
  <sheetViews>
    <sheetView zoomScaleNormal="100" workbookViewId="0">
      <pane xSplit="2" ySplit="1" topLeftCell="C30"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6" min="5" max="5"/>
    <col width="14.375" customWidth="1" style="35" min="6" max="6"/>
    <col width="13" customWidth="1" style="35" min="7" max="7"/>
    <col width="13.5" customWidth="1" style="35" min="8" max="8"/>
    <col width="11" customWidth="1" style="114" min="9" max="9"/>
  </cols>
  <sheetData>
    <row r="1">
      <c r="B1" s="47" t="inlineStr">
        <is>
          <t>TZ</t>
        </is>
      </c>
      <c r="C1" s="81" t="inlineStr">
        <is>
          <t>MW</t>
        </is>
      </c>
      <c r="D1" s="81" t="inlineStr">
        <is>
          <t>FPT</t>
        </is>
      </c>
      <c r="E1" s="116" t="inlineStr">
        <is>
          <t>Viettel</t>
        </is>
      </c>
      <c r="F1" s="82" t="inlineStr">
        <is>
          <t>CPS</t>
        </is>
      </c>
      <c r="G1" s="82" t="inlineStr">
        <is>
          <t>Shopdunk</t>
        </is>
      </c>
    </row>
    <row r="2">
      <c r="A2" t="inlineStr">
        <is>
          <t>iPhone 17  256GB</t>
        </is>
      </c>
      <c r="B2" s="83" t="n"/>
      <c r="C2" s="85" t="n">
        <v>24990000</v>
      </c>
      <c r="D2" s="104" t="n">
        <v>24790000</v>
      </c>
      <c r="E2" s="117" t="n">
        <v>24190000</v>
      </c>
      <c r="F2" s="88" t="n">
        <v>24690000</v>
      </c>
      <c r="G2" s="111" t="n">
        <v>24790000</v>
      </c>
      <c r="I2" s="115">
        <f>E2-W4Q2FY26!E2</f>
        <v/>
      </c>
    </row>
    <row r="3">
      <c r="A3" t="inlineStr">
        <is>
          <t>iPhone Air 256G</t>
        </is>
      </c>
      <c r="B3" s="83" t="n"/>
      <c r="C3" s="85" t="n">
        <v>25990000</v>
      </c>
      <c r="D3" s="104" t="n">
        <v>25790000</v>
      </c>
      <c r="E3" s="117" t="n">
        <v>25490000</v>
      </c>
      <c r="F3" s="91" t="n">
        <v>25790000</v>
      </c>
      <c r="G3" s="111" t="n">
        <v>25790000</v>
      </c>
      <c r="H3" s="26" t="n"/>
      <c r="I3" s="115">
        <f>E3-W4Q2FY26!E3</f>
        <v/>
      </c>
    </row>
    <row r="4">
      <c r="A4" t="inlineStr">
        <is>
          <t>iPhone 17 Pro 256GB</t>
        </is>
      </c>
      <c r="B4" s="83" t="n"/>
      <c r="C4" s="85" t="n">
        <v>34690000</v>
      </c>
      <c r="D4" s="104" t="n">
        <v>34390000</v>
      </c>
      <c r="E4" s="117" t="n">
        <v>33590000</v>
      </c>
      <c r="F4" s="91" t="n">
        <v>34390000</v>
      </c>
      <c r="G4" s="111" t="n">
        <v>33990000</v>
      </c>
      <c r="H4" s="26" t="n"/>
      <c r="I4" s="115">
        <f>E4-W4Q2FY26!E4</f>
        <v/>
      </c>
    </row>
    <row r="5">
      <c r="A5" t="inlineStr">
        <is>
          <t>iPhone 17 Pro Max 256GB</t>
        </is>
      </c>
      <c r="B5" s="83" t="n"/>
      <c r="C5" s="85" t="n">
        <v>37990000</v>
      </c>
      <c r="D5" s="104" t="n">
        <v>37690000</v>
      </c>
      <c r="E5" s="93" t="n">
        <v>36490000</v>
      </c>
      <c r="F5" s="91" t="n">
        <v>37690000</v>
      </c>
      <c r="G5" s="111" t="n">
        <v>37190000</v>
      </c>
      <c r="H5" s="26" t="n"/>
      <c r="I5" s="115">
        <f>E5-W4Q2FY26!E5</f>
        <v/>
      </c>
    </row>
    <row r="6">
      <c r="A6" t="inlineStr">
        <is>
          <t>iPhone 16e  128GB</t>
        </is>
      </c>
      <c r="B6" s="83" t="n"/>
      <c r="C6" s="85" t="n">
        <v>15990000</v>
      </c>
      <c r="D6" s="87" t="inlineStr">
        <is>
          <t>OOS</t>
        </is>
      </c>
      <c r="E6" s="93" t="n">
        <v>12490000</v>
      </c>
      <c r="F6" s="120" t="n">
        <v>12870000</v>
      </c>
      <c r="G6" s="111" t="n">
        <v>15190000</v>
      </c>
      <c r="H6" s="26" t="n"/>
      <c r="I6" s="115">
        <f>E6-W4Q2FY26!E6</f>
        <v/>
      </c>
    </row>
    <row r="7">
      <c r="A7" t="inlineStr">
        <is>
          <t>iPhone 16  128GB</t>
        </is>
      </c>
      <c r="B7" s="71" t="n"/>
      <c r="C7" s="95" t="n">
        <v>19990000</v>
      </c>
      <c r="D7" s="119" t="n">
        <v>19690000</v>
      </c>
      <c r="E7" s="96" t="n">
        <v>19390000</v>
      </c>
      <c r="F7" s="90" t="n">
        <v>19690000</v>
      </c>
      <c r="G7" s="111" t="n">
        <v>19490000</v>
      </c>
      <c r="H7" s="26" t="n"/>
      <c r="I7" s="115">
        <f>E7-W4Q2FY26!E7</f>
        <v/>
      </c>
    </row>
    <row r="8">
      <c r="A8" t="inlineStr">
        <is>
          <t>iPhone 16  Plus 128GB</t>
        </is>
      </c>
      <c r="B8" s="3" t="n"/>
      <c r="C8" s="87" t="n">
        <v>23990000</v>
      </c>
      <c r="D8" s="105" t="n">
        <v>23690000</v>
      </c>
      <c r="E8" s="96" t="n">
        <v>22990000</v>
      </c>
      <c r="F8" s="90" t="n">
        <v>23690000</v>
      </c>
      <c r="G8" s="111" t="n">
        <v>23390000</v>
      </c>
      <c r="H8" s="26" t="n"/>
      <c r="I8" s="115">
        <f>E8-W4Q2FY26!E8</f>
        <v/>
      </c>
    </row>
    <row r="9">
      <c r="A9" t="inlineStr">
        <is>
          <t>iPhone 16 Pro  128GB</t>
        </is>
      </c>
      <c r="B9" s="25" t="n"/>
      <c r="C9" s="87" t="n">
        <v>25590000</v>
      </c>
      <c r="D9" s="106" t="n">
        <v>25590000</v>
      </c>
      <c r="E9" s="97" t="inlineStr">
        <is>
          <t>OOS</t>
        </is>
      </c>
      <c r="F9" s="90" t="n">
        <v>26990000</v>
      </c>
      <c r="G9" s="111" t="n">
        <v>24990000</v>
      </c>
      <c r="H9" s="26" t="n"/>
      <c r="I9" s="115">
        <f>E9-W4Q2FY26!E9</f>
        <v/>
      </c>
    </row>
    <row r="10">
      <c r="A10" t="inlineStr">
        <is>
          <t>iPhone 16 Pro Max 256GB</t>
        </is>
      </c>
      <c r="B10" s="3" t="n"/>
      <c r="C10" s="98" t="n">
        <v>32990000</v>
      </c>
      <c r="D10" s="107" t="n">
        <v>32990000</v>
      </c>
      <c r="E10" s="97" t="inlineStr">
        <is>
          <t>OOS</t>
        </is>
      </c>
      <c r="F10" s="90" t="n">
        <v>32990000</v>
      </c>
      <c r="G10" s="111" t="n">
        <v>31190000</v>
      </c>
      <c r="H10" s="26" t="n"/>
      <c r="I10" s="115">
        <f>E10-W4Q2FY26!E10</f>
        <v/>
      </c>
    </row>
    <row r="11">
      <c r="A11" t="inlineStr">
        <is>
          <t>iPhone 15  128GB</t>
        </is>
      </c>
      <c r="B11" s="25" t="n"/>
      <c r="C11" s="87" t="n">
        <v>16990000</v>
      </c>
      <c r="D11" s="105" t="n">
        <v>16790000</v>
      </c>
      <c r="E11" s="117" t="n">
        <v>16490000</v>
      </c>
      <c r="F11" s="91" t="n">
        <v>16790000</v>
      </c>
      <c r="G11" s="111" t="n">
        <v>16390000</v>
      </c>
      <c r="H11" s="26" t="n"/>
      <c r="I11" s="115">
        <f>E11-W4Q2FY26!E11</f>
        <v/>
      </c>
    </row>
    <row r="12">
      <c r="A12" t="inlineStr">
        <is>
          <t>iPhone 15  Plus 128GB</t>
        </is>
      </c>
      <c r="B12" s="25" t="n"/>
      <c r="C12" s="87" t="n">
        <v>18990000</v>
      </c>
      <c r="D12" s="87" t="inlineStr">
        <is>
          <t>OOS</t>
        </is>
      </c>
      <c r="E12" s="117" t="inlineStr">
        <is>
          <t>OOS</t>
        </is>
      </c>
      <c r="F12" s="91" t="n">
        <v>17690000</v>
      </c>
      <c r="G12" s="111" t="n">
        <v>18490000</v>
      </c>
      <c r="H12" s="26" t="n"/>
      <c r="I12" s="115">
        <f>E12-W4Q2FY26!E12</f>
        <v/>
      </c>
    </row>
    <row r="13">
      <c r="A13" t="inlineStr">
        <is>
          <t>iPhone 14 128GB</t>
        </is>
      </c>
      <c r="B13" s="25" t="n"/>
      <c r="C13" s="87" t="n">
        <v>13890000</v>
      </c>
      <c r="D13" s="105" t="n">
        <v>13590000</v>
      </c>
      <c r="E13" s="117" t="n">
        <v>13590000</v>
      </c>
      <c r="F13" s="91" t="n">
        <v>13590000</v>
      </c>
      <c r="G13" s="111" t="n">
        <v>12990000</v>
      </c>
      <c r="H13" s="26" t="n"/>
      <c r="I13" s="115">
        <f>E13-W4Q2FY26!E13</f>
        <v/>
      </c>
    </row>
    <row r="14">
      <c r="A14" t="inlineStr">
        <is>
          <t>iPhone 13  128GB</t>
        </is>
      </c>
      <c r="B14" s="3" t="n"/>
      <c r="C14" s="87" t="n">
        <v>12490000</v>
      </c>
      <c r="D14" s="108" t="n">
        <v>12090000</v>
      </c>
      <c r="E14" s="96" t="n">
        <v>11990000</v>
      </c>
      <c r="F14" s="91" t="n">
        <v>12090000</v>
      </c>
      <c r="G14" s="111" t="n">
        <v>11890000</v>
      </c>
      <c r="H14" s="26" t="n"/>
      <c r="I14" s="115">
        <f>E14-W4Q2FY26!E14</f>
        <v/>
      </c>
    </row>
    <row r="15">
      <c r="A15" t="inlineStr">
        <is>
          <t>iPad Mini 7 128GB Wifi</t>
        </is>
      </c>
      <c r="B15" s="25" t="n"/>
      <c r="C15" s="98" t="n">
        <v>13390000</v>
      </c>
      <c r="D15" s="105" t="n">
        <v>13390000</v>
      </c>
      <c r="E15" s="96" t="n">
        <v>13290000</v>
      </c>
      <c r="F15" s="91" t="n">
        <v>13390000</v>
      </c>
      <c r="G15" s="111" t="n">
        <v>11590000</v>
      </c>
      <c r="H15" s="26" t="n"/>
      <c r="I15" s="115">
        <f>E15-W4Q2FY26!E15</f>
        <v/>
      </c>
    </row>
    <row r="16">
      <c r="A16" t="inlineStr">
        <is>
          <t>iPad Gen 11th  128GB Wifi</t>
        </is>
      </c>
      <c r="B16" s="3" t="n"/>
      <c r="C16" s="87" t="n">
        <v>9590000</v>
      </c>
      <c r="D16" s="107" t="n">
        <v>9590000</v>
      </c>
      <c r="E16" s="96" t="n">
        <v>9190000</v>
      </c>
      <c r="F16" s="91" t="n">
        <v>9590000</v>
      </c>
      <c r="G16" s="111" t="n">
        <v>8990000</v>
      </c>
      <c r="H16" s="26" t="n"/>
      <c r="I16" s="115">
        <f>E16-W4Q2FY26!E16</f>
        <v/>
      </c>
      <c r="J16" t="inlineStr">
        <is>
          <t xml:space="preserve">MW </t>
        </is>
      </c>
      <c r="K16" t="inlineStr">
        <is>
          <t>Hải</t>
        </is>
      </c>
      <c r="L16" t="b">
        <v>1</v>
      </c>
    </row>
    <row r="17">
      <c r="A17" t="inlineStr">
        <is>
          <t>iPad Air M3  11" 128 GB Wifi</t>
        </is>
      </c>
      <c r="B17" s="3" t="n"/>
      <c r="C17" s="98" t="n">
        <v>13690000</v>
      </c>
      <c r="D17" s="107" t="n">
        <v>13490000</v>
      </c>
      <c r="E17" s="117" t="n">
        <v>13290000</v>
      </c>
      <c r="F17" s="90" t="n">
        <v>13490000</v>
      </c>
      <c r="G17" s="112" t="n">
        <v>13190000</v>
      </c>
      <c r="H17" s="26" t="n">
        <v>-200</v>
      </c>
      <c r="I17" s="115">
        <f>E17-W4Q2FY26!E17</f>
        <v/>
      </c>
      <c r="J17" t="inlineStr">
        <is>
          <t>FPT</t>
        </is>
      </c>
      <c r="K17" t="inlineStr">
        <is>
          <t>Trang</t>
        </is>
      </c>
      <c r="L17" t="b">
        <v>1</v>
      </c>
    </row>
    <row r="18">
      <c r="A18" t="inlineStr">
        <is>
          <t>iPad Air M3  13" 128 GB Wifi</t>
        </is>
      </c>
      <c r="B18" s="25" t="n"/>
      <c r="C18" s="98" t="n">
        <v>21790000</v>
      </c>
      <c r="D18" s="107" t="n">
        <v>19290000</v>
      </c>
      <c r="E18" s="97" t="n">
        <v>18990000</v>
      </c>
      <c r="F18" s="90" t="n">
        <v>19290000</v>
      </c>
      <c r="G18" s="111" t="n">
        <v>18990000</v>
      </c>
      <c r="H18" s="79" t="n"/>
      <c r="I18" s="115">
        <f>E18-W4Q2FY26!E18</f>
        <v/>
      </c>
      <c r="J18" t="inlineStr">
        <is>
          <t>Viettel</t>
        </is>
      </c>
      <c r="K18" t="inlineStr">
        <is>
          <t>Nghĩa</t>
        </is>
      </c>
      <c r="L18" t="b">
        <v>1</v>
      </c>
    </row>
    <row r="19">
      <c r="A19" t="inlineStr">
        <is>
          <t>iPad Pro  M4  11" 256 GB Wifi</t>
        </is>
      </c>
      <c r="B19" s="25" t="n"/>
      <c r="C19" s="97" t="inlineStr">
        <is>
          <t>OOS</t>
        </is>
      </c>
      <c r="D19" s="107" t="n">
        <v>28490000</v>
      </c>
      <c r="E19" s="97" t="inlineStr">
        <is>
          <t>OOS</t>
        </is>
      </c>
      <c r="F19" s="91" t="inlineStr">
        <is>
          <t>OOS</t>
        </is>
      </c>
      <c r="G19" s="113" t="inlineStr">
        <is>
          <t>OOS</t>
        </is>
      </c>
      <c r="H19" s="26" t="n"/>
      <c r="I19" s="115">
        <f>E19-W4Q2FY26!E19</f>
        <v/>
      </c>
      <c r="J19" t="inlineStr">
        <is>
          <t>CPS</t>
        </is>
      </c>
      <c r="K19" t="inlineStr">
        <is>
          <t>Duy</t>
        </is>
      </c>
      <c r="L19" t="b">
        <v>1</v>
      </c>
    </row>
    <row r="20">
      <c r="A20" t="inlineStr">
        <is>
          <t>iPad Pro  M4  13" 256 GB Wifi</t>
        </is>
      </c>
      <c r="B20" s="3" t="n"/>
      <c r="C20" s="97" t="inlineStr">
        <is>
          <t>OOS</t>
        </is>
      </c>
      <c r="D20" s="87" t="n">
        <v>36290000</v>
      </c>
      <c r="E20" s="97" t="inlineStr">
        <is>
          <t>OOS</t>
        </is>
      </c>
      <c r="F20" s="91" t="n">
        <v>36290000</v>
      </c>
      <c r="G20" s="113" t="inlineStr">
        <is>
          <t>OOS</t>
        </is>
      </c>
      <c r="H20" s="26" t="n"/>
      <c r="I20" s="115">
        <f>E20-W4Q2FY26!E20</f>
        <v/>
      </c>
      <c r="J20" t="inlineStr">
        <is>
          <t>ShopDunk</t>
        </is>
      </c>
      <c r="K20" t="inlineStr">
        <is>
          <t>Đạt</t>
        </is>
      </c>
      <c r="L20" t="b">
        <v>1</v>
      </c>
    </row>
    <row r="21">
      <c r="A21" t="inlineStr">
        <is>
          <t>iPad Pro M5 11” 256GB Wifi</t>
        </is>
      </c>
      <c r="B21" s="3" t="n"/>
      <c r="C21" s="98" t="n">
        <v>29490000</v>
      </c>
      <c r="D21" s="107" t="n">
        <v>29190000</v>
      </c>
      <c r="E21" s="100" t="n">
        <v>28990000</v>
      </c>
      <c r="F21" s="90" t="n">
        <v>29490000</v>
      </c>
      <c r="G21" s="112" t="n">
        <v>28990000</v>
      </c>
      <c r="H21" s="26" t="n">
        <v>-200</v>
      </c>
      <c r="I21" s="115">
        <f>E21-W4Q2FY26!E21</f>
        <v/>
      </c>
    </row>
    <row r="22">
      <c r="A22" t="inlineStr">
        <is>
          <t>iPad Pro M5 13” 256GB Wifi</t>
        </is>
      </c>
      <c r="B22" s="3" t="n"/>
      <c r="C22" s="98" t="n">
        <v>39390000</v>
      </c>
      <c r="D22" s="110" t="n">
        <v>38590000</v>
      </c>
      <c r="E22" s="97" t="n">
        <v>38990000</v>
      </c>
      <c r="F22" s="90" t="n">
        <v>38990000</v>
      </c>
      <c r="G22" s="112" t="n">
        <v>38990000</v>
      </c>
      <c r="H22" s="26" t="n">
        <v>-600</v>
      </c>
      <c r="I22" s="115">
        <f>E22-W4Q2FY26!E22</f>
        <v/>
      </c>
    </row>
    <row r="23">
      <c r="A23" t="inlineStr">
        <is>
          <t>AW SE 3 (40mm GPS)</t>
        </is>
      </c>
      <c r="B23" s="25" t="n"/>
      <c r="C23" s="87" t="n">
        <v>6790000</v>
      </c>
      <c r="D23" s="105" t="n">
        <v>6790000</v>
      </c>
      <c r="E23" s="96" t="n">
        <v>6490000</v>
      </c>
      <c r="F23" s="91" t="n">
        <v>6790000</v>
      </c>
      <c r="G23" s="111" t="n">
        <v>6590000</v>
      </c>
      <c r="H23" s="26" t="n"/>
      <c r="I23" s="115">
        <f>E23-W4Q2FY26!E23</f>
        <v/>
      </c>
    </row>
    <row r="24">
      <c r="A24" t="inlineStr">
        <is>
          <t>AW SE 3 (40mm LTE)</t>
        </is>
      </c>
      <c r="B24" s="25" t="n"/>
      <c r="C24" s="87" t="n">
        <v>8390000</v>
      </c>
      <c r="D24" s="105" t="n">
        <v>8390000</v>
      </c>
      <c r="E24" s="96" t="n">
        <v>7990000</v>
      </c>
      <c r="F24" s="91" t="n">
        <v>8390000</v>
      </c>
      <c r="G24" s="111" t="n">
        <v>8290000</v>
      </c>
      <c r="H24" s="26" t="n"/>
      <c r="I24" s="115">
        <f>E24-W4Q2FY26!E24</f>
        <v/>
      </c>
    </row>
    <row r="25">
      <c r="A25" t="inlineStr">
        <is>
          <t>AW SE 3 (44mm GPS)</t>
        </is>
      </c>
      <c r="B25" s="25" t="n"/>
      <c r="C25" s="87" t="n">
        <v>7690000</v>
      </c>
      <c r="D25" s="105" t="n">
        <v>7690000</v>
      </c>
      <c r="E25" s="96" t="n">
        <v>7390000</v>
      </c>
      <c r="F25" s="91" t="n">
        <v>7690000</v>
      </c>
      <c r="G25" s="111" t="n">
        <v>7690000</v>
      </c>
      <c r="H25" s="26" t="n"/>
      <c r="I25" s="115">
        <f>E25-W4Q2FY26!E25</f>
        <v/>
      </c>
    </row>
    <row r="26">
      <c r="A26" t="inlineStr">
        <is>
          <t>AW SE 3 (44mm LTE)</t>
        </is>
      </c>
      <c r="B26" s="25" t="n"/>
      <c r="C26" s="87" t="n">
        <v>9190000</v>
      </c>
      <c r="D26" s="105" t="n">
        <v>9190000</v>
      </c>
      <c r="E26" s="96" t="n">
        <v>8990000</v>
      </c>
      <c r="F26" s="91" t="n">
        <v>9190000</v>
      </c>
      <c r="G26" s="111" t="n">
        <v>8990000</v>
      </c>
      <c r="H26" s="26" t="n"/>
      <c r="I26" s="115">
        <f>E26-W4Q2FY26!E26</f>
        <v/>
      </c>
    </row>
    <row r="27">
      <c r="A27" t="inlineStr">
        <is>
          <t>AW S11 (42mm GPS)</t>
        </is>
      </c>
      <c r="B27" s="3" t="n"/>
      <c r="C27" s="87" t="n">
        <v>11190000</v>
      </c>
      <c r="D27" s="105" t="n">
        <v>11190000</v>
      </c>
      <c r="E27" s="96" t="n">
        <v>10690000</v>
      </c>
      <c r="F27" s="91" t="n">
        <v>11190000</v>
      </c>
      <c r="G27" s="111" t="n">
        <v>10990000</v>
      </c>
      <c r="H27" s="26" t="n"/>
      <c r="I27" s="115">
        <f>E27-W4Q2FY26!E27</f>
        <v/>
      </c>
    </row>
    <row r="28">
      <c r="A28" t="inlineStr">
        <is>
          <t>AW S11 (42mm CEL)</t>
        </is>
      </c>
      <c r="B28" s="3" t="n"/>
      <c r="C28" s="98" t="inlineStr">
        <is>
          <t>OOS</t>
        </is>
      </c>
      <c r="D28" s="107" t="n">
        <v>14090000</v>
      </c>
      <c r="E28" s="96" t="n">
        <v>13990000</v>
      </c>
      <c r="F28" s="91" t="n">
        <v>14090000</v>
      </c>
      <c r="G28" s="111" t="n">
        <v>13990000</v>
      </c>
      <c r="H28" s="26" t="n"/>
      <c r="I28" s="115">
        <f>E28-W4Q2FY26!E28</f>
        <v/>
      </c>
    </row>
    <row r="29">
      <c r="A29" t="inlineStr">
        <is>
          <t>AW S11 (46mm GPS)</t>
        </is>
      </c>
      <c r="B29" s="3" t="n"/>
      <c r="C29" s="87" t="n">
        <v>11990000</v>
      </c>
      <c r="D29" s="107" t="n">
        <v>11990000</v>
      </c>
      <c r="E29" s="96" t="n">
        <v>11490000</v>
      </c>
      <c r="F29" s="91" t="n">
        <v>11990000</v>
      </c>
      <c r="G29" s="111" t="n">
        <v>11890000</v>
      </c>
      <c r="H29" s="26" t="n"/>
      <c r="I29" s="115">
        <f>E29-W4Q2FY26!E29</f>
        <v/>
      </c>
    </row>
    <row r="30">
      <c r="A30" t="inlineStr">
        <is>
          <t>AW S11 (46mm CEL)</t>
        </is>
      </c>
      <c r="B30" s="3" t="n"/>
      <c r="C30" s="98" t="inlineStr">
        <is>
          <t>OOS</t>
        </is>
      </c>
      <c r="D30" s="105" t="n">
        <v>14990000</v>
      </c>
      <c r="E30" s="96" t="n">
        <v>14490000</v>
      </c>
      <c r="F30" s="91" t="n">
        <v>14090000</v>
      </c>
      <c r="G30" s="111" t="n">
        <v>14990000</v>
      </c>
      <c r="H30" s="26" t="n"/>
      <c r="I30" s="115">
        <f>E30-W4Q2FY26!E30</f>
        <v/>
      </c>
    </row>
    <row r="31">
      <c r="A31" t="inlineStr">
        <is>
          <t>AW Ultra 3 (49mm)</t>
        </is>
      </c>
      <c r="B31" s="25" t="n"/>
      <c r="C31" s="87" t="n">
        <v>23490000</v>
      </c>
      <c r="D31" s="105" t="n">
        <v>22990000</v>
      </c>
      <c r="E31" s="97" t="n">
        <v>22490000</v>
      </c>
      <c r="F31" s="91" t="n">
        <v>22990000</v>
      </c>
      <c r="G31" s="111" t="n">
        <v>22990000</v>
      </c>
      <c r="H31" s="26" t="n"/>
      <c r="I31" s="115">
        <f>E31-W4Q2FY26!E31</f>
        <v/>
      </c>
    </row>
    <row r="32">
      <c r="A32" t="inlineStr">
        <is>
          <t>AirPods Pro 2 - 2023 (C-Type)</t>
        </is>
      </c>
      <c r="B32" s="3" t="n"/>
      <c r="C32" s="98" t="n">
        <v>4890000</v>
      </c>
      <c r="D32" s="105" t="n">
        <v>4990000</v>
      </c>
      <c r="E32" s="117" t="inlineStr">
        <is>
          <t>OOS</t>
        </is>
      </c>
      <c r="F32" s="91" t="n">
        <v>4950000</v>
      </c>
      <c r="G32" s="111" t="n">
        <v>5590000</v>
      </c>
      <c r="H32" s="26" t="n"/>
      <c r="I32" s="115">
        <f>E32-W4Q2FY26!E32</f>
        <v/>
      </c>
      <c r="J32" s="84" t="n"/>
    </row>
    <row r="33">
      <c r="A33" t="inlineStr">
        <is>
          <t>AirPods 4 ANC</t>
        </is>
      </c>
      <c r="B33" s="3" t="n"/>
      <c r="C33" s="87" t="n">
        <v>4590000</v>
      </c>
      <c r="D33" s="105" t="n">
        <v>4450000</v>
      </c>
      <c r="E33" s="96" t="n">
        <v>4490000</v>
      </c>
      <c r="F33" s="91" t="n">
        <v>4950000</v>
      </c>
      <c r="G33" s="112" t="n">
        <v>4890000</v>
      </c>
      <c r="H33" s="26" t="n">
        <v>300</v>
      </c>
      <c r="I33" s="115">
        <f>E33-W4Q2FY26!E33</f>
        <v/>
      </c>
    </row>
    <row r="34">
      <c r="A34" t="inlineStr">
        <is>
          <t>AirPods 4 with charging case</t>
        </is>
      </c>
      <c r="B34" s="3" t="n"/>
      <c r="C34" s="98" t="n">
        <v>3390000</v>
      </c>
      <c r="D34" s="105" t="n">
        <v>3450000</v>
      </c>
      <c r="E34" s="96" t="n">
        <v>3390000</v>
      </c>
      <c r="F34" s="90" t="n">
        <v>3490000</v>
      </c>
      <c r="G34" s="111" t="n">
        <v>3390000</v>
      </c>
      <c r="H34" s="26" t="n"/>
      <c r="I34" s="115">
        <f>E34-W4Q2FY26!E34</f>
        <v/>
      </c>
    </row>
    <row r="35">
      <c r="A35" t="inlineStr">
        <is>
          <t>AirPods Pro 3</t>
        </is>
      </c>
      <c r="B35" s="3" t="n"/>
      <c r="C35" s="87" t="n">
        <v>6590000</v>
      </c>
      <c r="D35" s="105" t="n">
        <v>6590000</v>
      </c>
      <c r="E35" s="93" t="n">
        <v>6390000</v>
      </c>
      <c r="F35" s="91" t="n">
        <v>6590000</v>
      </c>
      <c r="G35" s="112" t="n">
        <v>7090000</v>
      </c>
      <c r="H35" s="26" t="n">
        <v>600</v>
      </c>
      <c r="I35" s="115">
        <f>E35-W4Q2FY26!E35</f>
        <v/>
      </c>
    </row>
    <row r="36">
      <c r="A36" t="inlineStr">
        <is>
          <t>MacBook Air 13" M2 16/256GB</t>
        </is>
      </c>
      <c r="B36" s="25" t="n"/>
      <c r="C36" s="87" t="n">
        <v>19690000</v>
      </c>
      <c r="D36" s="105" t="n">
        <v>19690000</v>
      </c>
      <c r="E36" s="102" t="n"/>
      <c r="F36" s="91" t="n">
        <v>19690000</v>
      </c>
      <c r="G36" s="111" t="n">
        <v>18990000</v>
      </c>
      <c r="H36" s="26" t="n"/>
      <c r="I36" s="115">
        <f>E36-W4Q2FY26!E36</f>
        <v/>
      </c>
    </row>
    <row r="37">
      <c r="A37" t="inlineStr">
        <is>
          <t>MacBook Air 13" M4 16/256GB</t>
        </is>
      </c>
      <c r="B37" s="3" t="n"/>
      <c r="C37" s="98" t="n">
        <v>23990000</v>
      </c>
      <c r="D37" s="107" t="n">
        <v>23990000</v>
      </c>
      <c r="E37" s="102" t="n"/>
      <c r="F37" s="90" t="n">
        <v>23990000</v>
      </c>
      <c r="G37" s="112" t="n">
        <v>23790000</v>
      </c>
      <c r="H37" s="26" t="n">
        <v>-1200</v>
      </c>
      <c r="I37" s="115">
        <f>E37-W4Q2FY26!E37</f>
        <v/>
      </c>
    </row>
    <row r="38">
      <c r="A38" t="inlineStr">
        <is>
          <t>MacBook Air 15" M4 16/256GB</t>
        </is>
      </c>
      <c r="B38" s="25" t="n"/>
      <c r="C38" s="98" t="n">
        <v>28990000</v>
      </c>
      <c r="D38" s="107" t="n">
        <v>28990000</v>
      </c>
      <c r="E38" s="102" t="n"/>
      <c r="F38" s="90" t="n">
        <v>28990000</v>
      </c>
      <c r="G38" s="112" t="n">
        <v>28590000</v>
      </c>
      <c r="H38" s="26" t="n">
        <v>-1200</v>
      </c>
      <c r="I38" s="115">
        <f>E38-W4Q2FY26!E38</f>
        <v/>
      </c>
    </row>
    <row r="39">
      <c r="A39" t="inlineStr">
        <is>
          <t>MacBook Pro 14" M4 16/512GB</t>
        </is>
      </c>
      <c r="B39" s="25" t="n"/>
      <c r="C39" s="87" t="inlineStr">
        <is>
          <t>OOS</t>
        </is>
      </c>
      <c r="D39" s="87" t="inlineStr">
        <is>
          <t>OOS</t>
        </is>
      </c>
      <c r="E39" s="102" t="n"/>
      <c r="F39" s="91" t="n">
        <v>38590000</v>
      </c>
      <c r="G39" s="111" t="n">
        <v>38390000</v>
      </c>
      <c r="H39" s="26" t="n"/>
      <c r="I39" s="115">
        <f>E39-W4Q2FY26!E39</f>
        <v/>
      </c>
    </row>
    <row r="40">
      <c r="A40" t="inlineStr">
        <is>
          <t>MacBook Pro 14" M5 16/512GB</t>
        </is>
      </c>
      <c r="B40" s="25" t="n"/>
      <c r="C40" s="87" t="n">
        <v>41890000</v>
      </c>
      <c r="D40" s="105" t="n">
        <v>41690000</v>
      </c>
      <c r="E40" s="102" t="n"/>
      <c r="F40" s="91" t="n">
        <v>41990000</v>
      </c>
      <c r="G40" s="111" t="n">
        <v>41990000</v>
      </c>
      <c r="H40" s="26" t="n"/>
      <c r="I40" s="115">
        <f>E40-W4Q2FY26!E40</f>
        <v/>
      </c>
    </row>
    <row r="41">
      <c r="A41" t="inlineStr">
        <is>
          <t>MacBook Pro 16" M4 24/512GB</t>
        </is>
      </c>
      <c r="B41" s="25" t="n"/>
      <c r="C41" s="87" t="inlineStr">
        <is>
          <t>OOS</t>
        </is>
      </c>
      <c r="D41" s="105" t="n">
        <v>63990000</v>
      </c>
      <c r="E41" s="102" t="n"/>
      <c r="F41" s="91" t="n">
        <v>63990000</v>
      </c>
      <c r="G41" s="111" t="n">
        <v>63990000</v>
      </c>
      <c r="I41" s="115">
        <f>E41-W4Q2FY26!E41</f>
        <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conditionalFormatting sqref="E2:E41">
    <cfRule type="expression" priority="2" dxfId="3">
      <formula>$I2=0</formula>
    </cfRule>
  </conditionalFormatting>
  <conditionalFormatting sqref="E2:E1000">
    <cfRule type="expression" priority="1" dxfId="2">
      <formula>AND($I2&lt;&gt;0,$I2&lt;&gt;"")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4.xml><?xml version="1.0" encoding="utf-8"?>
<worksheet xmlns="http://schemas.openxmlformats.org/spreadsheetml/2006/main">
  <sheetPr>
    <outlinePr summaryBelow="1" summaryRight="1"/>
    <pageSetUpPr/>
  </sheetPr>
  <dimension ref="A1:L153"/>
  <sheetViews>
    <sheetView zoomScale="140" zoomScaleNormal="140" workbookViewId="0">
      <pane xSplit="2" ySplit="1" topLeftCell="C25"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6" min="5" max="5"/>
    <col width="14.375" customWidth="1" style="35" min="6" max="6"/>
    <col width="13" customWidth="1" style="35" min="7" max="7"/>
    <col width="13.5" customWidth="1" style="35" min="8" max="8"/>
    <col width="11.375" bestFit="1" customWidth="1" style="122" min="9" max="9"/>
  </cols>
  <sheetData>
    <row r="1">
      <c r="B1" s="47" t="inlineStr">
        <is>
          <t>TZ</t>
        </is>
      </c>
      <c r="C1" s="81" t="inlineStr">
        <is>
          <t>MW</t>
        </is>
      </c>
      <c r="D1" s="81" t="inlineStr">
        <is>
          <t>FPT</t>
        </is>
      </c>
      <c r="E1" s="116" t="inlineStr">
        <is>
          <t>Viettel</t>
        </is>
      </c>
      <c r="F1" s="82" t="inlineStr">
        <is>
          <t>CPS</t>
        </is>
      </c>
      <c r="G1" s="82" t="inlineStr">
        <is>
          <t>Shopdunk</t>
        </is>
      </c>
    </row>
    <row r="2">
      <c r="A2" t="inlineStr">
        <is>
          <t>iPhone 17  256GB</t>
        </is>
      </c>
      <c r="B2" s="83" t="n"/>
      <c r="C2" s="85" t="n">
        <v>24990000</v>
      </c>
      <c r="D2" s="104" t="n">
        <v>24690000</v>
      </c>
      <c r="E2" s="117" t="n">
        <v>24190000</v>
      </c>
      <c r="F2" s="88" t="n">
        <v>24190000</v>
      </c>
      <c r="G2" s="112" t="n">
        <v>24290000</v>
      </c>
      <c r="H2" t="n">
        <v>-500</v>
      </c>
      <c r="I2" s="122">
        <f>IFERROR(E2-W5Q2FY26!E2,"OOS")</f>
        <v/>
      </c>
    </row>
    <row r="3">
      <c r="A3" t="inlineStr">
        <is>
          <t>iPhone Air 256G</t>
        </is>
      </c>
      <c r="B3" s="83" t="n"/>
      <c r="C3" s="85" t="n">
        <v>24990000</v>
      </c>
      <c r="D3" s="103" t="n">
        <v>25290000</v>
      </c>
      <c r="E3" s="117" t="n">
        <v>24390000</v>
      </c>
      <c r="F3" s="90" t="n">
        <v>24890000</v>
      </c>
      <c r="G3" s="112" t="n">
        <v>24990000</v>
      </c>
      <c r="H3" s="26" t="n">
        <v>-800</v>
      </c>
      <c r="I3" s="122">
        <f>IFERROR(E3-W5Q2FY26!E3,"OOS")</f>
        <v/>
      </c>
    </row>
    <row r="4">
      <c r="A4" t="inlineStr">
        <is>
          <t>iPhone 17 Pro 256GB</t>
        </is>
      </c>
      <c r="B4" s="83" t="n"/>
      <c r="C4" s="85" t="n">
        <v>34690000</v>
      </c>
      <c r="D4" s="104" t="n">
        <v>34390000</v>
      </c>
      <c r="E4" s="117" t="n">
        <v>32790000</v>
      </c>
      <c r="F4" s="90" t="n">
        <v>33290000</v>
      </c>
      <c r="G4" s="111" t="n">
        <v>33990000</v>
      </c>
      <c r="H4" s="26" t="n"/>
      <c r="I4" s="122">
        <f>IFERROR(E4-W5Q2FY26!E4,"OOS")</f>
        <v/>
      </c>
    </row>
    <row r="5">
      <c r="A5" t="inlineStr">
        <is>
          <t>iPhone 17 Pro Max 256GB</t>
        </is>
      </c>
      <c r="B5" s="83" t="n"/>
      <c r="C5" s="85" t="n">
        <v>37990000</v>
      </c>
      <c r="D5" s="104" t="n">
        <v>37690000</v>
      </c>
      <c r="E5" s="93" t="n">
        <v>36490000</v>
      </c>
      <c r="F5" s="90" t="n">
        <v>36990000</v>
      </c>
      <c r="G5" s="112" t="n">
        <v>36990000</v>
      </c>
      <c r="H5" s="26" t="n">
        <v>-200</v>
      </c>
      <c r="I5" s="122">
        <f>IFERROR(E5-W5Q2FY26!E5,"OOS")</f>
        <v/>
      </c>
    </row>
    <row r="6">
      <c r="A6" t="inlineStr">
        <is>
          <t>iPhone 16e  128GB</t>
        </is>
      </c>
      <c r="B6" s="83" t="n"/>
      <c r="C6" s="85" t="n">
        <v>15990000</v>
      </c>
      <c r="D6" s="87" t="inlineStr">
        <is>
          <t>OOS</t>
        </is>
      </c>
      <c r="E6" s="93" t="n">
        <v>12490000</v>
      </c>
      <c r="F6" s="120" t="n">
        <v>12490000</v>
      </c>
      <c r="G6" s="111" t="n">
        <v>15190000</v>
      </c>
      <c r="H6" s="26" t="n"/>
      <c r="I6" s="122">
        <f>IFERROR(E6-W5Q2FY26!E6,"OOS")</f>
        <v/>
      </c>
    </row>
    <row r="7">
      <c r="A7" t="inlineStr">
        <is>
          <t>iPhone 16  128GB</t>
        </is>
      </c>
      <c r="B7" s="71" t="n"/>
      <c r="C7" s="95" t="n">
        <v>19990000</v>
      </c>
      <c r="D7" s="119" t="n">
        <v>19690000</v>
      </c>
      <c r="E7" s="96" t="n">
        <v>19390000</v>
      </c>
      <c r="F7" s="90" t="n">
        <v>19590000</v>
      </c>
      <c r="G7" s="111" t="n">
        <v>19490000</v>
      </c>
      <c r="H7" s="26" t="n"/>
      <c r="I7" s="122">
        <f>IFERROR(E7-W5Q2FY26!E7,"OOS")</f>
        <v/>
      </c>
    </row>
    <row r="8">
      <c r="A8" t="inlineStr">
        <is>
          <t>iPhone 16  Plus 128GB</t>
        </is>
      </c>
      <c r="B8" s="3" t="n"/>
      <c r="C8" s="87" t="n">
        <v>23990000</v>
      </c>
      <c r="D8" s="105" t="n">
        <v>23690000</v>
      </c>
      <c r="E8" s="96" t="n">
        <v>22990000</v>
      </c>
      <c r="F8" s="90" t="n">
        <v>23590000</v>
      </c>
      <c r="G8" s="111" t="n">
        <v>23390000</v>
      </c>
      <c r="H8" s="26" t="n"/>
      <c r="I8" s="122">
        <f>IFERROR(E8-W5Q2FY26!E8,"OOS")</f>
        <v/>
      </c>
    </row>
    <row r="9">
      <c r="A9" t="inlineStr">
        <is>
          <t>iPhone 16 Pro  128GB</t>
        </is>
      </c>
      <c r="B9" s="25" t="n"/>
      <c r="C9" s="87" t="n">
        <v>25590000</v>
      </c>
      <c r="D9" s="106" t="n">
        <v>25590000</v>
      </c>
      <c r="E9" s="97" t="inlineStr">
        <is>
          <t>OOS</t>
        </is>
      </c>
      <c r="F9" s="90" t="n">
        <v>26590000</v>
      </c>
      <c r="G9" s="111" t="n">
        <v>24990000</v>
      </c>
      <c r="H9" s="26" t="n"/>
      <c r="I9" s="122">
        <f>IFERROR(E9-W5Q2FY26!E9,"OOS")</f>
        <v/>
      </c>
    </row>
    <row r="10">
      <c r="A10" t="inlineStr">
        <is>
          <t>iPhone 16 Pro Max 256GB</t>
        </is>
      </c>
      <c r="B10" s="3" t="n"/>
      <c r="C10" s="98" t="n">
        <v>31590000</v>
      </c>
      <c r="D10" s="107" t="n">
        <v>31490000</v>
      </c>
      <c r="E10" s="97" t="inlineStr">
        <is>
          <t>OOS</t>
        </is>
      </c>
      <c r="F10" s="90" t="n">
        <v>31490000</v>
      </c>
      <c r="G10" s="111" t="n">
        <v>31190000</v>
      </c>
      <c r="H10" s="26" t="n"/>
      <c r="I10" s="122">
        <f>IFERROR(E10-W5Q2FY26!E10,"OOS")</f>
        <v/>
      </c>
    </row>
    <row r="11">
      <c r="A11" t="inlineStr">
        <is>
          <t>iPhone 15  128GB</t>
        </is>
      </c>
      <c r="B11" s="25" t="n"/>
      <c r="C11" s="87" t="n">
        <v>16990000</v>
      </c>
      <c r="D11" s="105" t="n">
        <v>16790000</v>
      </c>
      <c r="E11" s="117" t="n">
        <v>16490000</v>
      </c>
      <c r="F11" s="91" t="n">
        <v>16790000</v>
      </c>
      <c r="G11" s="111" t="n">
        <v>16390000</v>
      </c>
      <c r="H11" s="26" t="n"/>
      <c r="I11" s="122">
        <f>IFERROR(E11-W5Q2FY26!E11,"OOS")</f>
        <v/>
      </c>
    </row>
    <row r="12">
      <c r="A12" t="inlineStr">
        <is>
          <t>iPhone 15  Plus 128GB</t>
        </is>
      </c>
      <c r="B12" s="25" t="n"/>
      <c r="C12" s="98" t="n">
        <v>19990000</v>
      </c>
      <c r="D12" s="87" t="inlineStr">
        <is>
          <t>OOS</t>
        </is>
      </c>
      <c r="E12" s="117" t="inlineStr">
        <is>
          <t>OOS</t>
        </is>
      </c>
      <c r="F12" s="91" t="n">
        <v>17690000</v>
      </c>
      <c r="G12" s="111" t="n">
        <v>18490000</v>
      </c>
      <c r="H12" s="26" t="n"/>
      <c r="I12" s="122">
        <f>IFERROR(E12-W5Q2FY26!E12,"OOS")</f>
        <v/>
      </c>
    </row>
    <row r="13">
      <c r="A13" t="inlineStr">
        <is>
          <t>iPhone 14 128GB</t>
        </is>
      </c>
      <c r="B13" s="25" t="n"/>
      <c r="C13" s="87" t="n">
        <v>13990000</v>
      </c>
      <c r="D13" s="107" t="n">
        <v>13890000</v>
      </c>
      <c r="E13" s="117" t="n">
        <v>13590000</v>
      </c>
      <c r="F13" s="90" t="n">
        <v>13890000</v>
      </c>
      <c r="G13" s="111" t="n">
        <v>12990000</v>
      </c>
      <c r="H13" s="26" t="n"/>
      <c r="I13" s="122">
        <f>IFERROR(E13-W5Q2FY26!E13,"OOS")</f>
        <v/>
      </c>
    </row>
    <row r="14">
      <c r="A14" t="inlineStr">
        <is>
          <t>iPhone 13  128GB</t>
        </is>
      </c>
      <c r="B14" s="3" t="n"/>
      <c r="C14" s="87" t="n">
        <v>12490000</v>
      </c>
      <c r="D14" s="121" t="n">
        <v>12290000</v>
      </c>
      <c r="E14" s="96" t="n">
        <v>11990000</v>
      </c>
      <c r="F14" s="90" t="n">
        <v>12290000</v>
      </c>
      <c r="G14" s="111" t="n">
        <v>11890000</v>
      </c>
      <c r="H14" s="26" t="n"/>
      <c r="I14" s="122">
        <f>IFERROR(E14-W5Q2FY26!E14,"OOS")</f>
        <v/>
      </c>
    </row>
    <row r="15">
      <c r="A15" t="inlineStr">
        <is>
          <t>iPad Mini 7 128GB Wifi</t>
        </is>
      </c>
      <c r="B15" s="25" t="n"/>
      <c r="C15" s="98" t="n">
        <v>11790000</v>
      </c>
      <c r="D15" s="107" t="n">
        <v>11790000</v>
      </c>
      <c r="E15" s="96" t="n">
        <v>11290000</v>
      </c>
      <c r="F15" s="90" t="n">
        <v>11790000</v>
      </c>
      <c r="G15" s="111" t="n">
        <v>11590000</v>
      </c>
      <c r="H15" s="26" t="n"/>
      <c r="I15" s="122">
        <f>IFERROR(E15-W5Q2FY26!E15,"OOS")</f>
        <v/>
      </c>
    </row>
    <row r="16">
      <c r="A16" t="inlineStr">
        <is>
          <t>iPad Gen 11th  128GB Wifi</t>
        </is>
      </c>
      <c r="B16" s="3" t="n"/>
      <c r="C16" s="107" t="n">
        <v>8490000</v>
      </c>
      <c r="D16" s="107" t="n">
        <v>8490000</v>
      </c>
      <c r="E16" s="96" t="n">
        <v>8490000</v>
      </c>
      <c r="F16" s="90" t="n">
        <v>8490000</v>
      </c>
      <c r="G16" s="112" t="n">
        <v>8290000</v>
      </c>
      <c r="H16" s="26" t="n">
        <v>-600</v>
      </c>
      <c r="I16" s="122">
        <f>IFERROR(E16-W5Q2FY26!E16,"OOS")</f>
        <v/>
      </c>
      <c r="J16" t="inlineStr">
        <is>
          <t xml:space="preserve">MW </t>
        </is>
      </c>
      <c r="K16" t="inlineStr">
        <is>
          <t>Hải</t>
        </is>
      </c>
      <c r="L16" t="b">
        <v>1</v>
      </c>
    </row>
    <row r="17">
      <c r="A17" t="inlineStr">
        <is>
          <t>iPad Air M3  11" 128 GB Wifi</t>
        </is>
      </c>
      <c r="B17" s="3" t="n"/>
      <c r="C17" s="98" t="n">
        <v>13690000</v>
      </c>
      <c r="D17" s="107" t="n">
        <v>13290000</v>
      </c>
      <c r="E17" s="117" t="n">
        <v>13290000</v>
      </c>
      <c r="F17" s="90" t="n">
        <v>13290000</v>
      </c>
      <c r="G17" s="111" t="n">
        <v>13190000</v>
      </c>
      <c r="H17" s="26" t="n"/>
      <c r="I17" s="122">
        <f>IFERROR(E17-W5Q2FY26!E17,"OOS")</f>
        <v/>
      </c>
      <c r="J17" t="inlineStr">
        <is>
          <t>FPT</t>
        </is>
      </c>
      <c r="K17" t="inlineStr">
        <is>
          <t>Trang</t>
        </is>
      </c>
      <c r="L17" t="b">
        <v>1</v>
      </c>
    </row>
    <row r="18">
      <c r="A18" t="inlineStr">
        <is>
          <t>iPad Air M3  13" 128 GB Wifi</t>
        </is>
      </c>
      <c r="B18" s="25" t="n"/>
      <c r="C18" s="98" t="n">
        <v>19090000</v>
      </c>
      <c r="D18" s="107" t="n">
        <v>18990000</v>
      </c>
      <c r="E18" s="97" t="n">
        <v>18990000</v>
      </c>
      <c r="F18" s="90" t="n">
        <v>18990000</v>
      </c>
      <c r="G18" s="111" t="n">
        <v>18790000</v>
      </c>
      <c r="H18" s="79" t="n">
        <v>-200</v>
      </c>
      <c r="I18" s="122">
        <f>IFERROR(E18-W5Q2FY26!E18,"OOS")</f>
        <v/>
      </c>
      <c r="J18" t="inlineStr">
        <is>
          <t>Viettel</t>
        </is>
      </c>
      <c r="K18" t="inlineStr">
        <is>
          <t>Nghĩa</t>
        </is>
      </c>
      <c r="L18" t="b">
        <v>1</v>
      </c>
    </row>
    <row r="19">
      <c r="A19" t="inlineStr">
        <is>
          <t>iPad Pro  M4  11" 256 GB Wifi</t>
        </is>
      </c>
      <c r="B19" s="25" t="n"/>
      <c r="C19" s="97" t="inlineStr">
        <is>
          <t>OOS</t>
        </is>
      </c>
      <c r="D19" s="107" t="n">
        <v>28490000</v>
      </c>
      <c r="E19" s="97" t="inlineStr">
        <is>
          <t>OOS</t>
        </is>
      </c>
      <c r="F19" s="91" t="inlineStr">
        <is>
          <t>OOS</t>
        </is>
      </c>
      <c r="G19" s="113" t="inlineStr">
        <is>
          <t>OOS</t>
        </is>
      </c>
      <c r="H19" s="26" t="n"/>
      <c r="I19" s="122">
        <f>IFERROR(E19-W5Q2FY26!E19,"OOS")</f>
        <v/>
      </c>
      <c r="J19" t="inlineStr">
        <is>
          <t>CPS</t>
        </is>
      </c>
      <c r="K19" t="inlineStr">
        <is>
          <t>Duy</t>
        </is>
      </c>
      <c r="L19" t="b">
        <v>1</v>
      </c>
    </row>
    <row r="20">
      <c r="A20" t="inlineStr">
        <is>
          <t>iPad Pro  M4  13" 256 GB Wifi</t>
        </is>
      </c>
      <c r="B20" s="3" t="n"/>
      <c r="C20" s="97" t="inlineStr">
        <is>
          <t>OOS</t>
        </is>
      </c>
      <c r="D20" s="87" t="n">
        <v>36290000</v>
      </c>
      <c r="E20" s="97" t="inlineStr">
        <is>
          <t>OOS</t>
        </is>
      </c>
      <c r="F20" s="113" t="inlineStr">
        <is>
          <t>OOS</t>
        </is>
      </c>
      <c r="G20" s="113" t="inlineStr">
        <is>
          <t>OOS</t>
        </is>
      </c>
      <c r="H20" s="26" t="n"/>
      <c r="I20" s="122">
        <f>IFERROR(E20-W5Q2FY26!E20,"OOS")</f>
        <v/>
      </c>
      <c r="J20" t="inlineStr">
        <is>
          <t>ShopDunk</t>
        </is>
      </c>
      <c r="K20" t="inlineStr">
        <is>
          <t>Đạt</t>
        </is>
      </c>
      <c r="L20" t="b">
        <v>1</v>
      </c>
    </row>
    <row r="21">
      <c r="A21" t="inlineStr">
        <is>
          <t>iPad Pro M5 11” 256GB Wifi</t>
        </is>
      </c>
      <c r="B21" s="3" t="n"/>
      <c r="C21" s="87" t="n">
        <v>29490000</v>
      </c>
      <c r="D21" s="105" t="n">
        <v>29190000</v>
      </c>
      <c r="E21" s="100" t="n">
        <v>28990000</v>
      </c>
      <c r="F21" s="90" t="n">
        <v>29190000</v>
      </c>
      <c r="G21" s="113" t="n">
        <v>28990000</v>
      </c>
      <c r="H21" s="26" t="n"/>
      <c r="I21" s="122">
        <f>IFERROR(E21-W5Q2FY26!E21,"OOS")</f>
        <v/>
      </c>
    </row>
    <row r="22">
      <c r="A22" t="inlineStr">
        <is>
          <t>iPad Pro M5 13” 256GB Wifi</t>
        </is>
      </c>
      <c r="B22" s="3" t="n"/>
      <c r="C22" s="98" t="n">
        <v>38990000</v>
      </c>
      <c r="D22" s="110" t="n">
        <v>38590000</v>
      </c>
      <c r="E22" s="97" t="n">
        <v>38990000</v>
      </c>
      <c r="F22" s="91" t="n">
        <v>38990000</v>
      </c>
      <c r="G22" s="113" t="n">
        <v>38990000</v>
      </c>
      <c r="H22" s="26" t="n"/>
      <c r="I22" s="122">
        <f>IFERROR(E22-W5Q2FY26!E22,"OOS")</f>
        <v/>
      </c>
    </row>
    <row r="23">
      <c r="A23" t="inlineStr">
        <is>
          <t>AW SE 3 (40mm GPS)</t>
        </is>
      </c>
      <c r="B23" s="25" t="n"/>
      <c r="C23" s="98" t="n">
        <v>6390000</v>
      </c>
      <c r="D23" s="107" t="n">
        <v>6290000</v>
      </c>
      <c r="E23" s="96" t="n">
        <v>6190000</v>
      </c>
      <c r="F23" s="90" t="n">
        <v>6290000</v>
      </c>
      <c r="G23" s="124" t="n">
        <v>6290000</v>
      </c>
      <c r="H23" s="26" t="n">
        <v>-300</v>
      </c>
      <c r="I23" s="122">
        <f>IFERROR(E23-W5Q2FY26!E23,"OOS")</f>
        <v/>
      </c>
    </row>
    <row r="24">
      <c r="A24" t="inlineStr">
        <is>
          <t>AW SE 3 (40mm LTE)</t>
        </is>
      </c>
      <c r="B24" s="25" t="n"/>
      <c r="C24" s="98" t="n">
        <v>7890000</v>
      </c>
      <c r="D24" s="107" t="n">
        <v>7690000</v>
      </c>
      <c r="E24" s="96" t="n">
        <v>7790000</v>
      </c>
      <c r="F24" s="90" t="n">
        <v>7690000</v>
      </c>
      <c r="G24" s="112" t="n">
        <v>7690000</v>
      </c>
      <c r="H24" s="123" t="n">
        <v>-600</v>
      </c>
      <c r="I24" s="122">
        <f>IFERROR(E24-W5Q2FY26!E24,"OOS")</f>
        <v/>
      </c>
    </row>
    <row r="25">
      <c r="A25" t="inlineStr">
        <is>
          <t>AW SE 3 (44mm GPS)</t>
        </is>
      </c>
      <c r="B25" s="25" t="n"/>
      <c r="C25" s="98" t="n">
        <v>7290000</v>
      </c>
      <c r="D25" s="107" t="n">
        <v>7290000</v>
      </c>
      <c r="E25" s="96" t="n">
        <v>6990000</v>
      </c>
      <c r="F25" s="90" t="n">
        <v>7290000</v>
      </c>
      <c r="G25" s="112" t="n">
        <v>7090000</v>
      </c>
      <c r="H25" s="26" t="n">
        <v>-600</v>
      </c>
      <c r="I25" s="122">
        <f>IFERROR(E25-W5Q2FY26!E25,"OOS")</f>
        <v/>
      </c>
    </row>
    <row r="26">
      <c r="A26" t="inlineStr">
        <is>
          <t>AW SE 3 (44mm LTE)</t>
        </is>
      </c>
      <c r="B26" s="25" t="n"/>
      <c r="C26" s="87" t="inlineStr">
        <is>
          <t>OOS</t>
        </is>
      </c>
      <c r="D26" s="107" t="n">
        <v>8790000</v>
      </c>
      <c r="E26" s="96" t="n">
        <v>8590000</v>
      </c>
      <c r="F26" s="90" t="n">
        <v>8990000</v>
      </c>
      <c r="G26" s="112" t="n">
        <v>8690000</v>
      </c>
      <c r="H26" s="26" t="n">
        <v>-300</v>
      </c>
      <c r="I26" s="122">
        <f>IFERROR(E26-W5Q2FY26!E26,"OOS")</f>
        <v/>
      </c>
    </row>
    <row r="27">
      <c r="A27" t="inlineStr">
        <is>
          <t>AW S11 (42mm GPS)</t>
        </is>
      </c>
      <c r="B27" s="3" t="n"/>
      <c r="C27" s="98" t="n">
        <v>9190000</v>
      </c>
      <c r="D27" s="105" t="n">
        <v>11190000</v>
      </c>
      <c r="E27" s="96" t="n">
        <v>8990000</v>
      </c>
      <c r="F27" s="90" t="n">
        <v>9190000</v>
      </c>
      <c r="G27" s="111" t="n">
        <v>8990000</v>
      </c>
      <c r="H27" s="26" t="n">
        <v>-2000</v>
      </c>
      <c r="I27" s="122">
        <f>IFERROR(E27-W5Q2FY26!E27,"OOS")</f>
        <v/>
      </c>
    </row>
    <row r="28">
      <c r="A28" t="inlineStr">
        <is>
          <t>AW S11 (42mm CEL)</t>
        </is>
      </c>
      <c r="B28" s="3" t="n"/>
      <c r="C28" s="98" t="inlineStr">
        <is>
          <t>OOS</t>
        </is>
      </c>
      <c r="D28" s="107" t="n">
        <v>12190000</v>
      </c>
      <c r="E28" s="96" t="n">
        <v>11990000</v>
      </c>
      <c r="F28" s="90" t="n">
        <v>12190000</v>
      </c>
      <c r="G28" s="111" t="n">
        <v>11990000</v>
      </c>
      <c r="H28" s="26" t="n">
        <v>-2000</v>
      </c>
      <c r="I28" s="122">
        <f>IFERROR(E28-W5Q2FY26!E28,"OOS")</f>
        <v/>
      </c>
    </row>
    <row r="29">
      <c r="A29" t="inlineStr">
        <is>
          <t>AW S11 (46mm GPS)</t>
        </is>
      </c>
      <c r="B29" s="3" t="n"/>
      <c r="C29" s="98" t="n">
        <v>10090000</v>
      </c>
      <c r="D29" s="107" t="n">
        <v>9990000</v>
      </c>
      <c r="E29" s="96" t="n">
        <v>9690000</v>
      </c>
      <c r="F29" s="90" t="n">
        <v>9990000</v>
      </c>
      <c r="G29" s="111" t="n">
        <v>9990000</v>
      </c>
      <c r="H29" s="26" t="n">
        <v>-2000</v>
      </c>
      <c r="I29" s="122">
        <f>IFERROR(E29-W5Q2FY26!E29,"OOS")</f>
        <v/>
      </c>
    </row>
    <row r="30">
      <c r="A30" t="inlineStr">
        <is>
          <t>AW S11 (46mm CEL)</t>
        </is>
      </c>
      <c r="B30" s="3" t="n"/>
      <c r="C30" s="98" t="n">
        <v>13090000</v>
      </c>
      <c r="D30" s="107" t="n">
        <v>12990000</v>
      </c>
      <c r="E30" s="96" t="n">
        <v>12490000</v>
      </c>
      <c r="F30" s="90" t="n">
        <v>12990000</v>
      </c>
      <c r="G30" s="111" t="n">
        <v>12990000</v>
      </c>
      <c r="H30" s="26" t="n">
        <v>-2000</v>
      </c>
      <c r="I30" s="122">
        <f>IFERROR(E30-W5Q2FY26!E30,"OOS")</f>
        <v/>
      </c>
    </row>
    <row r="31">
      <c r="A31" t="inlineStr">
        <is>
          <t>AW Ultra 3 (49mm)</t>
        </is>
      </c>
      <c r="B31" s="25" t="n"/>
      <c r="C31" s="87" t="n">
        <v>23490000</v>
      </c>
      <c r="D31" s="105" t="n">
        <v>22990000</v>
      </c>
      <c r="E31" s="97" t="n">
        <v>22490000</v>
      </c>
      <c r="F31" s="91" t="n">
        <v>22990000</v>
      </c>
      <c r="G31" s="111" t="n">
        <v>22990000</v>
      </c>
      <c r="H31" s="26" t="n"/>
      <c r="I31" s="122">
        <f>IFERROR(E31-W5Q2FY26!E31,"OOS")</f>
        <v/>
      </c>
    </row>
    <row r="32">
      <c r="A32" t="inlineStr">
        <is>
          <t>AirPods Pro 2 - 2023 (C-Type)</t>
        </is>
      </c>
      <c r="B32" s="3" t="n"/>
      <c r="C32" s="87" t="n">
        <v>4890000</v>
      </c>
      <c r="D32" s="105" t="n">
        <v>4990000</v>
      </c>
      <c r="E32" s="117" t="inlineStr">
        <is>
          <t>OOS</t>
        </is>
      </c>
      <c r="F32" s="91" t="n">
        <v>4950000</v>
      </c>
      <c r="G32" s="111" t="n">
        <v>5590000</v>
      </c>
      <c r="H32" s="26" t="n"/>
      <c r="I32" s="122">
        <f>IFERROR(E32-W5Q2FY26!E32,"OOS")</f>
        <v/>
      </c>
      <c r="J32" s="84" t="n"/>
    </row>
    <row r="33">
      <c r="A33" t="inlineStr">
        <is>
          <t>AirPods 4 ANC</t>
        </is>
      </c>
      <c r="B33" s="3" t="n"/>
      <c r="C33" s="98" t="n">
        <v>4290000</v>
      </c>
      <c r="D33" s="107" t="n">
        <v>4290000</v>
      </c>
      <c r="E33" s="96" t="n">
        <v>4390000</v>
      </c>
      <c r="F33" s="90" t="n">
        <v>4290000</v>
      </c>
      <c r="G33" s="112" t="n">
        <v>4290000</v>
      </c>
      <c r="H33" s="26" t="n">
        <v>-600</v>
      </c>
      <c r="I33" s="122">
        <f>IFERROR(E33-W5Q2FY26!E33,"OOS")</f>
        <v/>
      </c>
    </row>
    <row r="34">
      <c r="A34" t="inlineStr">
        <is>
          <t>AirPods 4 with charging case</t>
        </is>
      </c>
      <c r="B34" s="3" t="n"/>
      <c r="C34" s="98" t="n">
        <v>2990000</v>
      </c>
      <c r="D34" s="107" t="n">
        <v>2990000</v>
      </c>
      <c r="E34" s="96" t="n">
        <v>2990000</v>
      </c>
      <c r="F34" s="90" t="n">
        <v>2990000</v>
      </c>
      <c r="G34" s="112" t="n">
        <v>2990000</v>
      </c>
      <c r="H34" s="26" t="n">
        <v>-400</v>
      </c>
      <c r="I34" s="122">
        <f>IFERROR(E34-W5Q2FY26!E34,"OOS")</f>
        <v/>
      </c>
    </row>
    <row r="35">
      <c r="A35" t="inlineStr">
        <is>
          <t>AirPods Pro 3</t>
        </is>
      </c>
      <c r="B35" s="3" t="n"/>
      <c r="C35" s="98" t="n">
        <v>6490000</v>
      </c>
      <c r="D35" s="107" t="n">
        <v>6490000</v>
      </c>
      <c r="E35" s="93" t="n">
        <v>6290000</v>
      </c>
      <c r="F35" s="90" t="n">
        <v>6490000</v>
      </c>
      <c r="G35" s="112" t="n">
        <v>6490000</v>
      </c>
      <c r="H35" s="26" t="n">
        <v>-600</v>
      </c>
      <c r="I35" s="122">
        <f>IFERROR(E35-W5Q2FY26!E35,"OOS")</f>
        <v/>
      </c>
    </row>
    <row r="36">
      <c r="A36" t="inlineStr">
        <is>
          <t>MacBook Air 13" M2 16/256GB</t>
        </is>
      </c>
      <c r="B36" s="25" t="n"/>
      <c r="C36" s="87" t="n">
        <v>19690000</v>
      </c>
      <c r="D36" s="105" t="n">
        <v>19690000</v>
      </c>
      <c r="E36" s="102" t="n"/>
      <c r="F36" s="91" t="n">
        <v>19690000</v>
      </c>
      <c r="G36" s="111" t="n">
        <v>18990000</v>
      </c>
      <c r="H36" s="26" t="n"/>
      <c r="I36" s="122">
        <f>IFERROR(E36-W5Q2FY26!E36,"OOS")</f>
        <v/>
      </c>
    </row>
    <row r="37">
      <c r="A37" t="inlineStr">
        <is>
          <t>MacBook Air 13" M4 16/256GB</t>
        </is>
      </c>
      <c r="B37" s="3" t="n"/>
      <c r="C37" s="87" t="n">
        <v>23990000</v>
      </c>
      <c r="D37" s="105" t="n">
        <v>23990000</v>
      </c>
      <c r="E37" s="102" t="n"/>
      <c r="F37" s="91" t="n">
        <v>23990000</v>
      </c>
      <c r="G37" s="111" t="n">
        <v>23690000</v>
      </c>
      <c r="H37" s="26" t="n"/>
      <c r="I37" s="122">
        <f>IFERROR(E37-W5Q2FY26!E37,"OOS")</f>
        <v/>
      </c>
    </row>
    <row r="38">
      <c r="A38" t="inlineStr">
        <is>
          <t>MacBook Air 15" M4 16/256GB</t>
        </is>
      </c>
      <c r="B38" s="25" t="n"/>
      <c r="C38" s="87" t="n">
        <v>28990000</v>
      </c>
      <c r="D38" s="105" t="n">
        <v>28990000</v>
      </c>
      <c r="E38" s="102" t="n"/>
      <c r="F38" s="91" t="n">
        <v>28990000</v>
      </c>
      <c r="G38" s="111" t="n">
        <v>28590000</v>
      </c>
      <c r="H38" s="26" t="n"/>
      <c r="I38" s="122">
        <f>IFERROR(E38-W5Q2FY26!E38,"OOS")</f>
        <v/>
      </c>
    </row>
    <row r="39">
      <c r="A39" t="inlineStr">
        <is>
          <t>MacBook Pro 14" M4 16/512GB</t>
        </is>
      </c>
      <c r="B39" s="25" t="n"/>
      <c r="C39" s="87" t="inlineStr">
        <is>
          <t>OOS</t>
        </is>
      </c>
      <c r="D39" s="87" t="inlineStr">
        <is>
          <t>OOS</t>
        </is>
      </c>
      <c r="E39" s="102" t="n"/>
      <c r="F39" s="91" t="n">
        <v>38590000</v>
      </c>
      <c r="G39" s="111" t="n">
        <v>38390000</v>
      </c>
      <c r="H39" s="26" t="n"/>
      <c r="I39" s="122">
        <f>IFERROR(E39-W5Q2FY26!E39,"OOS")</f>
        <v/>
      </c>
    </row>
    <row r="40">
      <c r="A40" t="inlineStr">
        <is>
          <t>MacBook Pro 14" M5 16/512GB</t>
        </is>
      </c>
      <c r="B40" s="25" t="n"/>
      <c r="C40" s="87" t="n">
        <v>41890000</v>
      </c>
      <c r="D40" s="107" t="n">
        <v>40690000</v>
      </c>
      <c r="E40" s="102" t="n"/>
      <c r="F40" s="91" t="n">
        <v>41990000</v>
      </c>
      <c r="G40" s="111" t="n">
        <v>41990000</v>
      </c>
      <c r="H40" s="26" t="n"/>
      <c r="I40" s="122">
        <f>IFERROR(E40-W5Q2FY26!E40,"OOS")</f>
        <v/>
      </c>
    </row>
    <row r="41">
      <c r="A41" t="inlineStr">
        <is>
          <t>MacBook Pro 16" M4 24/512GB</t>
        </is>
      </c>
      <c r="B41" s="25" t="n"/>
      <c r="C41" s="87" t="inlineStr">
        <is>
          <t>OOS</t>
        </is>
      </c>
      <c r="D41" s="105" t="n">
        <v>63990000</v>
      </c>
      <c r="E41" s="102" t="n"/>
      <c r="F41" s="91" t="n">
        <v>63990000</v>
      </c>
      <c r="G41" s="111" t="n">
        <v>63990000</v>
      </c>
      <c r="I41" s="122">
        <f>IFERROR(E41-W5Q2FY26!E41,"OOS")</f>
        <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conditionalFormatting sqref="E2:E41">
    <cfRule type="expression" priority="2" dxfId="3">
      <formula>$I2=0</formula>
    </cfRule>
  </conditionalFormatting>
  <conditionalFormatting sqref="E2:E1000">
    <cfRule type="expression" priority="1" dxfId="2">
      <formula>AND($I2&lt;&gt;0,$I2&lt;&gt;"")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5.xml><?xml version="1.0" encoding="utf-8"?>
<worksheet xmlns="http://schemas.openxmlformats.org/spreadsheetml/2006/main">
  <sheetPr>
    <outlinePr summaryBelow="1" summaryRight="1"/>
    <pageSetUpPr/>
  </sheetPr>
  <dimension ref="A1:L153"/>
  <sheetViews>
    <sheetView zoomScale="112" zoomScaleNormal="140" workbookViewId="0">
      <pane xSplit="2" ySplit="1" topLeftCell="C18"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6" min="5" max="5"/>
    <col width="14.375" customWidth="1" style="35" min="6" max="6"/>
    <col width="13" customWidth="1" style="35" min="7" max="7"/>
    <col width="13.5" customWidth="1" style="35" min="8" max="8"/>
    <col width="11.375" bestFit="1" customWidth="1" style="122" min="9" max="9"/>
  </cols>
  <sheetData>
    <row r="1">
      <c r="B1" s="47" t="inlineStr">
        <is>
          <t>TZ</t>
        </is>
      </c>
      <c r="C1" s="81" t="inlineStr">
        <is>
          <t>MW</t>
        </is>
      </c>
      <c r="D1" s="81" t="inlineStr">
        <is>
          <t>FPT</t>
        </is>
      </c>
      <c r="E1" s="116" t="inlineStr">
        <is>
          <t>Viettel</t>
        </is>
      </c>
      <c r="F1" s="82" t="inlineStr">
        <is>
          <t>CPS</t>
        </is>
      </c>
      <c r="G1" s="82" t="inlineStr">
        <is>
          <t>Shopdunk</t>
        </is>
      </c>
    </row>
    <row r="2">
      <c r="A2" t="inlineStr">
        <is>
          <t>iPhone 17  256GB</t>
        </is>
      </c>
      <c r="B2" s="83" t="n"/>
      <c r="C2" s="85" t="n">
        <v>24990000</v>
      </c>
      <c r="D2" s="104" t="n">
        <v>24990000</v>
      </c>
      <c r="E2" s="117" t="n">
        <v>24190000</v>
      </c>
      <c r="F2" s="88" t="n">
        <v>24390000</v>
      </c>
      <c r="G2" s="112" t="n">
        <v>24190000</v>
      </c>
      <c r="H2" t="n">
        <v>-100</v>
      </c>
      <c r="I2" s="122">
        <f>IFERROR(E2-W6Q2FY26!E2,"OOS")</f>
        <v/>
      </c>
    </row>
    <row r="3">
      <c r="A3" t="inlineStr">
        <is>
          <t>iPhone Air 256G</t>
        </is>
      </c>
      <c r="B3" s="83" t="n"/>
      <c r="C3" s="85" t="n">
        <v>24990000</v>
      </c>
      <c r="D3" s="104" t="n">
        <v>25290000</v>
      </c>
      <c r="E3" s="117" t="n">
        <v>24390000</v>
      </c>
      <c r="F3" s="90" t="n">
        <v>24990000</v>
      </c>
      <c r="G3" s="112" t="n">
        <v>24890000</v>
      </c>
      <c r="H3" s="26" t="n">
        <v>-100</v>
      </c>
      <c r="I3" s="122">
        <f>IFERROR(E3-W6Q2FY26!E3,"OOS")</f>
        <v/>
      </c>
    </row>
    <row r="4">
      <c r="A4" t="inlineStr">
        <is>
          <t>iPhone 17 Pro 256GB</t>
        </is>
      </c>
      <c r="B4" s="83" t="n"/>
      <c r="C4" s="86" t="n">
        <v>33590000</v>
      </c>
      <c r="D4" s="103" t="n">
        <v>33590000</v>
      </c>
      <c r="E4" s="117" t="n">
        <v>32790000</v>
      </c>
      <c r="F4" s="91" t="n">
        <v>33290000</v>
      </c>
      <c r="G4" s="112" t="n">
        <v>33290000</v>
      </c>
      <c r="H4" s="26" t="n">
        <v>-700</v>
      </c>
      <c r="I4" s="122">
        <f>IFERROR(E4-W6Q2FY26!E4,"OOS")</f>
        <v/>
      </c>
    </row>
    <row r="5">
      <c r="A5" t="inlineStr">
        <is>
          <t>iPhone 17 Pro Max 256GB</t>
        </is>
      </c>
      <c r="B5" s="83" t="n"/>
      <c r="C5" s="86" t="n">
        <v>37290000</v>
      </c>
      <c r="D5" s="104" t="n">
        <v>37290000</v>
      </c>
      <c r="E5" s="93" t="n">
        <v>36490000</v>
      </c>
      <c r="F5" s="91" t="n">
        <v>36990000</v>
      </c>
      <c r="G5" s="111" t="n">
        <v>36990000</v>
      </c>
      <c r="H5" s="26" t="n"/>
      <c r="I5" s="122">
        <f>IFERROR(E5-W6Q2FY26!E5,"OOS")</f>
        <v/>
      </c>
    </row>
    <row r="6">
      <c r="A6" t="inlineStr">
        <is>
          <t>iPhone 16e  128GB</t>
        </is>
      </c>
      <c r="B6" s="83" t="n"/>
      <c r="C6" s="85" t="n">
        <v>15990000</v>
      </c>
      <c r="D6" s="87" t="inlineStr">
        <is>
          <t>OOS</t>
        </is>
      </c>
      <c r="E6" s="93" t="n">
        <v>12490000</v>
      </c>
      <c r="F6" s="94" t="n">
        <v>12490000</v>
      </c>
      <c r="G6" s="111" t="n">
        <v>15190000</v>
      </c>
      <c r="H6" s="26" t="n"/>
      <c r="I6" s="122">
        <f>IFERROR(E6-W6Q2FY26!E6,"OOS")</f>
        <v/>
      </c>
    </row>
    <row r="7">
      <c r="A7" t="inlineStr">
        <is>
          <t>iPhone 16  128GB</t>
        </is>
      </c>
      <c r="B7" s="71" t="n"/>
      <c r="C7" s="95" t="n">
        <v>19990000</v>
      </c>
      <c r="D7" s="109" t="n">
        <v>19590000</v>
      </c>
      <c r="E7" s="96" t="n">
        <v>19390000</v>
      </c>
      <c r="F7" s="91" t="n">
        <v>19590000</v>
      </c>
      <c r="G7" s="111" t="n">
        <v>19490000</v>
      </c>
      <c r="H7" s="26" t="n"/>
      <c r="I7" s="122">
        <f>IFERROR(E7-W6Q2FY26!E7,"OOS")</f>
        <v/>
      </c>
    </row>
    <row r="8">
      <c r="A8" t="inlineStr">
        <is>
          <t>iPhone 16  Plus 128GB</t>
        </is>
      </c>
      <c r="B8" s="3" t="n"/>
      <c r="C8" s="87" t="n">
        <v>23990000</v>
      </c>
      <c r="D8" s="105" t="n">
        <v>23590000</v>
      </c>
      <c r="E8" s="96" t="n">
        <v>22990000</v>
      </c>
      <c r="F8" s="91" t="n">
        <v>23590000</v>
      </c>
      <c r="G8" s="111" t="n">
        <v>23390000</v>
      </c>
      <c r="H8" s="26" t="n"/>
      <c r="I8" s="122">
        <f>IFERROR(E8-W6Q2FY26!E8,"OOS")</f>
        <v/>
      </c>
    </row>
    <row r="9">
      <c r="A9" t="inlineStr">
        <is>
          <t>iPhone 16 Pro  128GB</t>
        </is>
      </c>
      <c r="B9" s="25" t="n"/>
      <c r="C9" s="87" t="n">
        <v>25590000</v>
      </c>
      <c r="D9" s="106" t="n">
        <v>25590000</v>
      </c>
      <c r="E9" s="97" t="inlineStr">
        <is>
          <t>OOS</t>
        </is>
      </c>
      <c r="F9" s="91" t="n">
        <v>26590000</v>
      </c>
      <c r="G9" s="111" t="n">
        <v>24990000</v>
      </c>
      <c r="H9" s="26" t="n"/>
      <c r="I9" s="122">
        <f>IFERROR(E9-W6Q2FY26!E9,"OOS")</f>
        <v/>
      </c>
    </row>
    <row r="10">
      <c r="A10" t="inlineStr">
        <is>
          <t>iPhone 16 Pro Max 256GB</t>
        </is>
      </c>
      <c r="B10" s="3" t="n"/>
      <c r="C10" s="87" t="n">
        <v>31590000</v>
      </c>
      <c r="D10" s="105" t="n">
        <v>31490000</v>
      </c>
      <c r="E10" s="97" t="inlineStr">
        <is>
          <t>OOS</t>
        </is>
      </c>
      <c r="F10" s="90" t="n">
        <v>31590000</v>
      </c>
      <c r="G10" s="111" t="n">
        <v>31190000</v>
      </c>
      <c r="H10" s="26" t="n"/>
      <c r="I10" s="122">
        <f>IFERROR(E10-W6Q2FY26!E10,"OOS")</f>
        <v/>
      </c>
    </row>
    <row r="11">
      <c r="A11" t="inlineStr">
        <is>
          <t>iPhone 15  128GB</t>
        </is>
      </c>
      <c r="B11" s="25" t="n"/>
      <c r="C11" s="87" t="n">
        <v>16990000</v>
      </c>
      <c r="D11" s="105" t="n">
        <v>16790000</v>
      </c>
      <c r="E11" s="117" t="n">
        <v>16490000</v>
      </c>
      <c r="F11" s="91" t="n">
        <v>16790000</v>
      </c>
      <c r="G11" s="111" t="n">
        <v>16390000</v>
      </c>
      <c r="H11" s="26" t="n"/>
      <c r="I11" s="122">
        <f>IFERROR(E11-W6Q2FY26!E11,"OOS")</f>
        <v/>
      </c>
    </row>
    <row r="12">
      <c r="A12" t="inlineStr">
        <is>
          <t>iPhone 15  Plus 128GB</t>
        </is>
      </c>
      <c r="B12" s="25" t="n"/>
      <c r="C12" s="87" t="n">
        <v>19990000</v>
      </c>
      <c r="D12" s="87" t="inlineStr">
        <is>
          <t>OOS</t>
        </is>
      </c>
      <c r="E12" s="117" t="inlineStr">
        <is>
          <t>OOS</t>
        </is>
      </c>
      <c r="F12" s="91" t="n">
        <v>17690000</v>
      </c>
      <c r="G12" s="111" t="n">
        <v>18490000</v>
      </c>
      <c r="H12" s="26" t="n"/>
      <c r="I12" s="122">
        <f>IFERROR(E12-W6Q2FY26!E12,"OOS")</f>
        <v/>
      </c>
    </row>
    <row r="13">
      <c r="A13" t="inlineStr">
        <is>
          <t>iPhone 14 128GB</t>
        </is>
      </c>
      <c r="B13" s="25" t="n"/>
      <c r="C13" s="87" t="n">
        <v>13990000</v>
      </c>
      <c r="D13" s="107" t="n">
        <v>13290000</v>
      </c>
      <c r="E13" s="117" t="n">
        <v>13590000</v>
      </c>
      <c r="F13" s="91" t="n">
        <v>13890000</v>
      </c>
      <c r="G13" s="111" t="n">
        <v>12990000</v>
      </c>
      <c r="H13" s="26" t="n"/>
      <c r="I13" s="122">
        <f>IFERROR(E13-W6Q2FY26!E13,"OOS")</f>
        <v/>
      </c>
    </row>
    <row r="14">
      <c r="A14" t="inlineStr">
        <is>
          <t>iPhone 13  128GB</t>
        </is>
      </c>
      <c r="B14" s="3" t="n"/>
      <c r="C14" s="87" t="n">
        <v>12490000</v>
      </c>
      <c r="D14" s="108" t="n">
        <v>12290000</v>
      </c>
      <c r="E14" s="96" t="n">
        <v>11990000</v>
      </c>
      <c r="F14" s="91" t="n">
        <v>12290000</v>
      </c>
      <c r="G14" s="111" t="n">
        <v>11890000</v>
      </c>
      <c r="H14" s="26" t="n"/>
      <c r="I14" s="122">
        <f>IFERROR(E14-W6Q2FY26!E14,"OOS")</f>
        <v/>
      </c>
    </row>
    <row r="15">
      <c r="A15" t="inlineStr">
        <is>
          <t>iPad Mini 7 128GB Wifi</t>
        </is>
      </c>
      <c r="B15" s="25" t="n"/>
      <c r="C15" s="87" t="n">
        <v>11790000</v>
      </c>
      <c r="D15" s="105" t="n">
        <v>11790000</v>
      </c>
      <c r="E15" s="96" t="n">
        <v>11290000</v>
      </c>
      <c r="F15" s="91" t="n">
        <v>11790000</v>
      </c>
      <c r="G15" s="111" t="n">
        <v>11590000</v>
      </c>
      <c r="H15" s="26" t="n"/>
      <c r="I15" s="122">
        <f>IFERROR(E15-W6Q2FY26!E15,"OOS")</f>
        <v/>
      </c>
    </row>
    <row r="16">
      <c r="A16" t="inlineStr">
        <is>
          <t>iPad Gen 11th  128GB Wifi</t>
        </is>
      </c>
      <c r="B16" s="3" t="n"/>
      <c r="C16" s="105" t="n">
        <v>8490000</v>
      </c>
      <c r="D16" s="105" t="n">
        <v>8490000</v>
      </c>
      <c r="E16" s="96" t="n">
        <v>8490000</v>
      </c>
      <c r="F16" s="91" t="n">
        <v>8490000</v>
      </c>
      <c r="G16" s="111" t="n">
        <v>8290000</v>
      </c>
      <c r="H16" s="26" t="n"/>
      <c r="I16" s="122">
        <f>IFERROR(E16-W6Q2FY26!E16,"OOS")</f>
        <v/>
      </c>
      <c r="J16" t="inlineStr">
        <is>
          <t xml:space="preserve">MW </t>
        </is>
      </c>
      <c r="K16" t="inlineStr">
        <is>
          <t>Hải</t>
        </is>
      </c>
      <c r="L16" t="b">
        <v>1</v>
      </c>
    </row>
    <row r="17">
      <c r="A17" t="inlineStr">
        <is>
          <t>iPad Air M3  11" 128 GB Wifi</t>
        </is>
      </c>
      <c r="B17" s="3" t="n"/>
      <c r="C17" s="98" t="n">
        <v>13290000</v>
      </c>
      <c r="D17" s="107" t="n">
        <v>13290000</v>
      </c>
      <c r="E17" s="117" t="n">
        <v>13290000</v>
      </c>
      <c r="F17" s="91" t="n">
        <v>13290000</v>
      </c>
      <c r="G17" s="112" t="n">
        <v>12990000</v>
      </c>
      <c r="H17" s="26" t="n">
        <v>-300</v>
      </c>
      <c r="I17" s="122">
        <f>IFERROR(E17-W6Q2FY26!E17,"OOS")</f>
        <v/>
      </c>
      <c r="J17" t="inlineStr">
        <is>
          <t>FPT</t>
        </is>
      </c>
      <c r="K17" t="inlineStr">
        <is>
          <t>Trang</t>
        </is>
      </c>
      <c r="L17" t="b">
        <v>1</v>
      </c>
    </row>
    <row r="18">
      <c r="A18" t="inlineStr">
        <is>
          <t>iPad Air M3  13" 128 GB Wifi</t>
        </is>
      </c>
      <c r="B18" s="25" t="n"/>
      <c r="C18" s="87" t="n">
        <v>19090000</v>
      </c>
      <c r="D18" s="105" t="n">
        <v>18990000</v>
      </c>
      <c r="E18" s="97" t="n">
        <v>18990000</v>
      </c>
      <c r="F18" s="91" t="n">
        <v>18990000</v>
      </c>
      <c r="G18" s="111" t="n">
        <v>18790000</v>
      </c>
      <c r="H18" s="79" t="n"/>
      <c r="I18" s="122">
        <f>IFERROR(E18-W6Q2FY26!E18,"OOS")</f>
        <v/>
      </c>
      <c r="J18" t="inlineStr">
        <is>
          <t>Viettel</t>
        </is>
      </c>
      <c r="K18" t="inlineStr">
        <is>
          <t>Nghĩa</t>
        </is>
      </c>
      <c r="L18" t="b">
        <v>1</v>
      </c>
    </row>
    <row r="19">
      <c r="A19" t="inlineStr">
        <is>
          <t>iPad Pro  M4  11" 256 GB Wifi</t>
        </is>
      </c>
      <c r="B19" s="25" t="n"/>
      <c r="C19" s="97" t="inlineStr">
        <is>
          <t>OOS</t>
        </is>
      </c>
      <c r="D19" s="107" t="n">
        <v>28490000</v>
      </c>
      <c r="E19" s="97" t="inlineStr">
        <is>
          <t>OOS</t>
        </is>
      </c>
      <c r="F19" s="91" t="inlineStr">
        <is>
          <t>OOS</t>
        </is>
      </c>
      <c r="G19" s="113" t="inlineStr">
        <is>
          <t>OOS</t>
        </is>
      </c>
      <c r="H19" s="26" t="n"/>
      <c r="I19" s="122">
        <f>IFERROR(E19-W6Q2FY26!E19,"OOS")</f>
        <v/>
      </c>
      <c r="J19" t="inlineStr">
        <is>
          <t>CPS</t>
        </is>
      </c>
      <c r="K19" t="inlineStr">
        <is>
          <t>Duy</t>
        </is>
      </c>
      <c r="L19" t="b">
        <v>1</v>
      </c>
    </row>
    <row r="20">
      <c r="A20" t="inlineStr">
        <is>
          <t>iPad Pro  M4  13" 256 GB Wifi</t>
        </is>
      </c>
      <c r="B20" s="3" t="n"/>
      <c r="C20" s="97" t="inlineStr">
        <is>
          <t>OOS</t>
        </is>
      </c>
      <c r="D20" s="97" t="inlineStr">
        <is>
          <t>OOS</t>
        </is>
      </c>
      <c r="E20" s="97" t="inlineStr">
        <is>
          <t>OOS</t>
        </is>
      </c>
      <c r="F20" s="113" t="inlineStr">
        <is>
          <t>OOS</t>
        </is>
      </c>
      <c r="G20" s="113" t="inlineStr">
        <is>
          <t>OOS</t>
        </is>
      </c>
      <c r="H20" s="26" t="n"/>
      <c r="I20" s="122">
        <f>IFERROR(E20-W6Q2FY26!E20,"OOS")</f>
        <v/>
      </c>
      <c r="J20" t="inlineStr">
        <is>
          <t>ShopDunk</t>
        </is>
      </c>
      <c r="K20" t="inlineStr">
        <is>
          <t>Đạt</t>
        </is>
      </c>
      <c r="L20" t="b">
        <v>1</v>
      </c>
    </row>
    <row r="21">
      <c r="A21" t="inlineStr">
        <is>
          <t>iPad Pro M5 11” 256GB Wifi</t>
        </is>
      </c>
      <c r="B21" s="3" t="n"/>
      <c r="C21" s="87" t="n">
        <v>29490000</v>
      </c>
      <c r="D21" s="105" t="n">
        <v>29190000</v>
      </c>
      <c r="E21" s="100" t="n">
        <v>28990000</v>
      </c>
      <c r="F21" s="91" t="n">
        <v>29190000</v>
      </c>
      <c r="G21" s="113" t="n">
        <v>28990000</v>
      </c>
      <c r="H21" s="26" t="n"/>
      <c r="I21" s="122">
        <f>IFERROR(E21-W6Q2FY26!E21,"OOS")</f>
        <v/>
      </c>
    </row>
    <row r="22">
      <c r="A22" t="inlineStr">
        <is>
          <t>iPad Pro M5 13” 256GB Wifi</t>
        </is>
      </c>
      <c r="B22" s="3" t="n"/>
      <c r="C22" s="87" t="n">
        <v>38990000</v>
      </c>
      <c r="D22" s="110" t="n">
        <v>38590000</v>
      </c>
      <c r="E22" s="97" t="n">
        <v>38990000</v>
      </c>
      <c r="F22" s="91" t="n">
        <v>38990000</v>
      </c>
      <c r="G22" s="113" t="n">
        <v>38990000</v>
      </c>
      <c r="H22" s="26" t="n"/>
      <c r="I22" s="122">
        <f>IFERROR(E22-W6Q2FY26!E22,"OOS")</f>
        <v/>
      </c>
    </row>
    <row r="23">
      <c r="A23" t="inlineStr">
        <is>
          <t>AW SE 3 (40mm GPS)</t>
        </is>
      </c>
      <c r="B23" s="25" t="n"/>
      <c r="C23" s="87" t="n">
        <v>6290000</v>
      </c>
      <c r="D23" s="105" t="n">
        <v>6290000</v>
      </c>
      <c r="E23" s="96" t="n">
        <v>6190000</v>
      </c>
      <c r="F23" s="91" t="n">
        <v>6290000</v>
      </c>
      <c r="G23" s="113" t="n">
        <v>6290000</v>
      </c>
      <c r="H23" s="26" t="n"/>
      <c r="I23" s="122">
        <f>IFERROR(E23-W6Q2FY26!E23,"OOS")</f>
        <v/>
      </c>
    </row>
    <row r="24">
      <c r="A24" t="inlineStr">
        <is>
          <t>AW SE 3 (40mm LTE)</t>
        </is>
      </c>
      <c r="B24" s="25" t="n"/>
      <c r="C24" s="87" t="n">
        <v>7890000</v>
      </c>
      <c r="D24" s="105" t="n">
        <v>7890000</v>
      </c>
      <c r="E24" s="96" t="n">
        <v>7790000</v>
      </c>
      <c r="F24" s="90" t="n">
        <v>7890000</v>
      </c>
      <c r="G24" s="113" t="n">
        <v>7690000</v>
      </c>
      <c r="H24" s="123" t="n"/>
      <c r="I24" s="122">
        <f>IFERROR(E24-W6Q2FY26!E24,"OOS")</f>
        <v/>
      </c>
    </row>
    <row r="25">
      <c r="A25" t="inlineStr">
        <is>
          <t>AW SE 3 (44mm GPS)</t>
        </is>
      </c>
      <c r="B25" s="25" t="n"/>
      <c r="C25" s="87" t="n">
        <v>7290000</v>
      </c>
      <c r="D25" s="105" t="n">
        <v>7290000</v>
      </c>
      <c r="E25" s="96" t="n">
        <v>6990000</v>
      </c>
      <c r="F25" s="91" t="n">
        <v>7290000</v>
      </c>
      <c r="G25" s="113" t="n">
        <v>7090000</v>
      </c>
      <c r="H25" s="26" t="n"/>
      <c r="I25" s="122">
        <f>IFERROR(E25-W6Q2FY26!E25,"OOS")</f>
        <v/>
      </c>
    </row>
    <row r="26">
      <c r="A26" t="inlineStr">
        <is>
          <t>AW SE 3 (44mm LTE)</t>
        </is>
      </c>
      <c r="B26" s="25" t="n"/>
      <c r="C26" s="87" t="inlineStr">
        <is>
          <t>OOS</t>
        </is>
      </c>
      <c r="D26" s="107" t="n">
        <v>8790000</v>
      </c>
      <c r="E26" s="96" t="n">
        <v>8590000</v>
      </c>
      <c r="F26" s="91" t="n">
        <v>8990000</v>
      </c>
      <c r="G26" s="113" t="n">
        <v>8690000</v>
      </c>
      <c r="H26" s="26" t="n"/>
      <c r="I26" s="122">
        <f>IFERROR(E26-W6Q2FY26!E26,"OOS")</f>
        <v/>
      </c>
    </row>
    <row r="27">
      <c r="A27" t="inlineStr">
        <is>
          <t>AW S11 (42mm GPS)</t>
        </is>
      </c>
      <c r="B27" s="3" t="n"/>
      <c r="C27" s="87" t="n">
        <v>9190000</v>
      </c>
      <c r="D27" s="107" t="n">
        <v>9199000</v>
      </c>
      <c r="E27" s="96" t="n">
        <v>8990000</v>
      </c>
      <c r="F27" s="91" t="n">
        <v>9190000</v>
      </c>
      <c r="G27" s="113" t="n">
        <v>8990000</v>
      </c>
      <c r="H27" s="26" t="n"/>
      <c r="I27" s="122">
        <f>IFERROR(E27-W6Q2FY26!E27,"OOS")</f>
        <v/>
      </c>
    </row>
    <row r="28">
      <c r="A28" t="inlineStr">
        <is>
          <t>AW S11 (42mm CEL)</t>
        </is>
      </c>
      <c r="B28" s="3" t="n"/>
      <c r="C28" s="98" t="inlineStr">
        <is>
          <t>OOS</t>
        </is>
      </c>
      <c r="D28" s="105" t="n">
        <v>12190000</v>
      </c>
      <c r="E28" s="96" t="n">
        <v>11990000</v>
      </c>
      <c r="F28" s="91" t="n">
        <v>12190000</v>
      </c>
      <c r="G28" s="113" t="n">
        <v>11990000</v>
      </c>
      <c r="H28" s="26" t="n"/>
      <c r="I28" s="122">
        <f>IFERROR(E28-W6Q2FY26!E28,"OOS")</f>
        <v/>
      </c>
    </row>
    <row r="29">
      <c r="A29" t="inlineStr">
        <is>
          <t>AW S11 (46mm GPS)</t>
        </is>
      </c>
      <c r="B29" s="3" t="n"/>
      <c r="C29" s="87" t="n">
        <v>9990000</v>
      </c>
      <c r="D29" s="105" t="n">
        <v>9990000</v>
      </c>
      <c r="E29" s="96" t="n">
        <v>9690000</v>
      </c>
      <c r="F29" s="91" t="n">
        <v>9990000</v>
      </c>
      <c r="G29" s="111" t="n">
        <v>9990000</v>
      </c>
      <c r="H29" s="26" t="n"/>
      <c r="I29" s="122">
        <f>IFERROR(E29-W6Q2FY26!E29,"OOS")</f>
        <v/>
      </c>
    </row>
    <row r="30">
      <c r="A30" t="inlineStr">
        <is>
          <t>AW S11 (46mm CEL)</t>
        </is>
      </c>
      <c r="B30" s="3" t="n"/>
      <c r="C30" s="98" t="inlineStr">
        <is>
          <t>OOS</t>
        </is>
      </c>
      <c r="D30" s="105" t="n">
        <v>12990000</v>
      </c>
      <c r="E30" s="96" t="n">
        <v>12690000</v>
      </c>
      <c r="F30" s="91" t="n">
        <v>12990000</v>
      </c>
      <c r="G30" s="111" t="n">
        <v>12990000</v>
      </c>
      <c r="H30" s="26" t="n"/>
      <c r="I30" s="122">
        <f>IFERROR(E30-W6Q2FY26!E30,"OOS")</f>
        <v/>
      </c>
    </row>
    <row r="31">
      <c r="A31" t="inlineStr">
        <is>
          <t>AW Ultra 3 (49mm)</t>
        </is>
      </c>
      <c r="B31" s="25" t="n"/>
      <c r="C31" s="87" t="n">
        <v>23490000</v>
      </c>
      <c r="D31" s="105" t="n">
        <v>22990000</v>
      </c>
      <c r="E31" s="97" t="n">
        <v>22490000</v>
      </c>
      <c r="F31" s="91" t="n">
        <v>22990000</v>
      </c>
      <c r="G31" s="111" t="n">
        <v>22990000</v>
      </c>
      <c r="H31" s="26" t="n"/>
      <c r="I31" s="122">
        <f>IFERROR(E31-W6Q2FY26!E31,"OOS")</f>
        <v/>
      </c>
    </row>
    <row r="32">
      <c r="A32" t="inlineStr">
        <is>
          <t>AirPods Pro 2 - 2023 (C-Type)</t>
        </is>
      </c>
      <c r="B32" s="3" t="n"/>
      <c r="C32" s="87" t="n">
        <v>4890000</v>
      </c>
      <c r="D32" s="105" t="n">
        <v>4990000</v>
      </c>
      <c r="E32" s="117" t="inlineStr">
        <is>
          <t>OOS</t>
        </is>
      </c>
      <c r="F32" s="91" t="n">
        <v>4950000</v>
      </c>
      <c r="G32" s="111" t="n">
        <v>5590000</v>
      </c>
      <c r="H32" s="26" t="n"/>
      <c r="I32" s="122">
        <f>IFERROR(E32-W6Q2FY26!E32,"OOS")</f>
        <v/>
      </c>
      <c r="J32" s="84" t="n"/>
    </row>
    <row r="33">
      <c r="A33" t="inlineStr">
        <is>
          <t>AirPods 4 ANC</t>
        </is>
      </c>
      <c r="B33" s="3" t="n"/>
      <c r="C33" s="98" t="n">
        <v>4090000</v>
      </c>
      <c r="D33" s="107" t="n">
        <v>4190000</v>
      </c>
      <c r="E33" s="96" t="n">
        <v>4390000</v>
      </c>
      <c r="F33" s="90" t="n">
        <v>4190000</v>
      </c>
      <c r="G33" s="113" t="n">
        <v>4290000</v>
      </c>
      <c r="H33" s="26" t="n"/>
      <c r="I33" s="122">
        <f>IFERROR(E33-W6Q2FY26!E33,"OOS")</f>
        <v/>
      </c>
    </row>
    <row r="34">
      <c r="A34" t="inlineStr">
        <is>
          <t>AirPods 4 with charging case</t>
        </is>
      </c>
      <c r="B34" s="3" t="n"/>
      <c r="C34" s="98" t="n">
        <v>2790000</v>
      </c>
      <c r="D34" s="107" t="n">
        <v>2890000</v>
      </c>
      <c r="E34" s="96" t="n">
        <v>2990000</v>
      </c>
      <c r="F34" s="90" t="n">
        <v>2890000</v>
      </c>
      <c r="G34" s="112" t="n">
        <v>2890000</v>
      </c>
      <c r="H34" s="26" t="n">
        <v>-100</v>
      </c>
      <c r="I34" s="122">
        <f>IFERROR(E34-W6Q2FY26!E34,"OOS")</f>
        <v/>
      </c>
    </row>
    <row r="35">
      <c r="A35" t="inlineStr">
        <is>
          <t>AirPods Pro 3</t>
        </is>
      </c>
      <c r="B35" s="3" t="n"/>
      <c r="C35" s="98" t="n">
        <v>6290000</v>
      </c>
      <c r="D35" s="105" t="n">
        <v>6390000</v>
      </c>
      <c r="E35" s="93" t="n">
        <v>6290000</v>
      </c>
      <c r="F35" s="91" t="n">
        <v>6490000</v>
      </c>
      <c r="G35" s="113" t="n">
        <v>6490000</v>
      </c>
      <c r="H35" s="26" t="n"/>
      <c r="I35" s="122">
        <f>IFERROR(E35-W6Q2FY26!E35,"OOS")</f>
        <v/>
      </c>
    </row>
    <row r="36">
      <c r="A36" t="inlineStr">
        <is>
          <t>MacBook Air 13" M2 16/256GB</t>
        </is>
      </c>
      <c r="B36" s="25" t="n"/>
      <c r="C36" s="87" t="n">
        <v>19690000</v>
      </c>
      <c r="D36" s="105" t="n">
        <v>19690000</v>
      </c>
      <c r="E36" s="102" t="n"/>
      <c r="F36" s="91" t="n">
        <v>19690000</v>
      </c>
      <c r="G36" s="111" t="n">
        <v>18990000</v>
      </c>
      <c r="H36" s="26" t="n"/>
      <c r="I36" s="122">
        <f>IFERROR(E36-W6Q2FY26!E36,"OOS")</f>
        <v/>
      </c>
    </row>
    <row r="37">
      <c r="A37" t="inlineStr">
        <is>
          <t>MacBook Air 13" M4 16/256GB</t>
        </is>
      </c>
      <c r="B37" s="3" t="n"/>
      <c r="C37" s="98" t="n">
        <v>23790000</v>
      </c>
      <c r="D37" s="107" t="n">
        <v>23690000</v>
      </c>
      <c r="E37" s="102" t="n"/>
      <c r="F37" s="90" t="n">
        <v>23690000</v>
      </c>
      <c r="G37" s="111" t="n">
        <v>23690000</v>
      </c>
      <c r="H37" s="26" t="n"/>
      <c r="I37" s="122">
        <f>IFERROR(E37-W6Q2FY26!E37,"OOS")</f>
        <v/>
      </c>
    </row>
    <row r="38">
      <c r="A38" t="inlineStr">
        <is>
          <t>MacBook Air 15" M4 16/256GB</t>
        </is>
      </c>
      <c r="B38" s="25" t="n"/>
      <c r="C38" s="87" t="n">
        <v>28990000</v>
      </c>
      <c r="D38" s="107" t="n">
        <v>28790000</v>
      </c>
      <c r="E38" s="102" t="n"/>
      <c r="F38" s="91" t="n">
        <v>28990000</v>
      </c>
      <c r="G38" s="111" t="n">
        <v>28590000</v>
      </c>
      <c r="H38" s="26" t="n"/>
      <c r="I38" s="122">
        <f>IFERROR(E38-W6Q2FY26!E38,"OOS")</f>
        <v/>
      </c>
    </row>
    <row r="39">
      <c r="A39" t="inlineStr">
        <is>
          <t>MacBook Pro 14" M4 16/512GB</t>
        </is>
      </c>
      <c r="B39" s="25" t="n"/>
      <c r="C39" s="87" t="inlineStr">
        <is>
          <t>OOS</t>
        </is>
      </c>
      <c r="D39" s="87" t="inlineStr">
        <is>
          <t>OOS</t>
        </is>
      </c>
      <c r="E39" s="102" t="n"/>
      <c r="F39" s="91" t="n">
        <v>38590000</v>
      </c>
      <c r="G39" s="111" t="n">
        <v>38390000</v>
      </c>
      <c r="H39" s="26" t="n"/>
      <c r="I39" s="122">
        <f>IFERROR(E39-W6Q2FY26!E39,"OOS")</f>
        <v/>
      </c>
    </row>
    <row r="40">
      <c r="A40" t="inlineStr">
        <is>
          <t>MacBook Pro 14" M5 16/512GB</t>
        </is>
      </c>
      <c r="B40" s="25" t="n"/>
      <c r="C40" s="87" t="n">
        <v>41890000</v>
      </c>
      <c r="D40" s="105" t="n">
        <v>40690000</v>
      </c>
      <c r="E40" s="102" t="n"/>
      <c r="F40" s="91" t="n">
        <v>41990000</v>
      </c>
      <c r="G40" s="111" t="n">
        <v>41990000</v>
      </c>
      <c r="H40" s="26" t="n"/>
      <c r="I40" s="122">
        <f>IFERROR(E40-W6Q2FY26!E40,"OOS")</f>
        <v/>
      </c>
    </row>
    <row r="41">
      <c r="A41" t="inlineStr">
        <is>
          <t>MacBook Pro 16" M4 24/512GB</t>
        </is>
      </c>
      <c r="B41" s="25" t="n"/>
      <c r="C41" s="87" t="inlineStr">
        <is>
          <t>OOS</t>
        </is>
      </c>
      <c r="D41" s="105" t="n">
        <v>63990000</v>
      </c>
      <c r="E41" s="102" t="n"/>
      <c r="F41" s="91" t="n">
        <v>63990000</v>
      </c>
      <c r="G41" s="111" t="n">
        <v>63990000</v>
      </c>
      <c r="I41" s="122">
        <f>IFERROR(E41-W6Q2FY26!E41,"OOS")</f>
        <v/>
      </c>
    </row>
    <row r="42">
      <c r="C42" s="60" t="n"/>
      <c r="D42" s="60" t="n"/>
    </row>
    <row r="43">
      <c r="C43" s="60" t="n"/>
      <c r="D43" s="60" t="n"/>
    </row>
    <row r="44">
      <c r="C44" s="60" t="n"/>
      <c r="D44" s="60" t="n"/>
    </row>
    <row r="45">
      <c r="C45" s="60" t="n"/>
      <c r="D45" s="60" t="n"/>
    </row>
    <row r="46">
      <c r="C46" s="60" t="n"/>
      <c r="D46" s="60" t="n"/>
    </row>
    <row r="47">
      <c r="C47" s="60" t="n"/>
      <c r="D47" s="60" t="n"/>
    </row>
    <row r="48">
      <c r="C48" s="60" t="n"/>
      <c r="D48" s="60" t="n"/>
    </row>
    <row r="49">
      <c r="C49" s="60" t="n"/>
      <c r="D49" s="60" t="n"/>
    </row>
    <row r="50">
      <c r="C50" s="60" t="n"/>
      <c r="D50" s="60" t="n"/>
    </row>
    <row r="51">
      <c r="C51" s="60" t="n"/>
      <c r="D51" s="60" t="n"/>
    </row>
    <row r="52">
      <c r="C52" s="60" t="n"/>
      <c r="D52" s="60" t="n"/>
    </row>
    <row r="53">
      <c r="C53" s="60" t="n"/>
      <c r="D53" s="60" t="n"/>
    </row>
    <row r="54">
      <c r="C54" s="60" t="n"/>
      <c r="D54" s="60" t="n"/>
    </row>
    <row r="55">
      <c r="C55" s="60" t="n"/>
      <c r="D55" s="60" t="n"/>
    </row>
    <row r="56">
      <c r="C56" s="60" t="n"/>
      <c r="D56" s="60" t="n"/>
    </row>
    <row r="57">
      <c r="C57" s="60" t="n"/>
      <c r="D57" s="60" t="n"/>
    </row>
    <row r="58">
      <c r="C58" s="60" t="n"/>
      <c r="D58" s="60" t="n"/>
    </row>
    <row r="59">
      <c r="C59" s="60" t="n"/>
      <c r="D59" s="60" t="n"/>
    </row>
    <row r="60">
      <c r="C60" s="60" t="n"/>
      <c r="D60" s="60" t="n"/>
    </row>
    <row r="61">
      <c r="C61" s="60" t="n"/>
      <c r="D61" s="60" t="n"/>
    </row>
    <row r="62">
      <c r="C62" s="60" t="n"/>
      <c r="D62" s="60" t="n"/>
    </row>
    <row r="63">
      <c r="C63" s="60" t="n"/>
      <c r="D63" s="60" t="n"/>
    </row>
    <row r="64">
      <c r="C64" s="60" t="n"/>
      <c r="D64" s="60" t="n"/>
    </row>
    <row r="65">
      <c r="C65" s="60" t="n"/>
      <c r="D65" s="60" t="n"/>
    </row>
    <row r="66">
      <c r="C66" s="60" t="n"/>
      <c r="D66" s="60" t="n"/>
    </row>
    <row r="67">
      <c r="C67" s="60" t="n"/>
      <c r="D67" s="60" t="n"/>
    </row>
    <row r="68">
      <c r="C68" s="60" t="n"/>
      <c r="D68" s="60" t="n"/>
    </row>
    <row r="69">
      <c r="C69" s="60" t="n"/>
      <c r="D69" s="60" t="n"/>
    </row>
    <row r="70">
      <c r="C70" s="60" t="n"/>
      <c r="D70" s="60" t="n"/>
    </row>
    <row r="71">
      <c r="C71" s="60" t="n"/>
      <c r="D71" s="60" t="n"/>
    </row>
    <row r="72">
      <c r="C72" s="60" t="n"/>
      <c r="D72" s="60" t="n"/>
    </row>
    <row r="73">
      <c r="C73" s="60" t="n"/>
      <c r="D73" s="60" t="n"/>
    </row>
    <row r="74">
      <c r="C74" s="60" t="n"/>
      <c r="D74" s="60" t="n"/>
    </row>
    <row r="75">
      <c r="C75" s="60" t="n"/>
      <c r="D75" s="60" t="n"/>
    </row>
    <row r="76">
      <c r="C76" s="60" t="n"/>
      <c r="D76" s="60" t="n"/>
    </row>
    <row r="77">
      <c r="C77" s="60" t="n"/>
      <c r="D77" s="60" t="n"/>
    </row>
    <row r="78">
      <c r="C78" s="60" t="n"/>
      <c r="D78" s="60" t="n"/>
    </row>
    <row r="79">
      <c r="C79" s="60" t="n"/>
      <c r="D79" s="60" t="n"/>
    </row>
    <row r="80">
      <c r="C80" s="60" t="n"/>
      <c r="D80" s="60" t="n"/>
    </row>
    <row r="81">
      <c r="C81" s="60" t="n"/>
      <c r="D81" s="60" t="n"/>
    </row>
    <row r="82">
      <c r="C82" s="60" t="n"/>
      <c r="D82" s="60" t="n"/>
    </row>
    <row r="83">
      <c r="C83" s="60" t="n"/>
      <c r="D83" s="60" t="n"/>
    </row>
    <row r="84">
      <c r="C84" s="60" t="n"/>
      <c r="D84" s="60" t="n"/>
    </row>
    <row r="85">
      <c r="C85" s="60" t="n"/>
      <c r="D85" s="60" t="n"/>
    </row>
    <row r="86">
      <c r="C86" s="60" t="n"/>
      <c r="D86" s="60" t="n"/>
    </row>
    <row r="87">
      <c r="C87" s="60" t="n"/>
      <c r="D87" s="60" t="n"/>
    </row>
    <row r="88">
      <c r="C88" s="60" t="n"/>
      <c r="D88" s="60" t="n"/>
    </row>
    <row r="89">
      <c r="C89" s="60" t="n"/>
      <c r="D89" s="60" t="n"/>
    </row>
    <row r="90">
      <c r="C90" s="60" t="n"/>
      <c r="D90" s="60" t="n"/>
    </row>
    <row r="91">
      <c r="C91" s="60" t="n"/>
      <c r="D91" s="60" t="n"/>
    </row>
    <row r="92">
      <c r="C92" s="60" t="n"/>
      <c r="D92" s="60" t="n"/>
    </row>
    <row r="93">
      <c r="C93" s="60" t="n"/>
      <c r="D93" s="60" t="n"/>
    </row>
    <row r="94">
      <c r="C94" s="60" t="n"/>
      <c r="D94" s="60" t="n"/>
    </row>
    <row r="95">
      <c r="C95" s="60" t="n"/>
      <c r="D95" s="60" t="n"/>
    </row>
    <row r="96">
      <c r="C96" s="60" t="n"/>
      <c r="D96" s="60" t="n"/>
    </row>
    <row r="97">
      <c r="C97" s="60" t="n"/>
      <c r="D97" s="60" t="n"/>
    </row>
    <row r="98">
      <c r="C98" s="60" t="n"/>
      <c r="D98" s="60" t="n"/>
    </row>
    <row r="99">
      <c r="C99" s="60" t="n"/>
      <c r="D99" s="60" t="n"/>
    </row>
    <row r="100">
      <c r="C100" s="60" t="n"/>
      <c r="D100" s="60" t="n"/>
    </row>
    <row r="101">
      <c r="C101" s="60" t="n"/>
      <c r="D101" s="60" t="n"/>
    </row>
    <row r="102">
      <c r="C102" s="60" t="n"/>
      <c r="D102" s="60" t="n"/>
    </row>
    <row r="103">
      <c r="C103" s="60" t="n"/>
      <c r="D103" s="60" t="n"/>
    </row>
    <row r="104">
      <c r="C104" s="60" t="n"/>
      <c r="D104" s="60" t="n"/>
    </row>
    <row r="105">
      <c r="C105" s="60" t="n"/>
      <c r="D105" s="60" t="n"/>
    </row>
    <row r="106">
      <c r="C106" s="60" t="n"/>
      <c r="D106" s="60" t="n"/>
    </row>
    <row r="107">
      <c r="C107" s="60" t="n"/>
      <c r="D107" s="60" t="n"/>
    </row>
    <row r="108">
      <c r="C108" s="60" t="n"/>
      <c r="D108" s="60" t="n"/>
    </row>
    <row r="109">
      <c r="C109" s="60" t="n"/>
      <c r="D109" s="60" t="n"/>
    </row>
    <row r="110">
      <c r="C110" s="60" t="n"/>
      <c r="D110" s="60" t="n"/>
    </row>
    <row r="111">
      <c r="C111" s="60" t="n"/>
      <c r="D111" s="60" t="n"/>
    </row>
    <row r="112">
      <c r="C112" s="60" t="n"/>
      <c r="D112" s="60" t="n"/>
    </row>
    <row r="113">
      <c r="C113" s="60" t="n"/>
      <c r="D113" s="60" t="n"/>
    </row>
    <row r="114">
      <c r="C114" s="60" t="n"/>
      <c r="D114" s="60" t="n"/>
    </row>
    <row r="115">
      <c r="C115" s="60" t="n"/>
      <c r="D115" s="60" t="n"/>
    </row>
    <row r="116">
      <c r="C116" s="60" t="n"/>
      <c r="D116" s="60" t="n"/>
    </row>
    <row r="117">
      <c r="C117" s="60" t="n"/>
      <c r="D117" s="60" t="n"/>
    </row>
    <row r="118">
      <c r="C118" s="60" t="n"/>
      <c r="D118" s="60" t="n"/>
    </row>
    <row r="119">
      <c r="C119" s="60" t="n"/>
      <c r="D119" s="60" t="n"/>
    </row>
    <row r="120">
      <c r="C120" s="60" t="n"/>
      <c r="D120" s="60" t="n"/>
    </row>
    <row r="121">
      <c r="C121" s="60" t="n"/>
      <c r="D121" s="60" t="n"/>
    </row>
    <row r="122">
      <c r="C122" s="60" t="n"/>
      <c r="D122" s="60" t="n"/>
    </row>
    <row r="123">
      <c r="C123" s="60" t="n"/>
      <c r="D123" s="60" t="n"/>
    </row>
    <row r="124">
      <c r="C124" s="60" t="n"/>
      <c r="D124" s="60" t="n"/>
    </row>
    <row r="125">
      <c r="C125" s="60" t="n"/>
      <c r="D125" s="60" t="n"/>
    </row>
    <row r="126">
      <c r="C126" s="60" t="n"/>
      <c r="D126" s="60" t="n"/>
    </row>
    <row r="127">
      <c r="C127" s="60" t="n"/>
      <c r="D127" s="60" t="n"/>
    </row>
    <row r="128">
      <c r="C128" s="60" t="n"/>
      <c r="D128" s="60" t="n"/>
    </row>
    <row r="129">
      <c r="C129" s="60" t="n"/>
      <c r="D129" s="60" t="n"/>
    </row>
    <row r="130">
      <c r="C130" s="60" t="n"/>
      <c r="D130" s="60" t="n"/>
    </row>
    <row r="131">
      <c r="C131" s="60" t="n"/>
      <c r="D131" s="60" t="n"/>
    </row>
    <row r="132">
      <c r="C132" s="60" t="n"/>
      <c r="D132" s="60" t="n"/>
    </row>
    <row r="133">
      <c r="C133" s="60" t="n"/>
      <c r="D133" s="60" t="n"/>
    </row>
    <row r="134">
      <c r="C134" s="60" t="n"/>
      <c r="D134" s="60" t="n"/>
    </row>
    <row r="135">
      <c r="C135" s="60" t="n"/>
      <c r="D135" s="60" t="n"/>
    </row>
    <row r="136">
      <c r="C136" s="60" t="n"/>
      <c r="D136" s="60" t="n"/>
    </row>
    <row r="137">
      <c r="C137" s="60" t="n"/>
      <c r="D137" s="60" t="n"/>
    </row>
    <row r="138">
      <c r="C138" s="60" t="n"/>
      <c r="D138" s="60" t="n"/>
    </row>
    <row r="139">
      <c r="C139" s="60" t="n"/>
      <c r="D139" s="60" t="n"/>
    </row>
    <row r="140">
      <c r="C140" s="60" t="n"/>
      <c r="D140" s="60" t="n"/>
    </row>
    <row r="141">
      <c r="C141" s="60" t="n"/>
      <c r="D141" s="60" t="n"/>
    </row>
    <row r="142">
      <c r="C142" s="60" t="n"/>
      <c r="D142" s="60" t="n"/>
    </row>
    <row r="143">
      <c r="C143" s="60" t="n"/>
      <c r="D143" s="60" t="n"/>
    </row>
    <row r="144">
      <c r="C144" s="60" t="n"/>
      <c r="D144" s="60" t="n"/>
    </row>
    <row r="145">
      <c r="C145" s="60" t="n"/>
      <c r="D145" s="60" t="n"/>
    </row>
    <row r="146">
      <c r="C146" s="60" t="n"/>
      <c r="D146" s="60" t="n"/>
    </row>
    <row r="147">
      <c r="C147" s="60" t="n"/>
      <c r="D147" s="60" t="n"/>
    </row>
    <row r="148">
      <c r="C148" s="60" t="n"/>
      <c r="D148" s="60" t="n"/>
    </row>
    <row r="149">
      <c r="C149" s="60" t="n"/>
      <c r="D149" s="60" t="n"/>
    </row>
    <row r="150">
      <c r="C150" s="60" t="n"/>
      <c r="D150" s="60" t="n"/>
    </row>
    <row r="151">
      <c r="C151" s="60" t="n"/>
      <c r="D151" s="60" t="n"/>
    </row>
    <row r="152">
      <c r="C152" s="60" t="n"/>
      <c r="D152" s="60" t="n"/>
    </row>
    <row r="153">
      <c r="C153" s="60" t="n"/>
      <c r="D153" s="60" t="n"/>
    </row>
  </sheetData>
  <conditionalFormatting sqref="E2:E41">
    <cfRule type="expression" priority="2" dxfId="3">
      <formula>$I2=0</formula>
    </cfRule>
  </conditionalFormatting>
  <conditionalFormatting sqref="E2:E1000">
    <cfRule type="expression" priority="1" dxfId="2">
      <formula>AND($I2&lt;&gt;0,$I2&lt;&gt;"")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6.xml><?xml version="1.0" encoding="utf-8"?>
<worksheet xmlns="http://schemas.openxmlformats.org/spreadsheetml/2006/main">
  <sheetPr>
    <outlinePr summaryBelow="1" summaryRight="1"/>
    <pageSetUpPr/>
  </sheetPr>
  <dimension ref="A1:O156"/>
  <sheetViews>
    <sheetView zoomScale="83" zoomScaleNormal="140" workbookViewId="0">
      <pane xSplit="2" ySplit="1" topLeftCell="C11" activePane="bottomRight" state="frozen"/>
      <selection pane="bottomRight" activeCell="C1" sqref="C1"/>
      <selection pane="bottomLeft" activeCell="A2" sqref="A2"/>
      <selection pane="topRight" activeCell="C1" sqref="C1"/>
    </sheetView>
  </sheetViews>
  <sheetFormatPr baseColWidth="8" defaultColWidth="11" defaultRowHeight="15.95"/>
  <cols>
    <col width="27.5" bestFit="1" customWidth="1" style="35" min="1" max="1"/>
    <col hidden="1" style="35" min="2" max="2"/>
    <col width="14.875" customWidth="1" style="35" min="3" max="3"/>
    <col width="16" customWidth="1" style="35" min="4" max="4"/>
    <col width="15.5" customWidth="1" style="6" min="5" max="5"/>
    <col width="14.375" customWidth="1" style="35" min="6" max="6"/>
    <col width="13" customWidth="1" style="35" min="7" max="7"/>
    <col width="13.5" customWidth="1" style="35" min="8" max="8"/>
    <col width="11.375" bestFit="1" customWidth="1" style="122" min="9" max="9"/>
    <col width="2.125" bestFit="1" customWidth="1" style="35" min="10" max="10"/>
  </cols>
  <sheetData>
    <row r="1">
      <c r="B1" s="47" t="inlineStr">
        <is>
          <t>TZ</t>
        </is>
      </c>
      <c r="C1" s="81" t="inlineStr">
        <is>
          <t>MW</t>
        </is>
      </c>
      <c r="D1" s="81" t="inlineStr">
        <is>
          <t>FPT</t>
        </is>
      </c>
      <c r="E1" s="116" t="inlineStr">
        <is>
          <t>Viettel</t>
        </is>
      </c>
      <c r="F1" s="82" t="inlineStr">
        <is>
          <t>CPS</t>
        </is>
      </c>
      <c r="G1" s="82" t="inlineStr">
        <is>
          <t>Shopdunk</t>
        </is>
      </c>
    </row>
    <row r="2">
      <c r="B2" s="83" t="n"/>
      <c r="C2" s="152" t="n"/>
      <c r="D2" s="152" t="n"/>
      <c r="E2" s="153" t="n"/>
      <c r="F2" s="82" t="n"/>
      <c r="G2" s="82" t="n"/>
    </row>
    <row r="3">
      <c r="A3" t="inlineStr">
        <is>
          <t>iPhone 17  256GB</t>
        </is>
      </c>
      <c r="B3" s="83" t="n"/>
      <c r="C3" s="128" t="n">
        <v>24990000</v>
      </c>
      <c r="D3" s="130" t="n">
        <v>24690000</v>
      </c>
      <c r="E3" s="131" t="n">
        <v>24190000</v>
      </c>
      <c r="F3" s="132" t="n">
        <v>24690000</v>
      </c>
      <c r="G3" s="112" t="n">
        <v>24490000</v>
      </c>
      <c r="H3" t="n">
        <v>300</v>
      </c>
      <c r="I3" s="122">
        <f>IFERROR(E3-W7Q2FY26!E2,"OOS")</f>
        <v/>
      </c>
      <c r="J3">
        <f>IF(I3=0,"",A3 &amp; IF(I3&gt;0," tăng "," giảm ") &amp; TEXT(ABS(I3)/1000,"0") &amp; "K = " &amp; TEXT(E3/1000,"#.##0") &amp; "K")</f>
        <v/>
      </c>
    </row>
    <row r="4">
      <c r="A4" t="inlineStr">
        <is>
          <t>iPhone Air 256G</t>
        </is>
      </c>
      <c r="B4" s="83" t="n"/>
      <c r="C4" s="128" t="n">
        <v>24990000</v>
      </c>
      <c r="D4" s="128" t="n">
        <v>25290000</v>
      </c>
      <c r="E4" s="131" t="n">
        <v>24390000</v>
      </c>
      <c r="F4" s="133" t="n">
        <v>24990000</v>
      </c>
      <c r="G4" s="111" t="n">
        <v>24890000</v>
      </c>
      <c r="H4" s="26" t="n"/>
      <c r="I4" s="122">
        <f>IFERROR(E4-W7Q2FY26!E3,"OOS")</f>
        <v/>
      </c>
      <c r="J4">
        <f>IF(I4=0,"",A4 &amp; IF(I4&gt;0," tăng "," giảm ") &amp; TEXT(ABS(I4)/1000,"0") &amp; "K = " &amp; TEXT(E4/1000,"#.##0") &amp; "K")</f>
        <v/>
      </c>
    </row>
    <row r="5">
      <c r="A5" t="inlineStr">
        <is>
          <t>iPhone 17 Pro 256GB</t>
        </is>
      </c>
      <c r="B5" s="83" t="n"/>
      <c r="C5" s="130" t="n">
        <v>34190000</v>
      </c>
      <c r="D5" s="130" t="n">
        <v>33890000</v>
      </c>
      <c r="E5" s="131" t="n">
        <v>32790000</v>
      </c>
      <c r="F5" s="134" t="n">
        <v>34190000</v>
      </c>
      <c r="G5" s="111" t="n">
        <v>33290000</v>
      </c>
      <c r="H5" s="26" t="n"/>
      <c r="I5" s="122">
        <f>IFERROR(E5-W7Q2FY26!E4,"OOS")</f>
        <v/>
      </c>
      <c r="J5">
        <f>IF(I5=0,"",A5 &amp; IF(I5&gt;0," tăng "," giảm ") &amp; TEXT(ABS(I5)/1000,"0") &amp; "K = " &amp; TEXT(E5/1000,"#.##0") &amp; "K")</f>
        <v/>
      </c>
    </row>
    <row r="6">
      <c r="A6" t="inlineStr">
        <is>
          <t>iPhone 17 Pro Max 256GB</t>
        </is>
      </c>
      <c r="B6" s="83" t="n"/>
      <c r="C6" s="130" t="n">
        <v>37890000</v>
      </c>
      <c r="D6" s="130" t="n">
        <v>37590000</v>
      </c>
      <c r="E6" s="135" t="n">
        <v>36490000</v>
      </c>
      <c r="F6" s="134" t="n">
        <v>37690000</v>
      </c>
      <c r="G6" s="111" t="n">
        <v>36990000</v>
      </c>
      <c r="H6" s="26" t="n"/>
      <c r="I6" s="122">
        <f>IFERROR(E6-W7Q2FY26!E5,"OOS")</f>
        <v/>
      </c>
      <c r="J6">
        <f>IF(I6=0,"",A6 &amp; IF(I6&gt;0," tăng "," giảm ") &amp; TEXT(ABS(I6)/1000,"0") &amp; "K = " &amp; TEXT(E6/1000,"#.##0") &amp; "K")</f>
        <v/>
      </c>
    </row>
    <row r="7">
      <c r="A7" t="inlineStr">
        <is>
          <t>iPhone 16e  128GB</t>
        </is>
      </c>
      <c r="B7" s="83" t="n"/>
      <c r="C7" s="128" t="n">
        <v>15990000</v>
      </c>
      <c r="D7" s="136" t="n">
        <v>15990000</v>
      </c>
      <c r="E7" s="135" t="n">
        <v>12490000</v>
      </c>
      <c r="F7" s="137" t="n">
        <v>12490000</v>
      </c>
      <c r="G7" s="111" t="n">
        <v>15190000</v>
      </c>
      <c r="H7" s="26" t="n"/>
      <c r="I7" s="122">
        <f>IFERROR(E7-W7Q2FY26!E6,"OOS")</f>
        <v/>
      </c>
      <c r="J7">
        <f>IF(I7=0,"",A7 &amp; IF(I7&gt;0," tăng "," giảm ") &amp; TEXT(ABS(I7)/1000,"0") &amp; "K = " &amp; TEXT(E7/1000,"#.##0") &amp; "K")</f>
        <v/>
      </c>
    </row>
    <row r="8">
      <c r="A8" t="inlineStr">
        <is>
          <t>iPhone 16 128GB</t>
        </is>
      </c>
      <c r="B8" s="71" t="n"/>
      <c r="C8" s="138" t="n">
        <v>20990000</v>
      </c>
      <c r="D8" s="138" t="n">
        <v>20790000</v>
      </c>
      <c r="E8" s="140" t="n">
        <v>20090000</v>
      </c>
      <c r="F8" s="134" t="n">
        <v>20790000</v>
      </c>
      <c r="G8" s="112" t="n">
        <v>20790000</v>
      </c>
      <c r="H8" s="26">
        <f>20790-19490</f>
        <v/>
      </c>
      <c r="I8" s="122">
        <f>IFERROR(E8-W7Q2FY26!E7,"OOS")</f>
        <v/>
      </c>
      <c r="J8">
        <f>IF(I8=0,"",A8 &amp; IF(I8&gt;0," tăng "," giảm ") &amp; TEXT(ABS(I8)/1000,"0") &amp; "K = " &amp; TEXT(E8/1000,"#.##0") &amp; "K")</f>
        <v/>
      </c>
    </row>
    <row r="9">
      <c r="A9" t="inlineStr">
        <is>
          <t>iPhone 16  Plus 128GB</t>
        </is>
      </c>
      <c r="B9" s="3" t="n"/>
      <c r="C9" s="141" t="n">
        <v>24990000</v>
      </c>
      <c r="D9" s="141" t="n">
        <v>24590000</v>
      </c>
      <c r="E9" s="140" t="n">
        <v>23790000</v>
      </c>
      <c r="F9" s="134" t="n">
        <v>24790000</v>
      </c>
      <c r="G9" s="112" t="n">
        <v>24790000</v>
      </c>
      <c r="H9" s="26">
        <f>24790-23390</f>
        <v/>
      </c>
      <c r="I9" s="122">
        <f>IFERROR(E9-W7Q2FY26!E8,"OOS")</f>
        <v/>
      </c>
      <c r="J9">
        <f>IF(I9=0,"",A9 &amp; IF(I9&gt;0," tăng "," giảm ") &amp; TEXT(ABS(I9)/1000,"0") &amp; "K = " &amp; TEXT(E9/1000,"#.##0") &amp; "K")</f>
        <v/>
      </c>
    </row>
    <row r="10">
      <c r="A10" t="inlineStr">
        <is>
          <t>iPhone 16 Pro 128GB</t>
        </is>
      </c>
      <c r="B10" s="25" t="n"/>
      <c r="C10" s="136" t="inlineStr">
        <is>
          <t>OOS</t>
        </is>
      </c>
      <c r="D10" s="111" t="n">
        <v>25590000</v>
      </c>
      <c r="E10" s="113" t="inlineStr">
        <is>
          <t>OOS</t>
        </is>
      </c>
      <c r="F10" s="133" t="n">
        <v>26590000</v>
      </c>
      <c r="G10" s="111" t="n">
        <v>24990000</v>
      </c>
      <c r="H10" s="26" t="n"/>
      <c r="I10" s="122">
        <f>IFERROR(E10-W7Q2FY26!E9,"OOS")</f>
        <v/>
      </c>
      <c r="J10">
        <f>IF(I10=0,"",A10 &amp; IF(I10&gt;0," tăng "," giảm ") &amp; TEXT(ABS(I10)/1000,"0") &amp; "K = " &amp; TEXT(E10/1000,"#.##0") &amp; "K")</f>
        <v/>
      </c>
    </row>
    <row r="11">
      <c r="A11" t="inlineStr">
        <is>
          <t>iPhone 16 Pro Max 256GB</t>
        </is>
      </c>
      <c r="B11" s="3" t="n"/>
      <c r="C11" s="136" t="n">
        <v>31590000</v>
      </c>
      <c r="D11" s="136" t="n">
        <v>31490000</v>
      </c>
      <c r="E11" s="113" t="inlineStr">
        <is>
          <t>OOS</t>
        </is>
      </c>
      <c r="F11" s="134" t="n">
        <v>31890000</v>
      </c>
      <c r="G11" s="111" t="n">
        <v>31190000</v>
      </c>
      <c r="H11" s="26" t="n"/>
      <c r="I11" s="122">
        <f>IFERROR(E11-W7Q2FY26!E10,"OOS")</f>
        <v/>
      </c>
      <c r="J11">
        <f>IF(I11=0,"",A11 &amp; IF(I11&gt;0," tăng "," giảm ") &amp; TEXT(ABS(I11)/1000,"0") &amp; "K = " &amp; TEXT(E11/1000,"#.##0") &amp; "K")</f>
        <v/>
      </c>
    </row>
    <row r="12">
      <c r="A12" t="inlineStr">
        <is>
          <t>iPhone 15  128GB</t>
        </is>
      </c>
      <c r="B12" s="25" t="n"/>
      <c r="C12" s="141" t="n">
        <v>17990000</v>
      </c>
      <c r="D12" s="141" t="n">
        <v>17790000</v>
      </c>
      <c r="E12" s="131" t="n">
        <v>17490000</v>
      </c>
      <c r="F12" s="134" t="n">
        <v>17790000</v>
      </c>
      <c r="G12" s="112" t="n">
        <v>17690000</v>
      </c>
      <c r="H12" s="26">
        <f>17690-16390</f>
        <v/>
      </c>
      <c r="I12" s="122">
        <f>IFERROR(E12-W7Q2FY26!E11,"OOS")</f>
        <v/>
      </c>
      <c r="J12">
        <f>IF(I12=0,"",A12 &amp; IF(I12&gt;0," tăng "," giảm ") &amp; TEXT(ABS(I12)/1000,"0") &amp; "K = " &amp; TEXT(E12/1000,"#.##0") &amp; "K")</f>
        <v/>
      </c>
    </row>
    <row r="13">
      <c r="A13" t="inlineStr">
        <is>
          <t>iPhone 15  Plus 128GB</t>
        </is>
      </c>
      <c r="B13" s="25" t="n"/>
      <c r="C13" s="136" t="n">
        <v>19990000</v>
      </c>
      <c r="D13" s="136" t="inlineStr">
        <is>
          <t>OOS</t>
        </is>
      </c>
      <c r="E13" s="131" t="inlineStr">
        <is>
          <t>OOS</t>
        </is>
      </c>
      <c r="F13" s="133" t="n">
        <v>17690000</v>
      </c>
      <c r="G13" s="111" t="inlineStr">
        <is>
          <t>OOS</t>
        </is>
      </c>
      <c r="H13" s="26" t="n"/>
      <c r="I13" s="122">
        <f>IFERROR(E13-W7Q2FY26!E12,"OOS")</f>
        <v/>
      </c>
      <c r="J13">
        <f>IF(I13=0,"",A13 &amp; IF(I13&gt;0," tăng "," giảm ") &amp; TEXT(ABS(I13)/1000,"0") &amp; "K = " &amp; TEXT(E13/1000,"#.##0") &amp; "K")</f>
        <v/>
      </c>
    </row>
    <row r="14">
      <c r="A14" t="inlineStr">
        <is>
          <t>iPhone 14 128GB</t>
        </is>
      </c>
      <c r="B14" s="25" t="n"/>
      <c r="C14" s="136" t="n">
        <v>13990000</v>
      </c>
      <c r="D14" s="141" t="n">
        <v>13890000</v>
      </c>
      <c r="E14" s="131" t="n">
        <v>13590000</v>
      </c>
      <c r="F14" s="134" t="n">
        <v>13790000</v>
      </c>
      <c r="G14" s="111" t="n">
        <v>13390000</v>
      </c>
      <c r="H14" s="26" t="n"/>
      <c r="I14" s="122">
        <f>IFERROR(E14-W7Q2FY26!E13,"OOS")</f>
        <v/>
      </c>
      <c r="J14">
        <f>IF(I14=0,"",A14 &amp; IF(I14&gt;0," tăng "," giảm ") &amp; TEXT(ABS(I14)/1000,"0") &amp; "K = " &amp; TEXT(E14/1000,"#.##0") &amp; "K")</f>
        <v/>
      </c>
    </row>
    <row r="15">
      <c r="A15" t="inlineStr">
        <is>
          <t>iPhone 13  128GB</t>
        </is>
      </c>
      <c r="B15" s="3" t="n"/>
      <c r="C15" s="136" t="n">
        <v>12490000</v>
      </c>
      <c r="D15" s="136" t="n">
        <v>12290000</v>
      </c>
      <c r="E15" s="140" t="n">
        <v>11990000</v>
      </c>
      <c r="F15" s="134" t="n">
        <v>11990000</v>
      </c>
      <c r="G15" s="111" t="n">
        <v>11890000</v>
      </c>
      <c r="H15" s="26" t="n"/>
      <c r="I15" s="122">
        <f>IFERROR(E15-W7Q2FY26!E14,"OOS")</f>
        <v/>
      </c>
      <c r="J15">
        <f>IF(I15=0,"",A15 &amp; IF(I15&gt;0," tăng "," giảm ") &amp; TEXT(ABS(I15)/1000,"0") &amp; "K = " &amp; TEXT(E15/1000,"#.##0") &amp; "K")</f>
        <v/>
      </c>
    </row>
    <row r="16">
      <c r="A16" t="inlineStr">
        <is>
          <t>iPad Mini 7 128GB Wifi</t>
        </is>
      </c>
      <c r="B16" s="25" t="n"/>
      <c r="C16" s="141" t="n">
        <v>13490000</v>
      </c>
      <c r="D16" s="141" t="n">
        <v>13490000</v>
      </c>
      <c r="E16" s="140" t="n">
        <v>13290000</v>
      </c>
      <c r="F16" s="134" t="n">
        <v>13490000</v>
      </c>
      <c r="G16" s="112" t="n">
        <v>13390000</v>
      </c>
      <c r="H16" s="26">
        <f>13390-11590</f>
        <v/>
      </c>
      <c r="I16" s="122">
        <f>IFERROR(E16-W7Q2FY26!E15,"OOS")</f>
        <v/>
      </c>
      <c r="J16">
        <f>IF(I16=0,"",A16 &amp; IF(I16&gt;0," tăng "," giảm ") &amp; TEXT(ABS(I16)/1000,"0") &amp; "K = " &amp; TEXT(E16/1000,"#.##0") &amp; "K")</f>
        <v/>
      </c>
    </row>
    <row r="17">
      <c r="A17" t="inlineStr">
        <is>
          <t>iPad Gen 11th  128GB Wifi</t>
        </is>
      </c>
      <c r="B17" s="3" t="n"/>
      <c r="C17" s="141" t="n">
        <v>9590000</v>
      </c>
      <c r="D17" s="141" t="n">
        <v>9590000</v>
      </c>
      <c r="E17" s="140" t="n">
        <v>9190000</v>
      </c>
      <c r="F17" s="134" t="n">
        <v>9590000</v>
      </c>
      <c r="G17" s="111" t="n">
        <v>8990000</v>
      </c>
      <c r="H17" s="26" t="n">
        <v>700</v>
      </c>
      <c r="I17" s="122">
        <f>IFERROR(E17-W7Q2FY26!E16,"OOS")</f>
        <v/>
      </c>
      <c r="J17">
        <f>IF(I17=0,"",A17 &amp; IF(I17&gt;0," tăng "," giảm ") &amp; TEXT(ABS(I17)/1000,"0") &amp; "K = " &amp; TEXT(E17/1000,"#.##0") &amp; "K")</f>
        <v/>
      </c>
      <c r="M17" t="inlineStr">
        <is>
          <t xml:space="preserve">MW </t>
        </is>
      </c>
      <c r="N17" t="inlineStr">
        <is>
          <t>Hải</t>
        </is>
      </c>
      <c r="O17" t="b">
        <v>1</v>
      </c>
    </row>
    <row r="18">
      <c r="A18" t="inlineStr">
        <is>
          <t>iPad Air M3  11" 128 GB Wifi</t>
        </is>
      </c>
      <c r="B18" s="3" t="n"/>
      <c r="C18" s="141" t="n">
        <v>16290000</v>
      </c>
      <c r="D18" s="141" t="n">
        <v>15990000</v>
      </c>
      <c r="E18" s="131" t="n">
        <v>15390000</v>
      </c>
      <c r="F18" s="134" t="n">
        <v>16290000</v>
      </c>
      <c r="G18" s="112" t="n">
        <v>12990000</v>
      </c>
      <c r="H18" s="26" t="n">
        <v>-300</v>
      </c>
      <c r="I18" s="122">
        <f>IFERROR(E18-W7Q2FY26!E17,"OOS")</f>
        <v/>
      </c>
      <c r="J18">
        <f>IF(I18=0,"",A18 &amp; IF(I18&gt;0," tăng "," giảm ") &amp; TEXT(ABS(I18)/1000,"0") &amp; "K = " &amp; TEXT(E18/1000,"#.##0") &amp; "K")</f>
        <v/>
      </c>
      <c r="M18" t="inlineStr">
        <is>
          <t>FPT</t>
        </is>
      </c>
      <c r="N18" t="inlineStr">
        <is>
          <t>Trang</t>
        </is>
      </c>
      <c r="O18" t="b">
        <v>1</v>
      </c>
    </row>
    <row r="19">
      <c r="A19" t="inlineStr">
        <is>
          <t>iPad Air M3  13" 128 GB Wifi</t>
        </is>
      </c>
      <c r="B19" s="25" t="n"/>
      <c r="C19" s="141" t="n">
        <v>21690000</v>
      </c>
      <c r="D19" s="141" t="n">
        <v>21490000</v>
      </c>
      <c r="E19" s="113" t="n">
        <v>20490000</v>
      </c>
      <c r="F19" s="134" t="n">
        <v>21690000</v>
      </c>
      <c r="G19" s="111" t="n">
        <v>18790000</v>
      </c>
      <c r="H19" s="79" t="n"/>
      <c r="I19" s="122">
        <f>IFERROR(E19-W7Q2FY26!E18,"OOS")</f>
        <v/>
      </c>
      <c r="J19">
        <f>IF(I19=0,"",A19 &amp; IF(I19&gt;0," tăng "," giảm ") &amp; TEXT(ABS(I19)/1000,"0") &amp; "K = " &amp; TEXT(E19/1000,"#.##0") &amp; "K")</f>
        <v/>
      </c>
      <c r="M19" t="inlineStr">
        <is>
          <t>Viettel</t>
        </is>
      </c>
      <c r="N19" t="inlineStr">
        <is>
          <t>Nghĩa</t>
        </is>
      </c>
      <c r="O19" t="b">
        <v>1</v>
      </c>
    </row>
    <row r="20">
      <c r="A20" t="inlineStr">
        <is>
          <t>iPad Pro  M4  11" 256 GB Wifi</t>
        </is>
      </c>
      <c r="B20" s="25" t="n"/>
      <c r="C20" s="113" t="inlineStr">
        <is>
          <t>OOS</t>
        </is>
      </c>
      <c r="D20" s="141" t="n">
        <v>28990000</v>
      </c>
      <c r="E20" s="113" t="inlineStr">
        <is>
          <t>OOS</t>
        </is>
      </c>
      <c r="F20" s="133" t="inlineStr">
        <is>
          <t>OOS</t>
        </is>
      </c>
      <c r="G20" s="113" t="inlineStr">
        <is>
          <t>OOS</t>
        </is>
      </c>
      <c r="H20" s="26" t="n"/>
      <c r="I20" s="122">
        <f>IFERROR(E20-W7Q2FY26!E19,"OOS")</f>
        <v/>
      </c>
      <c r="J20">
        <f>IF(I20=0,"",A20 &amp; IF(I20&gt;0," tăng "," giảm ") &amp; TEXT(ABS(I20)/1000,"0") &amp; "K = " &amp; TEXT(E20/1000,"#.##0") &amp; "K")</f>
        <v/>
      </c>
      <c r="M20" t="inlineStr">
        <is>
          <t>CPS</t>
        </is>
      </c>
      <c r="N20" t="inlineStr">
        <is>
          <t>Duy</t>
        </is>
      </c>
      <c r="O20" t="b">
        <v>1</v>
      </c>
    </row>
    <row r="21">
      <c r="A21" t="inlineStr">
        <is>
          <t>iPad Pro  M4  13" 256 GB Wifi</t>
        </is>
      </c>
      <c r="B21" s="3" t="n"/>
      <c r="C21" s="113" t="inlineStr">
        <is>
          <t>OOS</t>
        </is>
      </c>
      <c r="D21" s="113" t="inlineStr">
        <is>
          <t>OOS</t>
        </is>
      </c>
      <c r="E21" s="113" t="inlineStr">
        <is>
          <t>OOS</t>
        </is>
      </c>
      <c r="F21" s="113" t="inlineStr">
        <is>
          <t>OOS</t>
        </is>
      </c>
      <c r="G21" s="113" t="inlineStr">
        <is>
          <t>OOS</t>
        </is>
      </c>
      <c r="H21" s="26" t="n"/>
      <c r="I21" s="122">
        <f>IFERROR(E21-W7Q2FY26!E20,"OOS")</f>
        <v/>
      </c>
      <c r="J21">
        <f>IF(I21=0,"",A21 &amp; IF(I21&gt;0," tăng "," giảm ") &amp; TEXT(ABS(I21)/1000,"0") &amp; "K = " &amp; TEXT(E21/1000,"#.##0") &amp; "K")</f>
        <v/>
      </c>
      <c r="M21" t="inlineStr">
        <is>
          <t>ShopDunk</t>
        </is>
      </c>
      <c r="N21" t="inlineStr">
        <is>
          <t>Đạt</t>
        </is>
      </c>
      <c r="O21" t="b">
        <v>1</v>
      </c>
    </row>
    <row r="22">
      <c r="A22" t="inlineStr">
        <is>
          <t>iPad Pro M5 11” 256GB Wifi</t>
        </is>
      </c>
      <c r="B22" s="3" t="n"/>
      <c r="C22" s="141" t="n">
        <v>29190000</v>
      </c>
      <c r="D22" s="141" t="n">
        <v>28990000</v>
      </c>
      <c r="E22" s="124" t="n">
        <v>28990000</v>
      </c>
      <c r="F22" s="134" t="n">
        <v>28990000</v>
      </c>
      <c r="G22" s="113" t="n">
        <v>28990000</v>
      </c>
      <c r="H22" s="26" t="n"/>
      <c r="I22" s="122">
        <f>IFERROR(E22-W7Q2FY26!E21,"OOS")</f>
        <v/>
      </c>
      <c r="J22">
        <f>IF(I22=0,"",A22 &amp; IF(I22&gt;0," tăng "," giảm ") &amp; TEXT(ABS(I22)/1000,"0") &amp; "K = " &amp; TEXT(E22/1000,"#.##0") &amp; "K")</f>
        <v/>
      </c>
    </row>
    <row r="23">
      <c r="A23" t="inlineStr">
        <is>
          <t>iPad Pro M5 13” 256GB Wifi</t>
        </is>
      </c>
      <c r="B23" s="3" t="n"/>
      <c r="C23" s="136" t="n">
        <v>38990000</v>
      </c>
      <c r="D23" s="140" t="n">
        <v>38990000</v>
      </c>
      <c r="E23" s="113" t="n">
        <v>38990000</v>
      </c>
      <c r="F23" s="133" t="n">
        <v>38990000</v>
      </c>
      <c r="G23" s="113" t="n">
        <v>38990000</v>
      </c>
      <c r="H23" s="26" t="n"/>
      <c r="I23" s="122">
        <f>IFERROR(E23-W7Q2FY26!E22,"OOS")</f>
        <v/>
      </c>
      <c r="J23">
        <f>IF(I23=0,"",A23 &amp; IF(I23&gt;0," tăng "," giảm ") &amp; TEXT(ABS(I23)/1000,"0") &amp; "K = " &amp; TEXT(E23/1000,"#.##0") &amp; "K")</f>
        <v/>
      </c>
    </row>
    <row r="24">
      <c r="A24" t="inlineStr">
        <is>
          <t>AW SE 3 (40mm GPS)</t>
        </is>
      </c>
      <c r="B24" s="25" t="n"/>
      <c r="C24" s="141" t="n">
        <v>6790000</v>
      </c>
      <c r="D24" s="141" t="n">
        <v>6690000</v>
      </c>
      <c r="E24" s="140" t="n">
        <v>6490000</v>
      </c>
      <c r="F24" s="134" t="n">
        <v>6690000</v>
      </c>
      <c r="G24" s="124" t="n">
        <v>6390000</v>
      </c>
      <c r="H24" s="26" t="n">
        <v>100</v>
      </c>
      <c r="I24" s="122">
        <f>IFERROR(E24-W7Q2FY26!E23,"OOS")</f>
        <v/>
      </c>
      <c r="J24">
        <f>IF(I24=0,"",A24 &amp; IF(I24&gt;0," tăng "," giảm ") &amp; TEXT(ABS(I24)/1000,"0") &amp; "K = " &amp; TEXT(E24/1000,"#.##0") &amp; "K")</f>
        <v/>
      </c>
    </row>
    <row r="25">
      <c r="A25" t="inlineStr">
        <is>
          <t>AW SE 3 (40mm LTE)</t>
        </is>
      </c>
      <c r="B25" s="25" t="n"/>
      <c r="C25" s="141" t="n">
        <v>8390000</v>
      </c>
      <c r="D25" s="141" t="n">
        <v>8390000</v>
      </c>
      <c r="E25" s="140" t="n">
        <v>7990000</v>
      </c>
      <c r="F25" s="134" t="n">
        <v>8390000</v>
      </c>
      <c r="G25" s="124" t="n">
        <v>7990000</v>
      </c>
      <c r="H25" s="123" t="n">
        <v>300</v>
      </c>
      <c r="I25" s="122">
        <f>IFERROR(E25-W7Q2FY26!E24,"OOS")</f>
        <v/>
      </c>
      <c r="J25">
        <f>IF(I25=0,"",A25 &amp; IF(I25&gt;0," tăng "," giảm ") &amp; TEXT(ABS(I25)/1000,"0") &amp; "K = " &amp; TEXT(E25/1000,"#.##0") &amp; "K")</f>
        <v/>
      </c>
    </row>
    <row r="26">
      <c r="A26" t="inlineStr">
        <is>
          <t>AW SE 3 (44mm GPS)</t>
        </is>
      </c>
      <c r="B26" s="25" t="n"/>
      <c r="C26" s="141" t="n">
        <v>7690000</v>
      </c>
      <c r="D26" s="141" t="n">
        <v>7590000</v>
      </c>
      <c r="E26" s="140" t="n">
        <v>7390000</v>
      </c>
      <c r="F26" s="134" t="n">
        <v>7690000</v>
      </c>
      <c r="G26" s="124" t="n">
        <v>7290000</v>
      </c>
      <c r="H26" s="26" t="n">
        <v>200</v>
      </c>
      <c r="I26" s="122">
        <f>IFERROR(E26-W7Q2FY26!E25,"OOS")</f>
        <v/>
      </c>
      <c r="J26">
        <f>IF(I26=0,"",A26 &amp; IF(I26&gt;0," tăng "," giảm ") &amp; TEXT(ABS(I26)/1000,"0") &amp; "K = " &amp; TEXT(E26/1000,"#.##0") &amp; "K")</f>
        <v/>
      </c>
    </row>
    <row r="27">
      <c r="A27" t="inlineStr">
        <is>
          <t>AW SE 3 (44mm LTE)</t>
        </is>
      </c>
      <c r="B27" s="25" t="n"/>
      <c r="C27" s="141" t="n">
        <v>9190000</v>
      </c>
      <c r="D27" s="141" t="n">
        <v>9190000</v>
      </c>
      <c r="E27" s="140" t="n">
        <v>8990000</v>
      </c>
      <c r="F27" s="134" t="n">
        <v>9190000</v>
      </c>
      <c r="G27" s="113" t="n">
        <v>8690000</v>
      </c>
      <c r="H27" s="26" t="n"/>
      <c r="I27" s="122">
        <f>IFERROR(E27-W7Q2FY26!E26,"OOS")</f>
        <v/>
      </c>
      <c r="J27">
        <f>IF(I27=0,"",A27 &amp; IF(I27&gt;0," tăng "," giảm ") &amp; TEXT(ABS(I27)/1000,"0") &amp; "K = " &amp; TEXT(E27/1000,"#.##0") &amp; "K")</f>
        <v/>
      </c>
    </row>
    <row r="28">
      <c r="A28" t="inlineStr">
        <is>
          <t>AW S11 (42mm GPS)</t>
        </is>
      </c>
      <c r="B28" s="3" t="n"/>
      <c r="C28" s="141" t="n">
        <v>11190000</v>
      </c>
      <c r="D28" s="141" t="n">
        <v>11890000</v>
      </c>
      <c r="E28" s="140" t="n">
        <v>10690000</v>
      </c>
      <c r="F28" s="134" t="n">
        <v>11090000</v>
      </c>
      <c r="G28" s="113" t="n">
        <v>8990000</v>
      </c>
      <c r="H28" s="26" t="n"/>
      <c r="I28" s="122">
        <f>IFERROR(E28-W7Q2FY26!E27,"OOS")</f>
        <v/>
      </c>
      <c r="J28">
        <f>IF(I28=0,"",A28 &amp; IF(I28&gt;0," tăng "," giảm ") &amp; TEXT(ABS(I28)/1000,"0") &amp; "K = " &amp; TEXT(E28/1000,"#.##0") &amp; "K")</f>
        <v/>
      </c>
    </row>
    <row r="29">
      <c r="A29" t="inlineStr">
        <is>
          <t>AW S11 (42mm CEL)</t>
        </is>
      </c>
      <c r="B29" s="3" t="n"/>
      <c r="C29" s="141" t="n">
        <v>14090000</v>
      </c>
      <c r="D29" s="141" t="n">
        <v>14090000</v>
      </c>
      <c r="E29" s="140" t="n">
        <v>13990000</v>
      </c>
      <c r="F29" s="134" t="n">
        <v>14090000</v>
      </c>
      <c r="G29" s="113" t="n">
        <v>11990000</v>
      </c>
      <c r="H29" s="26" t="n"/>
      <c r="I29" s="122">
        <f>IFERROR(E29-W7Q2FY26!E28,"OOS")</f>
        <v/>
      </c>
      <c r="J29">
        <f>IF(I29=0,"",A29 &amp; IF(I29&gt;0," tăng "," giảm ") &amp; TEXT(ABS(I29)/1000,"0") &amp; "K = " &amp; TEXT(E29/1000,"#.##0") &amp; "K")</f>
        <v/>
      </c>
    </row>
    <row r="30">
      <c r="A30" t="inlineStr">
        <is>
          <t>AW S11 (46mm GPS)</t>
        </is>
      </c>
      <c r="B30" s="3" t="n"/>
      <c r="C30" s="141" t="n">
        <v>11990000</v>
      </c>
      <c r="D30" s="136" t="n">
        <v>9990000</v>
      </c>
      <c r="E30" s="140" t="n">
        <v>11490000</v>
      </c>
      <c r="F30" s="134" t="n">
        <v>11890000</v>
      </c>
      <c r="G30" s="111" t="n">
        <v>9990000</v>
      </c>
      <c r="H30" s="26" t="n"/>
      <c r="I30" s="122">
        <f>IFERROR(E30-W7Q2FY26!E29,"OOS")</f>
        <v/>
      </c>
      <c r="J30">
        <f>IF(I30=0,"",A30 &amp; IF(I30&gt;0," tăng "," giảm ") &amp; TEXT(ABS(I30)/1000,"0") &amp; "K = " &amp; TEXT(E30/1000,"#.##0") &amp; "K")</f>
        <v/>
      </c>
    </row>
    <row r="31">
      <c r="A31" t="inlineStr">
        <is>
          <t>AW S11 (46mm CEL)</t>
        </is>
      </c>
      <c r="B31" s="3" t="n"/>
      <c r="C31" s="141" t="inlineStr">
        <is>
          <t>OOS</t>
        </is>
      </c>
      <c r="D31" s="141" t="n">
        <v>14990000</v>
      </c>
      <c r="E31" s="140" t="n">
        <v>14490000</v>
      </c>
      <c r="F31" s="134" t="n">
        <v>14990000</v>
      </c>
      <c r="G31" s="111" t="n">
        <v>12990000</v>
      </c>
      <c r="H31" s="26" t="n"/>
      <c r="I31" s="122">
        <f>IFERROR(E31-W7Q2FY26!E30,"OOS")</f>
        <v/>
      </c>
      <c r="J31">
        <f>IF(I31=0,"",A31 &amp; IF(I31&gt;0," tăng "," giảm ") &amp; TEXT(ABS(I31)/1000,"0") &amp; "K = " &amp; TEXT(E31/1000,"#.##0") &amp; "K")</f>
        <v/>
      </c>
    </row>
    <row r="32">
      <c r="A32" t="inlineStr">
        <is>
          <t>AW Ultra 3 (49mm)</t>
        </is>
      </c>
      <c r="B32" s="25" t="n"/>
      <c r="C32" s="136" t="n">
        <v>23490000</v>
      </c>
      <c r="D32" s="136" t="n">
        <v>22990000</v>
      </c>
      <c r="E32" s="113" t="n">
        <v>22490000</v>
      </c>
      <c r="F32" s="133" t="n">
        <v>22990000</v>
      </c>
      <c r="G32" s="111" t="n">
        <v>22990000</v>
      </c>
      <c r="H32" s="26" t="n"/>
      <c r="I32" s="122">
        <f>IFERROR(E32-W7Q2FY26!E31,"OOS")</f>
        <v/>
      </c>
      <c r="J32">
        <f>IF(I32=0,"",A32 &amp; IF(I32&gt;0," tăng "," giảm ") &amp; TEXT(ABS(I32)/1000,"0") &amp; "K = " &amp; TEXT(E32/1000,"#.##0") &amp; "K")</f>
        <v/>
      </c>
    </row>
    <row r="33">
      <c r="A33" t="inlineStr">
        <is>
          <t>AirPods Pro 2 - 2023 (C-Type)</t>
        </is>
      </c>
      <c r="B33" s="3" t="n"/>
      <c r="C33" s="136" t="n">
        <v>4890000</v>
      </c>
      <c r="D33" s="136" t="n">
        <v>4990000</v>
      </c>
      <c r="E33" s="131" t="inlineStr">
        <is>
          <t>OOS</t>
        </is>
      </c>
      <c r="F33" s="133" t="n">
        <v>4950000</v>
      </c>
      <c r="G33" s="111" t="n">
        <v>5590000</v>
      </c>
      <c r="H33" s="26" t="n"/>
      <c r="I33" s="122">
        <f>IFERROR(E33-W7Q2FY26!E32,"OOS")</f>
        <v/>
      </c>
      <c r="J33">
        <f>IF(I33=0,"",A33 &amp; IF(I33&gt;0," tăng "," giảm ") &amp; TEXT(ABS(I33)/1000,"0") &amp; "K = " &amp; TEXT(E33/1000,"#.##0") &amp; "K")</f>
        <v/>
      </c>
    </row>
    <row r="34">
      <c r="A34" t="inlineStr">
        <is>
          <t>AirPods 4 ANC</t>
        </is>
      </c>
      <c r="B34" s="3" t="n"/>
      <c r="C34" s="141" t="n">
        <v>4590000</v>
      </c>
      <c r="D34" s="136" t="n">
        <v>4190000</v>
      </c>
      <c r="E34" s="140" t="n">
        <v>4490000</v>
      </c>
      <c r="F34" s="134" t="n">
        <v>4550000</v>
      </c>
      <c r="G34" s="124" t="n">
        <v>4390000</v>
      </c>
      <c r="H34" s="26" t="n">
        <v>100</v>
      </c>
      <c r="I34" s="122">
        <f>IFERROR(E34-W7Q2FY26!E33,"OOS")</f>
        <v/>
      </c>
      <c r="J34">
        <f>IF(I34=0,"",A34 &amp; IF(I34&gt;0," tăng "," giảm ") &amp; TEXT(ABS(I34)/1000,"0") &amp; "K = " &amp; TEXT(E34/1000,"#.##0") &amp; "K")</f>
        <v/>
      </c>
    </row>
    <row r="35">
      <c r="A35" t="inlineStr">
        <is>
          <t>AirPods 4 with charging case</t>
        </is>
      </c>
      <c r="B35" s="3" t="n"/>
      <c r="C35" s="141" t="n">
        <v>3490000</v>
      </c>
      <c r="D35" s="141" t="n">
        <v>3490000</v>
      </c>
      <c r="E35" s="140" t="n">
        <v>3390000</v>
      </c>
      <c r="F35" s="134" t="n">
        <v>3490000</v>
      </c>
      <c r="G35" s="112" t="n">
        <v>2990000</v>
      </c>
      <c r="H35" s="26" t="n">
        <v>100</v>
      </c>
      <c r="I35" s="122">
        <f>IFERROR(E35-W7Q2FY26!E34,"OOS")</f>
        <v/>
      </c>
      <c r="J35">
        <f>IF(I35=0,"",A35 &amp; IF(I35&gt;0," tăng "," giảm ") &amp; TEXT(ABS(I35)/1000,"0") &amp; "K = " &amp; TEXT(E35/1000,"#.##0") &amp; "K")</f>
        <v/>
      </c>
    </row>
    <row r="36">
      <c r="A36" t="inlineStr">
        <is>
          <t>AirPods Pro 3</t>
        </is>
      </c>
      <c r="B36" s="3" t="n"/>
      <c r="C36" s="141" t="n">
        <v>6590000</v>
      </c>
      <c r="D36" s="136" t="n">
        <v>6390000</v>
      </c>
      <c r="E36" s="135" t="n">
        <v>6290000</v>
      </c>
      <c r="F36" s="134" t="n">
        <v>6390000</v>
      </c>
      <c r="G36" s="113" t="n">
        <v>6490000</v>
      </c>
      <c r="H36" s="26" t="n"/>
      <c r="I36" s="122">
        <f>IFERROR(E36-W7Q2FY26!E35,"OOS")</f>
        <v/>
      </c>
      <c r="J36">
        <f>IF(I36=0,"",A36 &amp; IF(I36&gt;0," tăng "," giảm ") &amp; TEXT(ABS(I36)/1000,"0") &amp; "K = " &amp; TEXT(E36/1000,"#.##0") &amp; "K")</f>
        <v/>
      </c>
    </row>
    <row r="37">
      <c r="A37" t="inlineStr">
        <is>
          <t>MacBook Air 13" M2 16/256GB</t>
        </is>
      </c>
      <c r="B37" s="25" t="n"/>
      <c r="C37" s="136" t="n">
        <v>19690000</v>
      </c>
      <c r="D37" s="136" t="n">
        <v>19690000</v>
      </c>
      <c r="E37" s="143" t="n"/>
      <c r="F37" s="133" t="n">
        <v>19690000</v>
      </c>
      <c r="G37" s="111" t="n">
        <v>18990000</v>
      </c>
      <c r="H37" s="26" t="n"/>
      <c r="I37" s="122">
        <f>IFERROR(E37-W7Q2FY26!E36,"OOS")</f>
        <v/>
      </c>
    </row>
    <row r="38">
      <c r="B38" s="25" t="n"/>
      <c r="C38" s="136" t="n"/>
      <c r="D38" s="136" t="n"/>
      <c r="E38" s="143" t="n"/>
      <c r="F38" s="133" t="n"/>
      <c r="G38" s="111" t="n"/>
      <c r="H38" s="26" t="n"/>
    </row>
    <row r="39">
      <c r="B39" s="25" t="n"/>
      <c r="C39" s="136" t="n"/>
      <c r="D39" s="136" t="n"/>
      <c r="E39" s="143" t="n"/>
      <c r="F39" s="133" t="n"/>
      <c r="G39" s="111" t="n"/>
      <c r="H39" s="26" t="n"/>
    </row>
    <row r="40">
      <c r="A40" t="inlineStr">
        <is>
          <t>MacBook Air 13" M4 16/256GB</t>
        </is>
      </c>
      <c r="B40" s="3" t="n"/>
      <c r="C40" s="141" t="n">
        <v>25290000</v>
      </c>
      <c r="D40" s="141" t="n">
        <v>25290000</v>
      </c>
      <c r="E40" s="143" t="n"/>
      <c r="F40" s="134" t="n">
        <v>25290000</v>
      </c>
      <c r="G40" s="112" t="n">
        <v>25290000</v>
      </c>
      <c r="H40" s="26">
        <f>25290-23690</f>
        <v/>
      </c>
      <c r="I40" s="122">
        <f>IFERROR(E40-W7Q2FY26!E37,"OOS")</f>
        <v/>
      </c>
    </row>
    <row r="41">
      <c r="A41" t="inlineStr">
        <is>
          <t>MacBook Air 15" M4 16/256GB</t>
        </is>
      </c>
      <c r="B41" s="25" t="n"/>
      <c r="C41" s="141" t="n">
        <v>29990000</v>
      </c>
      <c r="D41" s="141" t="n">
        <v>29990000</v>
      </c>
      <c r="E41" s="143" t="n"/>
      <c r="F41" s="133" t="n">
        <v>28990000</v>
      </c>
      <c r="G41" s="112" t="n">
        <v>28990000</v>
      </c>
      <c r="H41" s="26" t="n">
        <v>400</v>
      </c>
      <c r="I41" s="122">
        <f>IFERROR(E41-W7Q2FY26!E38,"OOS")</f>
        <v/>
      </c>
    </row>
    <row r="42">
      <c r="A42" t="inlineStr">
        <is>
          <t>MacBook Pro 14" M4 16/512GB</t>
        </is>
      </c>
      <c r="B42" s="25" t="n"/>
      <c r="C42" s="136" t="inlineStr">
        <is>
          <t>OOS</t>
        </is>
      </c>
      <c r="D42" s="136" t="inlineStr">
        <is>
          <t>OOS</t>
        </is>
      </c>
      <c r="E42" s="143" t="n"/>
      <c r="F42" s="133" t="n">
        <v>38590000</v>
      </c>
      <c r="G42" s="111" t="n">
        <v>38390000</v>
      </c>
      <c r="H42" s="26" t="n"/>
      <c r="I42" s="122">
        <f>IFERROR(E42-W7Q2FY26!E39,"OOS")</f>
        <v/>
      </c>
    </row>
    <row r="43">
      <c r="A43" t="inlineStr">
        <is>
          <t>MacBook Pro 14" M5 16/512GB</t>
        </is>
      </c>
      <c r="B43" s="25" t="n"/>
      <c r="C43" s="136" t="n">
        <v>41890000</v>
      </c>
      <c r="D43" s="136" t="n">
        <v>40690000</v>
      </c>
      <c r="E43" s="143" t="n"/>
      <c r="F43" s="133" t="n">
        <v>41990000</v>
      </c>
      <c r="G43" s="112" t="n">
        <v>41690000</v>
      </c>
      <c r="H43" s="26" t="n">
        <v>-300</v>
      </c>
      <c r="I43" s="122">
        <f>IFERROR(E43-W7Q2FY26!E40,"OOS")</f>
        <v/>
      </c>
    </row>
    <row r="44">
      <c r="A44" t="inlineStr">
        <is>
          <t>MacBook Pro 16" M4 24/512GB</t>
        </is>
      </c>
      <c r="B44" s="25" t="n"/>
      <c r="C44" s="136" t="inlineStr">
        <is>
          <t>OOS</t>
        </is>
      </c>
      <c r="D44" s="136" t="n">
        <v>63990000</v>
      </c>
      <c r="E44" s="143" t="n"/>
      <c r="F44" s="133" t="n">
        <v>63990000</v>
      </c>
      <c r="G44" s="111" t="n">
        <v>63990000</v>
      </c>
      <c r="I44" s="122">
        <f>IFERROR(E44-W7Q2FY26!E41,"OOS")</f>
        <v/>
      </c>
    </row>
    <row r="45">
      <c r="C45" s="125" t="n"/>
      <c r="D45" s="125" t="n"/>
    </row>
    <row r="46">
      <c r="C46" s="125" t="n"/>
      <c r="D46" s="125" t="n"/>
    </row>
    <row r="47">
      <c r="C47" s="125" t="n"/>
      <c r="D47" s="125" t="n"/>
    </row>
    <row r="48">
      <c r="C48" s="125" t="n"/>
      <c r="D48" s="125" t="n"/>
    </row>
    <row r="49">
      <c r="C49" s="125" t="n"/>
      <c r="D49" s="125" t="n"/>
    </row>
    <row r="50">
      <c r="C50" s="125" t="n"/>
      <c r="D50" s="125" t="n"/>
    </row>
    <row r="51">
      <c r="C51" s="125" t="n"/>
      <c r="D51" s="125" t="n"/>
    </row>
    <row r="52">
      <c r="C52" s="125" t="n"/>
      <c r="D52" s="125" t="n"/>
    </row>
    <row r="53">
      <c r="C53" s="125" t="n"/>
      <c r="D53" s="125" t="n"/>
    </row>
    <row r="54">
      <c r="C54" s="125" t="n"/>
      <c r="D54" s="125" t="n"/>
    </row>
    <row r="55">
      <c r="C55" s="125" t="n"/>
      <c r="D55" s="125" t="n"/>
    </row>
    <row r="56">
      <c r="C56" s="125" t="n"/>
      <c r="D56" s="125" t="n"/>
    </row>
    <row r="57">
      <c r="C57" s="125" t="n"/>
      <c r="D57" s="125" t="n"/>
    </row>
    <row r="58">
      <c r="C58" s="125" t="n"/>
      <c r="D58" s="125" t="n"/>
    </row>
    <row r="59">
      <c r="C59" s="125" t="n"/>
      <c r="D59" s="125" t="n"/>
    </row>
    <row r="60">
      <c r="C60" s="125" t="n"/>
      <c r="D60" s="125" t="n"/>
    </row>
    <row r="61">
      <c r="C61" s="125" t="n"/>
      <c r="D61" s="125" t="n"/>
    </row>
    <row r="62">
      <c r="C62" s="125" t="n"/>
      <c r="D62" s="125" t="n"/>
    </row>
    <row r="63">
      <c r="C63" s="125" t="n"/>
      <c r="D63" s="125" t="n"/>
    </row>
    <row r="64">
      <c r="C64" s="125" t="n"/>
      <c r="D64" s="125" t="n"/>
    </row>
    <row r="65">
      <c r="C65" s="125" t="n"/>
      <c r="D65" s="125" t="n"/>
    </row>
    <row r="66">
      <c r="C66" s="125" t="n"/>
      <c r="D66" s="125" t="n"/>
    </row>
    <row r="67">
      <c r="C67" s="125" t="n"/>
      <c r="D67" s="125" t="n"/>
    </row>
    <row r="68">
      <c r="C68" s="125" t="n"/>
      <c r="D68" s="125" t="n"/>
    </row>
    <row r="69">
      <c r="C69" s="125" t="n"/>
      <c r="D69" s="125" t="n"/>
    </row>
    <row r="70">
      <c r="C70" s="125" t="n"/>
      <c r="D70" s="125" t="n"/>
    </row>
    <row r="71">
      <c r="C71" s="125" t="n"/>
      <c r="D71" s="125" t="n"/>
    </row>
    <row r="72">
      <c r="C72" s="125" t="n"/>
      <c r="D72" s="125" t="n"/>
    </row>
    <row r="73">
      <c r="C73" s="125" t="n"/>
      <c r="D73" s="125" t="n"/>
    </row>
    <row r="74">
      <c r="C74" s="125" t="n"/>
      <c r="D74" s="125" t="n"/>
    </row>
    <row r="75">
      <c r="C75" s="125" t="n"/>
      <c r="D75" s="125" t="n"/>
    </row>
    <row r="76">
      <c r="C76" s="125" t="n"/>
      <c r="D76" s="125" t="n"/>
    </row>
    <row r="77">
      <c r="C77" s="125" t="n"/>
      <c r="D77" s="125" t="n"/>
    </row>
    <row r="78">
      <c r="C78" s="125" t="n"/>
      <c r="D78" s="125" t="n"/>
    </row>
    <row r="79">
      <c r="C79" s="125" t="n"/>
      <c r="D79" s="125" t="n"/>
    </row>
    <row r="80">
      <c r="C80" s="125" t="n"/>
      <c r="D80" s="125" t="n"/>
    </row>
    <row r="81">
      <c r="C81" s="125" t="n"/>
      <c r="D81" s="125" t="n"/>
    </row>
    <row r="82">
      <c r="C82" s="125" t="n"/>
      <c r="D82" s="125" t="n"/>
    </row>
    <row r="83">
      <c r="C83" s="125" t="n"/>
      <c r="D83" s="125" t="n"/>
    </row>
    <row r="84">
      <c r="C84" s="125" t="n"/>
      <c r="D84" s="125" t="n"/>
    </row>
    <row r="85">
      <c r="C85" s="125" t="n"/>
      <c r="D85" s="125" t="n"/>
    </row>
    <row r="86">
      <c r="C86" s="125" t="n"/>
      <c r="D86" s="125" t="n"/>
    </row>
    <row r="87">
      <c r="C87" s="125" t="n"/>
      <c r="D87" s="125" t="n"/>
    </row>
    <row r="88">
      <c r="C88" s="125" t="n"/>
      <c r="D88" s="125" t="n"/>
    </row>
    <row r="89">
      <c r="C89" s="125" t="n"/>
      <c r="D89" s="125" t="n"/>
    </row>
    <row r="90">
      <c r="C90" s="125" t="n"/>
      <c r="D90" s="125" t="n"/>
    </row>
    <row r="91">
      <c r="C91" s="125" t="n"/>
      <c r="D91" s="125" t="n"/>
    </row>
    <row r="92">
      <c r="C92" s="125" t="n"/>
      <c r="D92" s="125" t="n"/>
    </row>
    <row r="93">
      <c r="C93" s="125" t="n"/>
      <c r="D93" s="125" t="n"/>
    </row>
    <row r="94">
      <c r="C94" s="125" t="n"/>
      <c r="D94" s="125" t="n"/>
    </row>
    <row r="95">
      <c r="C95" s="125" t="n"/>
      <c r="D95" s="125" t="n"/>
    </row>
    <row r="96">
      <c r="C96" s="125" t="n"/>
      <c r="D96" s="125" t="n"/>
    </row>
    <row r="97">
      <c r="C97" s="125" t="n"/>
      <c r="D97" s="125" t="n"/>
    </row>
    <row r="98">
      <c r="C98" s="125" t="n"/>
      <c r="D98" s="125" t="n"/>
    </row>
    <row r="99">
      <c r="C99" s="125" t="n"/>
      <c r="D99" s="125" t="n"/>
    </row>
    <row r="100">
      <c r="C100" s="125" t="n"/>
      <c r="D100" s="125" t="n"/>
    </row>
    <row r="101">
      <c r="C101" s="125" t="n"/>
      <c r="D101" s="125" t="n"/>
    </row>
    <row r="102">
      <c r="C102" s="125" t="n"/>
      <c r="D102" s="125" t="n"/>
    </row>
    <row r="103">
      <c r="C103" s="125" t="n"/>
      <c r="D103" s="125" t="n"/>
    </row>
    <row r="104">
      <c r="C104" s="125" t="n"/>
      <c r="D104" s="125" t="n"/>
    </row>
    <row r="105">
      <c r="C105" s="125" t="n"/>
      <c r="D105" s="125" t="n"/>
    </row>
    <row r="106">
      <c r="C106" s="125" t="n"/>
      <c r="D106" s="125" t="n"/>
    </row>
    <row r="107">
      <c r="C107" s="125" t="n"/>
      <c r="D107" s="125" t="n"/>
    </row>
    <row r="108">
      <c r="C108" s="125" t="n"/>
      <c r="D108" s="125" t="n"/>
    </row>
    <row r="109">
      <c r="C109" s="125" t="n"/>
      <c r="D109" s="125" t="n"/>
    </row>
    <row r="110">
      <c r="C110" s="125" t="n"/>
      <c r="D110" s="125" t="n"/>
    </row>
    <row r="111">
      <c r="C111" s="125" t="n"/>
      <c r="D111" s="125" t="n"/>
    </row>
    <row r="112">
      <c r="C112" s="125" t="n"/>
      <c r="D112" s="125" t="n"/>
    </row>
    <row r="113">
      <c r="C113" s="125" t="n"/>
      <c r="D113" s="125" t="n"/>
    </row>
    <row r="114">
      <c r="C114" s="125" t="n"/>
      <c r="D114" s="125" t="n"/>
    </row>
    <row r="115">
      <c r="C115" s="125" t="n"/>
      <c r="D115" s="125" t="n"/>
    </row>
    <row r="116">
      <c r="C116" s="125" t="n"/>
      <c r="D116" s="125" t="n"/>
    </row>
    <row r="117">
      <c r="C117" s="125" t="n"/>
      <c r="D117" s="125" t="n"/>
    </row>
    <row r="118">
      <c r="C118" s="125" t="n"/>
      <c r="D118" s="125" t="n"/>
    </row>
    <row r="119">
      <c r="C119" s="125" t="n"/>
      <c r="D119" s="125" t="n"/>
    </row>
    <row r="120">
      <c r="C120" s="125" t="n"/>
      <c r="D120" s="125" t="n"/>
    </row>
    <row r="121">
      <c r="C121" s="125" t="n"/>
      <c r="D121" s="125" t="n"/>
    </row>
    <row r="122">
      <c r="C122" s="125" t="n"/>
      <c r="D122" s="125" t="n"/>
    </row>
    <row r="123">
      <c r="C123" s="125" t="n"/>
      <c r="D123" s="125" t="n"/>
    </row>
    <row r="124">
      <c r="C124" s="125" t="n"/>
      <c r="D124" s="125" t="n"/>
    </row>
    <row r="125">
      <c r="C125" s="125" t="n"/>
      <c r="D125" s="125" t="n"/>
    </row>
    <row r="126">
      <c r="C126" s="125" t="n"/>
      <c r="D126" s="125" t="n"/>
    </row>
    <row r="127">
      <c r="C127" s="125" t="n"/>
      <c r="D127" s="125" t="n"/>
    </row>
    <row r="128">
      <c r="C128" s="125" t="n"/>
      <c r="D128" s="125" t="n"/>
    </row>
    <row r="129">
      <c r="C129" s="125" t="n"/>
      <c r="D129" s="125" t="n"/>
    </row>
    <row r="130">
      <c r="C130" s="125" t="n"/>
      <c r="D130" s="125" t="n"/>
    </row>
    <row r="131">
      <c r="C131" s="125" t="n"/>
      <c r="D131" s="125" t="n"/>
    </row>
    <row r="132">
      <c r="C132" s="125" t="n"/>
      <c r="D132" s="125" t="n"/>
    </row>
    <row r="133">
      <c r="C133" s="125" t="n"/>
      <c r="D133" s="125" t="n"/>
    </row>
    <row r="134">
      <c r="C134" s="125" t="n"/>
      <c r="D134" s="125" t="n"/>
    </row>
    <row r="135">
      <c r="C135" s="125" t="n"/>
      <c r="D135" s="125" t="n"/>
    </row>
    <row r="136">
      <c r="C136" s="125" t="n"/>
      <c r="D136" s="125" t="n"/>
    </row>
    <row r="137">
      <c r="C137" s="125" t="n"/>
      <c r="D137" s="125" t="n"/>
    </row>
    <row r="138">
      <c r="C138" s="125" t="n"/>
      <c r="D138" s="125" t="n"/>
    </row>
    <row r="139">
      <c r="C139" s="125" t="n"/>
      <c r="D139" s="125" t="n"/>
    </row>
    <row r="140">
      <c r="C140" s="125" t="n"/>
      <c r="D140" s="125" t="n"/>
    </row>
    <row r="141">
      <c r="C141" s="125" t="n"/>
      <c r="D141" s="125" t="n"/>
    </row>
    <row r="142">
      <c r="C142" s="125" t="n"/>
      <c r="D142" s="125" t="n"/>
    </row>
    <row r="143">
      <c r="C143" s="125" t="n"/>
      <c r="D143" s="125" t="n"/>
    </row>
    <row r="144">
      <c r="C144" s="125" t="n"/>
      <c r="D144" s="125" t="n"/>
    </row>
    <row r="145">
      <c r="C145" s="125" t="n"/>
      <c r="D145" s="125" t="n"/>
    </row>
    <row r="146">
      <c r="C146" s="125" t="n"/>
      <c r="D146" s="125" t="n"/>
    </row>
    <row r="147">
      <c r="C147" s="125" t="n"/>
      <c r="D147" s="125" t="n"/>
    </row>
    <row r="148">
      <c r="C148" s="125" t="n"/>
      <c r="D148" s="125" t="n"/>
    </row>
    <row r="149">
      <c r="C149" s="125" t="n"/>
      <c r="D149" s="125" t="n"/>
    </row>
    <row r="150">
      <c r="C150" s="125" t="n"/>
      <c r="D150" s="125" t="n"/>
    </row>
    <row r="151">
      <c r="C151" s="125" t="n"/>
      <c r="D151" s="125" t="n"/>
    </row>
    <row r="152">
      <c r="C152" s="125" t="n"/>
      <c r="D152" s="125" t="n"/>
    </row>
    <row r="153">
      <c r="C153" s="125" t="n"/>
      <c r="D153" s="125" t="n"/>
    </row>
    <row r="154">
      <c r="C154" s="125" t="n"/>
      <c r="D154" s="125" t="n"/>
    </row>
    <row r="155">
      <c r="C155" s="125" t="n"/>
      <c r="D155" s="125" t="n"/>
    </row>
    <row r="156">
      <c r="C156" s="125" t="n"/>
      <c r="D156" s="125" t="n"/>
    </row>
  </sheetData>
  <conditionalFormatting sqref="E3:E44">
    <cfRule type="expression" priority="2" dxfId="3">
      <formula>$I3=0</formula>
    </cfRule>
  </conditionalFormatting>
  <conditionalFormatting sqref="E3:E1003">
    <cfRule type="expression" priority="1" dxfId="2">
      <formula>AND($I3&lt;&gt;0,$I3&lt;&gt;"")</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7.xml><?xml version="1.0" encoding="utf-8"?>
<worksheet xmlns="http://schemas.openxmlformats.org/spreadsheetml/2006/main">
  <sheetPr>
    <outlinePr summaryBelow="1" summaryRight="1"/>
    <pageSetUpPr/>
  </sheetPr>
  <dimension ref="A1:V156"/>
  <sheetViews>
    <sheetView showGridLines="0" zoomScale="65" zoomScaleNormal="50" workbookViewId="0">
      <pane xSplit="2" ySplit="1" topLeftCell="G6" activePane="bottomRight" state="frozen"/>
      <selection pane="bottomRight" activeCell="C1" sqref="C1"/>
      <selection pane="bottomLeft" activeCell="A2" sqref="A2"/>
      <selection pane="topRight" activeCell="C1" sqref="C1"/>
    </sheetView>
  </sheetViews>
  <sheetFormatPr baseColWidth="8" defaultColWidth="11" defaultRowHeight="15.95"/>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4.875" customWidth="1" style="35" min="7" max="7"/>
    <col width="13" customWidth="1" style="35" min="13" max="13"/>
    <col width="48.375" customWidth="1" style="35" min="14" max="14"/>
    <col width="19" customWidth="1" style="35" min="15" max="15"/>
    <col width="40.125" customWidth="1" style="35" min="16" max="16"/>
    <col width="13.5" customWidth="1" style="35" min="17" max="17"/>
    <col width="46" customWidth="1" style="35" min="18" max="18"/>
    <col width="12.625" customWidth="1" style="35" min="19" max="19"/>
    <col width="38" customWidth="1" style="35" min="20" max="20"/>
    <col width="12.625" customWidth="1" style="35" min="21" max="21"/>
    <col width="49"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7" t="n"/>
      <c r="D2" s="128" t="n">
        <v>17990000</v>
      </c>
      <c r="E2" s="129" t="n"/>
      <c r="F2" s="126" t="n">
        <v>17990000</v>
      </c>
      <c r="G2" s="126" t="n">
        <v>17990000</v>
      </c>
      <c r="M2" s="149">
        <f>IFERROR(C2-W9Q2FY26!C2,"OOS")</f>
        <v/>
      </c>
      <c r="N2" s="147">
        <f>IF(M2=0,"",$A2 &amp; IF(M2&gt;0," tăng "," giảm ") &amp; TEXT(ABS(M2)/1000,"0") &amp; "K = " &amp; TEXT(C2/1000,"#.##0") &amp; "K")</f>
        <v/>
      </c>
      <c r="O2" s="150">
        <f>IFERROR(D2-W9Q2FY26!D2,"OOS")</f>
        <v/>
      </c>
      <c r="P2" s="147">
        <f>IF(O2=0,"",$A2 &amp; IF(O2&gt;0," tăng "," giảm ") &amp; TEXT(ABS(O2)/1000,"0") &amp; "K = " &amp; TEXT(D2/1000,"#.##0") &amp; "K")</f>
        <v/>
      </c>
      <c r="Q2" s="150">
        <f>IFERROR(E2-W9Q2FY26!E2,"OOS")</f>
        <v/>
      </c>
      <c r="R2" s="147">
        <f>IF(Q2=0,"",$A2 &amp; IF(Q2&gt;0," tăng "," giảm ") &amp; TEXT(ABS(Q2)/1000,"0") &amp; "K = " &amp; TEXT(E2/1000,"#.##0") &amp; "K")</f>
        <v/>
      </c>
      <c r="S2" s="150">
        <f>IFERROR(F2-W9Q2FY26!F2,"OOS")</f>
        <v/>
      </c>
      <c r="T2" s="147">
        <f>IF(S2=0,"",$A2 &amp; IF(S2&gt;0," tăng "," giảm ") &amp; TEXT(ABS(S2)/1000,"0") &amp; "K = " &amp; TEXT(F2/1000,"#.##0") &amp; "K")</f>
        <v/>
      </c>
      <c r="U2" s="150">
        <f>IFERROR(G2-W9Q2FY26!G2,"OOS")</f>
        <v/>
      </c>
      <c r="V2" s="147">
        <f>IF(U2=0,"",$A2 &amp; IF(U2&gt;0," tăng "," giảm ") &amp; TEXT(ABS(U2)/1000,"0") &amp; "K = " &amp; TEXT(G2/1000,"#.##0") &amp; "K")</f>
        <v/>
      </c>
    </row>
    <row r="3">
      <c r="A3" t="inlineStr">
        <is>
          <t>iPhone 17  256GB</t>
        </is>
      </c>
      <c r="B3" s="83" t="n"/>
      <c r="C3" s="130" t="n">
        <v>24890000</v>
      </c>
      <c r="D3" s="128" t="n">
        <v>24690000</v>
      </c>
      <c r="E3" s="131" t="n">
        <v>24190000</v>
      </c>
      <c r="F3" s="132" t="n">
        <v>24590000</v>
      </c>
      <c r="G3" s="111" t="n">
        <v>24490000</v>
      </c>
      <c r="M3" s="149">
        <f>IFERROR(C3-W9Q2FY26!C3,"OOS")</f>
        <v/>
      </c>
      <c r="N3" s="147">
        <f>IF(M3=0,"",$A3 &amp; IF(M3&gt;0," tăng "," giảm ") &amp; TEXT(ABS(M3)/1000,"0") &amp; "K = " &amp; TEXT(C3/1000,"#.##0") &amp; "K")</f>
        <v/>
      </c>
      <c r="O3" s="150">
        <f>IFERROR(D3-W9Q2FY26!D3,"OOS")</f>
        <v/>
      </c>
      <c r="P3" s="147">
        <f>IF(O3=0,"",$A3 &amp; IF(O3&gt;0," tăng "," giảm ") &amp; TEXT(ABS(O3)/1000,"0") &amp; "K = " &amp; TEXT(D3/1000,"#.##0") &amp; "K")</f>
        <v/>
      </c>
      <c r="Q3" s="150">
        <f>IFERROR(E3-W9Q2FY26!E3,"OOS")</f>
        <v/>
      </c>
      <c r="R3" s="147">
        <f>IF(Q3=0,"",$A3 &amp; IF(Q3&gt;0," tăng "," giảm ") &amp; TEXT(ABS(Q3)/1000,"0") &amp; "K = " &amp; TEXT(E3/1000,"#.##0") &amp; "K")</f>
        <v/>
      </c>
      <c r="S3" s="150">
        <f>IFERROR(F3-W9Q2FY26!F3,"OOS")</f>
        <v/>
      </c>
      <c r="T3" s="147">
        <f>IF(S3=0,"",$A3 &amp; IF(S3&gt;0," tăng "," giảm ") &amp; TEXT(ABS(S3)/1000,"0") &amp; "K = " &amp; TEXT(F3/1000,"#.##0") &amp; "K")</f>
        <v/>
      </c>
      <c r="U3" s="150">
        <f>IFERROR(G3-W9Q2FY26!G3,"OOS")</f>
        <v/>
      </c>
      <c r="V3" s="147">
        <f>IF(U3=0,"",$A3 &amp; IF(U3&gt;0," tăng "," giảm ") &amp; TEXT(ABS(U3)/1000,"0") &amp; "K = " &amp; TEXT(G3/1000,"#.##0") &amp; "K")</f>
        <v/>
      </c>
    </row>
    <row r="4">
      <c r="A4" t="inlineStr">
        <is>
          <t>iPhone Air 256G</t>
        </is>
      </c>
      <c r="B4" s="83" t="n"/>
      <c r="C4" s="128" t="n">
        <v>24990000</v>
      </c>
      <c r="D4" s="130" t="n">
        <v>24990000</v>
      </c>
      <c r="E4" s="131" t="n">
        <v>24490000</v>
      </c>
      <c r="F4" s="133" t="n">
        <v>24990000</v>
      </c>
      <c r="G4" s="111" t="n">
        <v>24990000</v>
      </c>
      <c r="M4" s="149">
        <f>IFERROR(C4-W9Q2FY26!C4,"OOS")</f>
        <v/>
      </c>
      <c r="N4" s="147">
        <f>IF(M4=0,"",$A4 &amp; IF(M4&gt;0," tăng "," giảm ") &amp; TEXT(ABS(M4)/1000,"0") &amp; "K = " &amp; TEXT(C4/1000,"#.##0") &amp; "K")</f>
        <v/>
      </c>
      <c r="O4" s="150">
        <f>IFERROR(D4-W9Q2FY26!D4,"OOS")</f>
        <v/>
      </c>
      <c r="P4" s="147">
        <f>IF(O4=0,"",$A4 &amp; IF(O4&gt;0," tăng "," giảm ") &amp; TEXT(ABS(O4)/1000,"0") &amp; "K = " &amp; TEXT(D4/1000,"#.##0") &amp; "K")</f>
        <v/>
      </c>
      <c r="Q4" s="150">
        <f>IFERROR(E4-W9Q2FY26!E4,"OOS")</f>
        <v/>
      </c>
      <c r="R4" s="147">
        <f>IF(Q4=0,"",$A4 &amp; IF(Q4&gt;0," tăng "," giảm ") &amp; TEXT(ABS(Q4)/1000,"0") &amp; "K = " &amp; TEXT(E4/1000,"#.##0") &amp; "K")</f>
        <v/>
      </c>
      <c r="S4" s="150">
        <f>IFERROR(F4-W9Q2FY26!F4,"OOS")</f>
        <v/>
      </c>
      <c r="T4" s="147">
        <f>IF(S4=0,"",$A4 &amp; IF(S4&gt;0," tăng "," giảm ") &amp; TEXT(ABS(S4)/1000,"0") &amp; "K = " &amp; TEXT(F4/1000,"#.##0") &amp; "K")</f>
        <v/>
      </c>
      <c r="U4" s="150">
        <f>IFERROR(G4-W9Q2FY26!G4,"OOS")</f>
        <v/>
      </c>
      <c r="V4" s="147">
        <f>IF(U4=0,"",$A4 &amp; IF(U4&gt;0," tăng "," giảm ") &amp; TEXT(ABS(U4)/1000,"0") &amp; "K = " &amp; TEXT(G4/1000,"#.##0") &amp; "K")</f>
        <v/>
      </c>
    </row>
    <row r="5">
      <c r="A5" t="inlineStr">
        <is>
          <t>iPhone 17 Pro 256GB</t>
        </is>
      </c>
      <c r="B5" s="83" t="n"/>
      <c r="C5" s="130" t="n">
        <v>34790000</v>
      </c>
      <c r="D5" s="130" t="n">
        <v>34490000</v>
      </c>
      <c r="E5" s="131" t="n">
        <v>33190000</v>
      </c>
      <c r="F5" s="134" t="n">
        <v>34790000</v>
      </c>
      <c r="G5" s="112" t="n">
        <v>34190000</v>
      </c>
      <c r="M5" s="149">
        <f>IFERROR(C5-W9Q2FY26!C5,"OOS")</f>
        <v/>
      </c>
      <c r="N5" s="147">
        <f>IF(M5=0,"",$A5 &amp; IF(M5&gt;0," tăng "," giảm ") &amp; TEXT(ABS(M5)/1000,"0") &amp; "K = " &amp; TEXT(C5/1000,"#.##0") &amp; "K")</f>
        <v/>
      </c>
      <c r="O5" s="150">
        <f>IFERROR(D5-W9Q2FY26!D5,"OOS")</f>
        <v/>
      </c>
      <c r="P5" s="147">
        <f>IF(O5=0,"",$A5 &amp; IF(O5&gt;0," tăng "," giảm ") &amp; TEXT(ABS(O5)/1000,"0") &amp; "K = " &amp; TEXT(D5/1000,"#.##0") &amp; "K")</f>
        <v/>
      </c>
      <c r="Q5" s="150">
        <f>IFERROR(E5-W9Q2FY26!E5,"OOS")</f>
        <v/>
      </c>
      <c r="R5" s="147">
        <f>IF(Q5=0,"",$A5 &amp; IF(Q5&gt;0," tăng "," giảm ") &amp; TEXT(ABS(Q5)/1000,"0") &amp; "K = " &amp; TEXT(E5/1000,"#.##0") &amp; "K")</f>
        <v/>
      </c>
      <c r="S5" s="150">
        <f>IFERROR(F5-W9Q2FY26!F5,"OOS")</f>
        <v/>
      </c>
      <c r="T5" s="147">
        <f>IF(S5=0,"",$A5 &amp; IF(S5&gt;0," tăng "," giảm ") &amp; TEXT(ABS(S5)/1000,"0") &amp; "K = " &amp; TEXT(F5/1000,"#.##0") &amp; "K")</f>
        <v/>
      </c>
      <c r="U5" s="150">
        <f>IFERROR(G5-W9Q2FY26!G5,"OOS")</f>
        <v/>
      </c>
      <c r="V5" s="147">
        <f>IF(U5=0,"",$A5 &amp; IF(U5&gt;0," tăng "," giảm ") &amp; TEXT(ABS(U5)/1000,"0") &amp; "K = " &amp; TEXT(G5/1000,"#.##0") &amp; "K")</f>
        <v/>
      </c>
    </row>
    <row r="6">
      <c r="A6" t="inlineStr">
        <is>
          <t>iPhone 17 Pro Max 256GB</t>
        </is>
      </c>
      <c r="B6" s="83" t="n"/>
      <c r="C6" s="130" t="n">
        <v>37990000</v>
      </c>
      <c r="D6" s="130" t="n">
        <v>37790000</v>
      </c>
      <c r="E6" s="135" t="n">
        <v>36490000</v>
      </c>
      <c r="F6" s="134" t="n">
        <v>37590000</v>
      </c>
      <c r="G6" s="112" t="n">
        <v>36990000</v>
      </c>
      <c r="M6" s="149">
        <f>IFERROR(C6-W9Q2FY26!C6,"OOS")</f>
        <v/>
      </c>
      <c r="N6" s="147">
        <f>IF(M6=0,"",$A6 &amp; IF(M6&gt;0," tăng "," giảm ") &amp; TEXT(ABS(M6)/1000,"0") &amp; "K = " &amp; TEXT(C6/1000,"#.##0") &amp; "K")</f>
        <v/>
      </c>
      <c r="O6" s="150">
        <f>IFERROR(D6-W9Q2FY26!D6,"OOS")</f>
        <v/>
      </c>
      <c r="P6" s="147">
        <f>IF(O6=0,"",$A6 &amp; IF(O6&gt;0," tăng "," giảm ") &amp; TEXT(ABS(O6)/1000,"0") &amp; "K = " &amp; TEXT(D6/1000,"#.##0") &amp; "K")</f>
        <v/>
      </c>
      <c r="Q6" s="150">
        <f>IFERROR(E6-W9Q2FY26!E6,"OOS")</f>
        <v/>
      </c>
      <c r="R6" s="147">
        <f>IF(Q6=0,"",$A6 &amp; IF(Q6&gt;0," tăng "," giảm ") &amp; TEXT(ABS(Q6)/1000,"0") &amp; "K = " &amp; TEXT(E6/1000,"#.##0") &amp; "K")</f>
        <v/>
      </c>
      <c r="S6" s="150">
        <f>IFERROR(F6-W9Q2FY26!F6,"OOS")</f>
        <v/>
      </c>
      <c r="T6" s="147">
        <f>IF(S6=0,"",$A6 &amp; IF(S6&gt;0," tăng "," giảm ") &amp; TEXT(ABS(S6)/1000,"0") &amp; "K = " &amp; TEXT(F6/1000,"#.##0") &amp; "K")</f>
        <v/>
      </c>
      <c r="U6" s="150">
        <f>IFERROR(G6-W9Q2FY26!G6,"OOS")</f>
        <v/>
      </c>
      <c r="V6" s="147">
        <f>IF(U6=0,"",$A6 &amp; IF(U6&gt;0," tăng "," giảm ") &amp; TEXT(ABS(U6)/1000,"0") &amp; "K = " &amp; TEXT(G6/1000,"#.##0") &amp; "K")</f>
        <v/>
      </c>
    </row>
    <row r="7">
      <c r="A7" t="inlineStr">
        <is>
          <t>iPhone 16e  128GB</t>
        </is>
      </c>
      <c r="B7" s="83" t="n"/>
      <c r="C7" s="128" t="n">
        <v>15990000</v>
      </c>
      <c r="D7" s="136" t="n">
        <v>15990000</v>
      </c>
      <c r="E7" s="135" t="n">
        <v>12490000</v>
      </c>
      <c r="F7" s="137" t="n">
        <v>12490000</v>
      </c>
      <c r="G7" s="111" t="n">
        <v>15190000</v>
      </c>
      <c r="M7" s="149">
        <f>IFERROR(C7-W9Q2FY26!C7,"OOS")</f>
        <v/>
      </c>
      <c r="N7" s="147">
        <f>IF(M7=0,"",$A7 &amp; IF(M7&gt;0," tăng "," giảm ") &amp; TEXT(ABS(M7)/1000,"0") &amp; "K = " &amp; TEXT(C7/1000,"#.##0") &amp; "K")</f>
        <v/>
      </c>
      <c r="O7" s="150">
        <f>IFERROR(D7-W9Q2FY26!D7,"OOS")</f>
        <v/>
      </c>
      <c r="P7" s="147">
        <f>IF(O7=0,"",$A7 &amp; IF(O7&gt;0," tăng "," giảm ") &amp; TEXT(ABS(O7)/1000,"0") &amp; "K = " &amp; TEXT(D7/1000,"#.##0") &amp; "K")</f>
        <v/>
      </c>
      <c r="Q7" s="150">
        <f>IFERROR(E7-W9Q2FY26!E7,"OOS")</f>
        <v/>
      </c>
      <c r="R7" s="147">
        <f>IF(Q7=0,"",$A7 &amp; IF(Q7&gt;0," tăng "," giảm ") &amp; TEXT(ABS(Q7)/1000,"0") &amp; "K = " &amp; TEXT(E7/1000,"#.##0") &amp; "K")</f>
        <v/>
      </c>
      <c r="S7" s="150">
        <f>IFERROR(F7-W9Q2FY26!F7,"OOS")</f>
        <v/>
      </c>
      <c r="T7" s="147">
        <f>IF(S7=0,"",$A7 &amp; IF(S7&gt;0," tăng "," giảm ") &amp; TEXT(ABS(S7)/1000,"0") &amp; "K = " &amp; TEXT(F7/1000,"#.##0") &amp; "K")</f>
        <v/>
      </c>
      <c r="U7" s="150">
        <f>IFERROR(G7-W9Q2FY26!G7,"OOS")</f>
        <v/>
      </c>
      <c r="V7" s="147">
        <f>IF(U7=0,"",$A7 &amp; IF(U7&gt;0," tăng "," giảm ") &amp; TEXT(ABS(U7)/1000,"0") &amp; "K = " &amp; TEXT(G7/1000,"#.##0") &amp; "K")</f>
        <v/>
      </c>
    </row>
    <row r="8">
      <c r="A8" t="inlineStr">
        <is>
          <t>iPhone 16 128GB</t>
        </is>
      </c>
      <c r="B8" s="71" t="n"/>
      <c r="C8" s="138" t="n">
        <v>21090000</v>
      </c>
      <c r="D8" s="139" t="n">
        <v>20790000</v>
      </c>
      <c r="E8" s="140" t="n">
        <v>20090000</v>
      </c>
      <c r="F8" s="134" t="n">
        <v>20790000</v>
      </c>
      <c r="G8" s="111" t="n">
        <v>20790000</v>
      </c>
      <c r="M8" s="149">
        <f>IFERROR(C8-W9Q2FY26!C8,"OOS")</f>
        <v/>
      </c>
      <c r="N8" s="147">
        <f>IF(M8=0,"",$A8 &amp; IF(M8&gt;0," tăng "," giảm ") &amp; TEXT(ABS(M8)/1000,"0") &amp; "K = " &amp; TEXT(C8/1000,"#.##0") &amp; "K")</f>
        <v/>
      </c>
      <c r="O8" s="150">
        <f>IFERROR(D8-W9Q2FY26!D8,"OOS")</f>
        <v/>
      </c>
      <c r="P8" s="147">
        <f>IF(O8=0,"",$A8 &amp; IF(O8&gt;0," tăng "," giảm ") &amp; TEXT(ABS(O8)/1000,"0") &amp; "K = " &amp; TEXT(D8/1000,"#.##0") &amp; "K")</f>
        <v/>
      </c>
      <c r="Q8" s="150">
        <f>IFERROR(E8-W9Q2FY26!E8,"OOS")</f>
        <v/>
      </c>
      <c r="R8" s="147">
        <f>IF(Q8=0,"",$A8 &amp; IF(Q8&gt;0," tăng "," giảm ") &amp; TEXT(ABS(Q8)/1000,"0") &amp; "K = " &amp; TEXT(E8/1000,"#.##0") &amp; "K")</f>
        <v/>
      </c>
      <c r="S8" s="150">
        <f>IFERROR(F8-W9Q2FY26!F8,"OOS")</f>
        <v/>
      </c>
      <c r="T8" s="147">
        <f>IF(S8=0,"",$A8 &amp; IF(S8&gt;0," tăng "," giảm ") &amp; TEXT(ABS(S8)/1000,"0") &amp; "K = " &amp; TEXT(F8/1000,"#.##0") &amp; "K")</f>
        <v/>
      </c>
      <c r="U8" s="150">
        <f>IFERROR(G8-W9Q2FY26!G8,"OOS")</f>
        <v/>
      </c>
      <c r="V8" s="147">
        <f>IF(U8=0,"",$A8 &amp; IF(U8&gt;0," tăng "," giảm ") &amp; TEXT(ABS(U8)/1000,"0") &amp; "K = " &amp; TEXT(G8/1000,"#.##0") &amp; "K")</f>
        <v/>
      </c>
    </row>
    <row r="9">
      <c r="A9" t="inlineStr">
        <is>
          <t>iPhone 16  Plus 128GB</t>
        </is>
      </c>
      <c r="B9" s="3" t="n"/>
      <c r="C9" s="141" t="n">
        <v>25090000</v>
      </c>
      <c r="D9" s="141" t="n">
        <v>24790000</v>
      </c>
      <c r="E9" s="140" t="n">
        <v>23790000</v>
      </c>
      <c r="F9" s="134" t="n">
        <v>24790000</v>
      </c>
      <c r="G9" s="112" t="n">
        <v>24590000</v>
      </c>
      <c r="M9" s="149">
        <f>IFERROR(C9-W9Q2FY26!C9,"OOS")</f>
        <v/>
      </c>
      <c r="N9" s="147">
        <f>IF(M9=0,"",$A9 &amp; IF(M9&gt;0," tăng "," giảm ") &amp; TEXT(ABS(M9)/1000,"0") &amp; "K = " &amp; TEXT(C9/1000,"#.##0") &amp; "K")</f>
        <v/>
      </c>
      <c r="O9" s="150">
        <f>IFERROR(D9-W9Q2FY26!D9,"OOS")</f>
        <v/>
      </c>
      <c r="P9" s="147">
        <f>IF(O9=0,"",$A9 &amp; IF(O9&gt;0," tăng "," giảm ") &amp; TEXT(ABS(O9)/1000,"0") &amp; "K = " &amp; TEXT(D9/1000,"#.##0") &amp; "K")</f>
        <v/>
      </c>
      <c r="Q9" s="150">
        <f>IFERROR(E9-W9Q2FY26!E9,"OOS")</f>
        <v/>
      </c>
      <c r="R9" s="147">
        <f>IF(Q9=0,"",$A9 &amp; IF(Q9&gt;0," tăng "," giảm ") &amp; TEXT(ABS(Q9)/1000,"0") &amp; "K = " &amp; TEXT(E9/1000,"#.##0") &amp; "K")</f>
        <v/>
      </c>
      <c r="S9" s="150">
        <f>IFERROR(F9-W9Q2FY26!F9,"OOS")</f>
        <v/>
      </c>
      <c r="T9" s="147">
        <f>IF(S9=0,"",$A9 &amp; IF(S9&gt;0," tăng "," giảm ") &amp; TEXT(ABS(S9)/1000,"0") &amp; "K = " &amp; TEXT(F9/1000,"#.##0") &amp; "K")</f>
        <v/>
      </c>
      <c r="U9" s="150">
        <f>IFERROR(G9-W9Q2FY26!G9,"OOS")</f>
        <v/>
      </c>
      <c r="V9" s="147">
        <f>IF(U9=0,"",$A9 &amp; IF(U9&gt;0," tăng "," giảm ") &amp; TEXT(ABS(U9)/1000,"0") &amp; "K = " &amp; TEXT(G9/1000,"#.##0") &amp; "K")</f>
        <v/>
      </c>
    </row>
    <row r="10">
      <c r="A10" t="inlineStr">
        <is>
          <t>iPhone 16 Pro 128GB</t>
        </is>
      </c>
      <c r="B10" s="25" t="n"/>
      <c r="C10" s="136" t="inlineStr">
        <is>
          <t>OOS</t>
        </is>
      </c>
      <c r="D10" s="111" t="n">
        <v>25590000</v>
      </c>
      <c r="E10" s="113" t="inlineStr">
        <is>
          <t>OOS</t>
        </is>
      </c>
      <c r="F10" s="133" t="n">
        <v>26590000</v>
      </c>
      <c r="G10" s="111" t="n">
        <v>24990000</v>
      </c>
      <c r="M10" s="149">
        <f>IFERROR(C10-W9Q2FY26!C10,"OOS")</f>
        <v/>
      </c>
      <c r="N10" s="147">
        <f>IF(M10=0,"",$A10 &amp; IF(M10&gt;0," tăng "," giảm ") &amp; TEXT(ABS(M10)/1000,"0") &amp; "K = " &amp; TEXT(C10/1000,"#.##0") &amp; "K")</f>
        <v/>
      </c>
      <c r="O10" s="150">
        <f>IFERROR(D10-W9Q2FY26!D10,"OOS")</f>
        <v/>
      </c>
      <c r="P10" s="147">
        <f>IF(O10=0,"",$A10 &amp; IF(O10&gt;0," tăng "," giảm ") &amp; TEXT(ABS(O10)/1000,"0") &amp; "K = " &amp; TEXT(D10/1000,"#.##0") &amp; "K")</f>
        <v/>
      </c>
      <c r="Q10" s="150">
        <f>IFERROR(E10-W9Q2FY26!E10,"OOS")</f>
        <v/>
      </c>
      <c r="R10" s="147">
        <f>IF(Q10=0,"",$A10 &amp; IF(Q10&gt;0," tăng "," giảm ") &amp; TEXT(ABS(Q10)/1000,"0") &amp; "K = " &amp; TEXT(E10/1000,"#.##0") &amp; "K")</f>
        <v/>
      </c>
      <c r="S10" s="150">
        <f>IFERROR(F10-W9Q2FY26!F10,"OOS")</f>
        <v/>
      </c>
      <c r="T10" s="147">
        <f>IF(S10=0,"",$A10 &amp; IF(S10&gt;0," tăng "," giảm ") &amp; TEXT(ABS(S10)/1000,"0") &amp; "K = " &amp; TEXT(F10/1000,"#.##0") &amp; "K")</f>
        <v/>
      </c>
      <c r="U10" s="150">
        <f>IFERROR(G10-W9Q2FY26!G10,"OOS")</f>
        <v/>
      </c>
      <c r="V10" s="147">
        <f>IF(U10=0,"",$A10 &amp; IF(U10&gt;0," tăng "," giảm ") &amp; TEXT(ABS(U10)/1000,"0") &amp; "K = " &amp; TEXT(G10/1000,"#.##0") &amp; "K")</f>
        <v/>
      </c>
    </row>
    <row r="11">
      <c r="A11" t="inlineStr">
        <is>
          <t>iPhone 16 Pro Max 256GB</t>
        </is>
      </c>
      <c r="B11" s="3" t="n"/>
      <c r="C11" s="136" t="n">
        <v>31590000</v>
      </c>
      <c r="D11" s="136" t="n">
        <v>31490000</v>
      </c>
      <c r="E11" s="113" t="inlineStr">
        <is>
          <t>OOS</t>
        </is>
      </c>
      <c r="F11" s="134" t="n">
        <v>31990000</v>
      </c>
      <c r="G11" s="111" t="n">
        <v>31190000</v>
      </c>
      <c r="M11" s="149">
        <f>IFERROR(C11-W9Q2FY26!C11,"OOS")</f>
        <v/>
      </c>
      <c r="N11" s="147">
        <f>IF(M11=0,"",$A11 &amp; IF(M11&gt;0," tăng "," giảm ") &amp; TEXT(ABS(M11)/1000,"0") &amp; "K = " &amp; TEXT(C11/1000,"#.##0") &amp; "K")</f>
        <v/>
      </c>
      <c r="O11" s="150">
        <f>IFERROR(D11-W9Q2FY26!D11,"OOS")</f>
        <v/>
      </c>
      <c r="P11" s="147">
        <f>IF(O11=0,"",$A11 &amp; IF(O11&gt;0," tăng "," giảm ") &amp; TEXT(ABS(O11)/1000,"0") &amp; "K = " &amp; TEXT(D11/1000,"#.##0") &amp; "K")</f>
        <v/>
      </c>
      <c r="Q11" s="150">
        <f>IFERROR(E11-W9Q2FY26!E11,"OOS")</f>
        <v/>
      </c>
      <c r="R11" s="147">
        <f>IF(Q11=0,"",$A11 &amp; IF(Q11&gt;0," tăng "," giảm ") &amp; TEXT(ABS(Q11)/1000,"0") &amp; "K = " &amp; TEXT(E11/1000,"#.##0") &amp; "K")</f>
        <v/>
      </c>
      <c r="S11" s="150">
        <f>IFERROR(F11-W9Q2FY26!F11,"OOS")</f>
        <v/>
      </c>
      <c r="T11" s="147">
        <f>IF(S11=0,"",$A11 &amp; IF(S11&gt;0," tăng "," giảm ") &amp; TEXT(ABS(S11)/1000,"0") &amp; "K = " &amp; TEXT(F11/1000,"#.##0") &amp; "K")</f>
        <v/>
      </c>
      <c r="U11" s="150">
        <f>IFERROR(G11-W9Q2FY26!G11,"OOS")</f>
        <v/>
      </c>
      <c r="V11" s="147">
        <f>IF(U11=0,"",$A11 &amp; IF(U11&gt;0," tăng "," giảm ") &amp; TEXT(ABS(U11)/1000,"0") &amp; "K = " &amp; TEXT(G11/1000,"#.##0") &amp; "K")</f>
        <v/>
      </c>
    </row>
    <row r="12">
      <c r="A12" t="inlineStr">
        <is>
          <t>iPhone 15  128GB</t>
        </is>
      </c>
      <c r="B12" s="25" t="n"/>
      <c r="C12" s="141" t="n">
        <v>17890000</v>
      </c>
      <c r="D12" s="136" t="n">
        <v>17790000</v>
      </c>
      <c r="E12" s="131" t="n">
        <v>17690000</v>
      </c>
      <c r="F12" s="134" t="n">
        <v>17590000</v>
      </c>
      <c r="G12" s="112" t="n">
        <v>17490000</v>
      </c>
      <c r="M12" s="149">
        <f>IFERROR(C12-W9Q2FY26!C12,"OOS")</f>
        <v/>
      </c>
      <c r="N12" s="147">
        <f>IF(M12=0,"",$A12 &amp; IF(M12&gt;0," tăng "," giảm ") &amp; TEXT(ABS(M12)/1000,"0") &amp; "K = " &amp; TEXT(C12/1000,"#.##0") &amp; "K")</f>
        <v/>
      </c>
      <c r="O12" s="150">
        <f>IFERROR(D12-W9Q2FY26!D12,"OOS")</f>
        <v/>
      </c>
      <c r="P12" s="147">
        <f>IF(O12=0,"",$A12 &amp; IF(O12&gt;0," tăng "," giảm ") &amp; TEXT(ABS(O12)/1000,"0") &amp; "K = " &amp; TEXT(D12/1000,"#.##0") &amp; "K")</f>
        <v/>
      </c>
      <c r="Q12" s="150">
        <f>IFERROR(E12-W9Q2FY26!E12,"OOS")</f>
        <v/>
      </c>
      <c r="R12" s="147">
        <f>IF(Q12=0,"",$A12 &amp; IF(Q12&gt;0," tăng "," giảm ") &amp; TEXT(ABS(Q12)/1000,"0") &amp; "K = " &amp; TEXT(E12/1000,"#.##0") &amp; "K")</f>
        <v/>
      </c>
      <c r="S12" s="150">
        <f>IFERROR(F12-W9Q2FY26!F12,"OOS")</f>
        <v/>
      </c>
      <c r="T12" s="147">
        <f>IF(S12=0,"",$A12 &amp; IF(S12&gt;0," tăng "," giảm ") &amp; TEXT(ABS(S12)/1000,"0") &amp; "K = " &amp; TEXT(F12/1000,"#.##0") &amp; "K")</f>
        <v/>
      </c>
      <c r="U12" s="150">
        <f>IFERROR(G12-W9Q2FY26!G12,"OOS")</f>
        <v/>
      </c>
      <c r="V12" s="147">
        <f>IF(U12=0,"",$A12 &amp; IF(U12&gt;0," tăng "," giảm ") &amp; TEXT(ABS(U12)/1000,"0") &amp; "K = " &amp; TEXT(G12/1000,"#.##0") &amp; "K")</f>
        <v/>
      </c>
    </row>
    <row r="13">
      <c r="A13" t="inlineStr">
        <is>
          <t>iPhone 15  Plus 128GB</t>
        </is>
      </c>
      <c r="B13" s="25" t="n"/>
      <c r="C13" s="136" t="n">
        <v>19990000</v>
      </c>
      <c r="D13" s="136" t="inlineStr">
        <is>
          <t>OOS</t>
        </is>
      </c>
      <c r="E13" s="131" t="inlineStr">
        <is>
          <t>OOS</t>
        </is>
      </c>
      <c r="F13" s="133" t="n">
        <v>17690000</v>
      </c>
      <c r="G13" s="111" t="inlineStr">
        <is>
          <t>OOS</t>
        </is>
      </c>
      <c r="M13" s="149">
        <f>IFERROR(C13-W9Q2FY26!C13,"OOS")</f>
        <v/>
      </c>
      <c r="N13" s="147">
        <f>IF(M13=0,"",$A13 &amp; IF(M13&gt;0," tăng "," giảm ") &amp; TEXT(ABS(M13)/1000,"0") &amp; "K = " &amp; TEXT(C13/1000,"#.##0") &amp; "K")</f>
        <v/>
      </c>
      <c r="O13" s="150">
        <f>IFERROR(D13-W9Q2FY26!D13,"OOS")</f>
        <v/>
      </c>
      <c r="P13" s="147">
        <f>IF(O13=0,"",$A13 &amp; IF(O13&gt;0," tăng "," giảm ") &amp; TEXT(ABS(O13)/1000,"0") &amp; "K = " &amp; TEXT(D13/1000,"#.##0") &amp; "K")</f>
        <v/>
      </c>
      <c r="Q13" s="150">
        <f>IFERROR(E13-W9Q2FY26!E13,"OOS")</f>
        <v/>
      </c>
      <c r="R13" s="147">
        <f>IF(Q13=0,"",$A13 &amp; IF(Q13&gt;0," tăng "," giảm ") &amp; TEXT(ABS(Q13)/1000,"0") &amp; "K = " &amp; TEXT(E13/1000,"#.##0") &amp; "K")</f>
        <v/>
      </c>
      <c r="S13" s="150">
        <f>IFERROR(F13-W9Q2FY26!F13,"OOS")</f>
        <v/>
      </c>
      <c r="T13" s="147">
        <f>IF(S13=0,"",$A13 &amp; IF(S13&gt;0," tăng "," giảm ") &amp; TEXT(ABS(S13)/1000,"0") &amp; "K = " &amp; TEXT(F13/1000,"#.##0") &amp; "K")</f>
        <v/>
      </c>
      <c r="U13" s="150">
        <f>IFERROR(G13-W9Q2FY26!G13,"OOS")</f>
        <v/>
      </c>
      <c r="V13" s="147">
        <f>IF(U13=0,"",$A13 &amp; IF(U13&gt;0," tăng "," giảm ") &amp; TEXT(ABS(U13)/1000,"0") &amp; "K = " &amp; TEXT(G13/1000,"#.##0") &amp; "K")</f>
        <v/>
      </c>
    </row>
    <row r="14">
      <c r="A14" t="inlineStr">
        <is>
          <t>iPhone 14 128GB</t>
        </is>
      </c>
      <c r="B14" s="25" t="n"/>
      <c r="C14" s="136" t="n">
        <v>13990000</v>
      </c>
      <c r="D14" s="136" t="n">
        <v>13790000</v>
      </c>
      <c r="E14" s="131" t="n">
        <v>13590000</v>
      </c>
      <c r="F14" s="134" t="n">
        <v>13590000</v>
      </c>
      <c r="G14" s="111" t="n">
        <v>13390000</v>
      </c>
      <c r="M14" s="149">
        <f>IFERROR(C14-W9Q2FY26!C14,"OOS")</f>
        <v/>
      </c>
      <c r="N14" s="147">
        <f>IF(M14=0,"",$A14 &amp; IF(M14&gt;0," tăng "," giảm ") &amp; TEXT(ABS(M14)/1000,"0") &amp; "K = " &amp; TEXT(C14/1000,"#.##0") &amp; "K")</f>
        <v/>
      </c>
      <c r="O14" s="150">
        <f>IFERROR(D14-W9Q2FY26!D14,"OOS")</f>
        <v/>
      </c>
      <c r="P14" s="147">
        <f>IF(O14=0,"",$A14 &amp; IF(O14&gt;0," tăng "," giảm ") &amp; TEXT(ABS(O14)/1000,"0") &amp; "K = " &amp; TEXT(D14/1000,"#.##0") &amp; "K")</f>
        <v/>
      </c>
      <c r="Q14" s="150">
        <f>IFERROR(E14-W9Q2FY26!E14,"OOS")</f>
        <v/>
      </c>
      <c r="R14" s="147">
        <f>IF(Q14=0,"",$A14 &amp; IF(Q14&gt;0," tăng "," giảm ") &amp; TEXT(ABS(Q14)/1000,"0") &amp; "K = " &amp; TEXT(E14/1000,"#.##0") &amp; "K")</f>
        <v/>
      </c>
      <c r="S14" s="150">
        <f>IFERROR(F14-W9Q2FY26!F14,"OOS")</f>
        <v/>
      </c>
      <c r="T14" s="147">
        <f>IF(S14=0,"",$A14 &amp; IF(S14&gt;0," tăng "," giảm ") &amp; TEXT(ABS(S14)/1000,"0") &amp; "K = " &amp; TEXT(F14/1000,"#.##0") &amp; "K")</f>
        <v/>
      </c>
      <c r="U14" s="150">
        <f>IFERROR(G14-W9Q2FY26!G14,"OOS")</f>
        <v/>
      </c>
      <c r="V14" s="147">
        <f>IF(U14=0,"",$A14 &amp; IF(U14&gt;0," tăng "," giảm ") &amp; TEXT(ABS(U14)/1000,"0") &amp; "K = " &amp; TEXT(G14/1000,"#.##0") &amp; "K")</f>
        <v/>
      </c>
    </row>
    <row r="15">
      <c r="A15" t="inlineStr">
        <is>
          <t>iPhone 13  128GB</t>
        </is>
      </c>
      <c r="B15" s="3" t="n"/>
      <c r="C15" s="136" t="n">
        <v>12490000</v>
      </c>
      <c r="D15" s="136" t="n">
        <v>12290000</v>
      </c>
      <c r="E15" s="140" t="n">
        <v>11990000</v>
      </c>
      <c r="F15" s="134" t="n">
        <v>11900000</v>
      </c>
      <c r="G15" s="111" t="n">
        <v>11890000</v>
      </c>
      <c r="M15" s="149">
        <f>IFERROR(C15-W9Q2FY26!C15,"OOS")</f>
        <v/>
      </c>
      <c r="N15" s="147">
        <f>IF(M15=0,"",$A15 &amp; IF(M15&gt;0," tăng "," giảm ") &amp; TEXT(ABS(M15)/1000,"0") &amp; "K = " &amp; TEXT(C15/1000,"#.##0") &amp; "K")</f>
        <v/>
      </c>
      <c r="O15" s="150">
        <f>IFERROR(D15-W9Q2FY26!D15,"OOS")</f>
        <v/>
      </c>
      <c r="P15" s="147">
        <f>IF(O15=0,"",$A15 &amp; IF(O15&gt;0," tăng "," giảm ") &amp; TEXT(ABS(O15)/1000,"0") &amp; "K = " &amp; TEXT(D15/1000,"#.##0") &amp; "K")</f>
        <v/>
      </c>
      <c r="Q15" s="150">
        <f>IFERROR(E15-W9Q2FY26!E15,"OOS")</f>
        <v/>
      </c>
      <c r="R15" s="147">
        <f>IF(Q15=0,"",$A15 &amp; IF(Q15&gt;0," tăng "," giảm ") &amp; TEXT(ABS(Q15)/1000,"0") &amp; "K = " &amp; TEXT(E15/1000,"#.##0") &amp; "K")</f>
        <v/>
      </c>
      <c r="S15" s="150">
        <f>IFERROR(F15-W9Q2FY26!F15,"OOS")</f>
        <v/>
      </c>
      <c r="T15" s="147">
        <f>IF(S15=0,"",$A15 &amp; IF(S15&gt;0," tăng "," giảm ") &amp; TEXT(ABS(S15)/1000,"0") &amp; "K = " &amp; TEXT(F15/1000,"#.##0") &amp; "K")</f>
        <v/>
      </c>
      <c r="U15" s="150">
        <f>IFERROR(G15-W9Q2FY26!G15,"OOS")</f>
        <v/>
      </c>
      <c r="V15" s="147">
        <f>IF(U15=0,"",$A15 &amp; IF(U15&gt;0," tăng "," giảm ") &amp; TEXT(ABS(U15)/1000,"0") &amp; "K = " &amp; TEXT(G15/1000,"#.##0") &amp; "K")</f>
        <v/>
      </c>
    </row>
    <row r="16">
      <c r="A16" t="inlineStr">
        <is>
          <t>iPad Mini 7 128GB Wifi</t>
        </is>
      </c>
      <c r="B16" s="25" t="n"/>
      <c r="C16" s="141" t="n">
        <v>11790000</v>
      </c>
      <c r="D16" s="141" t="n">
        <v>11490000</v>
      </c>
      <c r="E16" s="140" t="n">
        <v>11290000</v>
      </c>
      <c r="F16" s="134" t="n">
        <v>11590000</v>
      </c>
      <c r="G16" s="112" t="n">
        <v>11490000</v>
      </c>
      <c r="M16" s="149">
        <f>IFERROR(C16-W9Q2FY26!C16,"OOS")</f>
        <v/>
      </c>
      <c r="N16" s="147">
        <f>IF(M16=0,"",$A16 &amp; IF(M16&gt;0," tăng "," giảm ") &amp; TEXT(ABS(M16)/1000,"0") &amp; "K = " &amp; TEXT(C16/1000,"#.##0") &amp; "K")</f>
        <v/>
      </c>
      <c r="O16" s="150">
        <f>IFERROR(D16-W9Q2FY26!D16,"OOS")</f>
        <v/>
      </c>
      <c r="P16" s="147">
        <f>IF(O16=0,"",$A16 &amp; IF(O16&gt;0," tăng "," giảm ") &amp; TEXT(ABS(O16)/1000,"0") &amp; "K = " &amp; TEXT(D16/1000,"#.##0") &amp; "K")</f>
        <v/>
      </c>
      <c r="Q16" s="150">
        <f>IFERROR(E16-W9Q2FY26!E16,"OOS")</f>
        <v/>
      </c>
      <c r="R16" s="147">
        <f>IF(Q16=0,"",$A16 &amp; IF(Q16&gt;0," tăng "," giảm ") &amp; TEXT(ABS(Q16)/1000,"0") &amp; "K = " &amp; TEXT(E16/1000,"#.##0") &amp; "K")</f>
        <v/>
      </c>
      <c r="S16" s="150">
        <f>IFERROR(F16-W9Q2FY26!F16,"OOS")</f>
        <v/>
      </c>
      <c r="T16" s="147">
        <f>IF(S16=0,"",$A16 &amp; IF(S16&gt;0," tăng "," giảm ") &amp; TEXT(ABS(S16)/1000,"0") &amp; "K = " &amp; TEXT(F16/1000,"#.##0") &amp; "K")</f>
        <v/>
      </c>
      <c r="U16" s="150">
        <f>IFERROR(G16-W9Q2FY26!G16,"OOS")</f>
        <v/>
      </c>
      <c r="V16" s="147">
        <f>IF(U16=0,"",$A16 &amp; IF(U16&gt;0," tăng "," giảm ") &amp; TEXT(ABS(U16)/1000,"0") &amp; "K = " &amp; TEXT(G16/1000,"#.##0") &amp; "K")</f>
        <v/>
      </c>
    </row>
    <row r="17">
      <c r="A17" t="inlineStr">
        <is>
          <t>iPad Gen 11th  128GB Wifi</t>
        </is>
      </c>
      <c r="B17" s="3" t="n"/>
      <c r="C17" s="136" t="n">
        <v>9590000</v>
      </c>
      <c r="D17" s="141" t="n">
        <v>9290000</v>
      </c>
      <c r="E17" s="140" t="n">
        <v>9190000</v>
      </c>
      <c r="F17" s="134" t="n">
        <v>9290000</v>
      </c>
      <c r="G17" s="111" t="n">
        <v>8990000</v>
      </c>
      <c r="I17" t="inlineStr">
        <is>
          <t xml:space="preserve">MW </t>
        </is>
      </c>
      <c r="J17" t="inlineStr">
        <is>
          <t>Hải</t>
        </is>
      </c>
      <c r="K17" t="b">
        <v>1</v>
      </c>
      <c r="M17" s="149">
        <f>IFERROR(C17-W9Q2FY26!C17,"OOS")</f>
        <v/>
      </c>
      <c r="N17" s="147">
        <f>IF(M17=0,"",$A17 &amp; IF(M17&gt;0," tăng "," giảm ") &amp; TEXT(ABS(M17)/1000,"0") &amp; "K = " &amp; TEXT(C17/1000,"#.##0") &amp; "K")</f>
        <v/>
      </c>
      <c r="O17" s="150">
        <f>IFERROR(D17-W9Q2FY26!D17,"OOS")</f>
        <v/>
      </c>
      <c r="P17" s="147">
        <f>IF(O17=0,"",$A17 &amp; IF(O17&gt;0," tăng "," giảm ") &amp; TEXT(ABS(O17)/1000,"0") &amp; "K = " &amp; TEXT(D17/1000,"#.##0") &amp; "K")</f>
        <v/>
      </c>
      <c r="Q17" s="150">
        <f>IFERROR(E17-W9Q2FY26!E17,"OOS")</f>
        <v/>
      </c>
      <c r="R17" s="147">
        <f>IF(Q17=0,"",$A17 &amp; IF(Q17&gt;0," tăng "," giảm ") &amp; TEXT(ABS(Q17)/1000,"0") &amp; "K = " &amp; TEXT(E17/1000,"#.##0") &amp; "K")</f>
        <v/>
      </c>
      <c r="S17" s="150">
        <f>IFERROR(F17-W9Q2FY26!F17,"OOS")</f>
        <v/>
      </c>
      <c r="T17" s="147">
        <f>IF(S17=0,"",$A17 &amp; IF(S17&gt;0," tăng "," giảm ") &amp; TEXT(ABS(S17)/1000,"0") &amp; "K = " &amp; TEXT(F17/1000,"#.##0") &amp; "K")</f>
        <v/>
      </c>
      <c r="U17" s="150">
        <f>IFERROR(G17-W9Q2FY26!G17,"OOS")</f>
        <v/>
      </c>
      <c r="V17" s="147">
        <f>IF(U17=0,"",$A17 &amp; IF(U17&gt;0," tăng "," giảm ") &amp; TEXT(ABS(U17)/1000,"0") &amp; "K = " &amp; TEXT(G17/1000,"#.##0") &amp; "K")</f>
        <v/>
      </c>
    </row>
    <row r="18">
      <c r="A18" t="inlineStr">
        <is>
          <t>iPad Air M3  11" 128 GB Wifi</t>
        </is>
      </c>
      <c r="B18" s="3" t="n"/>
      <c r="C18" s="141" t="n">
        <v>15890000</v>
      </c>
      <c r="D18" s="141" t="n">
        <v>15690000</v>
      </c>
      <c r="E18" s="131" t="n">
        <v>15390000</v>
      </c>
      <c r="F18" s="134" t="n">
        <v>15590000</v>
      </c>
      <c r="G18" s="112" t="n">
        <v>15290000</v>
      </c>
      <c r="I18" t="inlineStr">
        <is>
          <t>FPT</t>
        </is>
      </c>
      <c r="J18" t="inlineStr">
        <is>
          <t>Trang</t>
        </is>
      </c>
      <c r="K18" t="b">
        <v>1</v>
      </c>
      <c r="M18" s="149">
        <f>IFERROR(C18-W9Q2FY26!C18,"OOS")</f>
        <v/>
      </c>
      <c r="N18" s="147">
        <f>IF(M18=0,"",$A18 &amp; IF(M18&gt;0," tăng "," giảm ") &amp; TEXT(ABS(M18)/1000,"0") &amp; "K = " &amp; TEXT(C18/1000,"#.##0") &amp; "K")</f>
        <v/>
      </c>
      <c r="O18" s="150">
        <f>IFERROR(D18-W9Q2FY26!D18,"OOS")</f>
        <v/>
      </c>
      <c r="P18" s="147">
        <f>IF(O18=0,"",$A18 &amp; IF(O18&gt;0," tăng "," giảm ") &amp; TEXT(ABS(O18)/1000,"0") &amp; "K = " &amp; TEXT(D18/1000,"#.##0") &amp; "K")</f>
        <v/>
      </c>
      <c r="Q18" s="150">
        <f>IFERROR(E18-W9Q2FY26!E18,"OOS")</f>
        <v/>
      </c>
      <c r="R18" s="147">
        <f>IF(Q18=0,"",$A18 &amp; IF(Q18&gt;0," tăng "," giảm ") &amp; TEXT(ABS(Q18)/1000,"0") &amp; "K = " &amp; TEXT(E18/1000,"#.##0") &amp; "K")</f>
        <v/>
      </c>
      <c r="S18" s="150">
        <f>IFERROR(F18-W9Q2FY26!F18,"OOS")</f>
        <v/>
      </c>
      <c r="T18" s="147">
        <f>IF(S18=0,"",$A18 &amp; IF(S18&gt;0," tăng "," giảm ") &amp; TEXT(ABS(S18)/1000,"0") &amp; "K = " &amp; TEXT(F18/1000,"#.##0") &amp; "K")</f>
        <v/>
      </c>
      <c r="U18" s="150">
        <f>IFERROR(G18-W9Q2FY26!G18,"OOS")</f>
        <v/>
      </c>
      <c r="V18" s="147">
        <f>IF(U18=0,"",$A18 &amp; IF(U18&gt;0," tăng "," giảm ") &amp; TEXT(ABS(U18)/1000,"0") &amp; "K = " &amp; TEXT(G18/1000,"#.##0") &amp; "K")</f>
        <v/>
      </c>
    </row>
    <row r="19">
      <c r="A19" t="inlineStr">
        <is>
          <t>iPad Air M3  13" 128 GB Wifi</t>
        </is>
      </c>
      <c r="B19" s="25" t="n"/>
      <c r="C19" s="136" t="n">
        <v>21690000</v>
      </c>
      <c r="D19" s="141" t="n">
        <v>20990000</v>
      </c>
      <c r="E19" s="113" t="n">
        <v>20490000</v>
      </c>
      <c r="F19" s="134" t="n">
        <v>18990000</v>
      </c>
      <c r="G19" s="111" t="n">
        <v>18790000</v>
      </c>
      <c r="I19" t="inlineStr">
        <is>
          <t>Viettel</t>
        </is>
      </c>
      <c r="J19" t="inlineStr">
        <is>
          <t>Nghĩa</t>
        </is>
      </c>
      <c r="K19" t="b">
        <v>1</v>
      </c>
      <c r="M19" s="149">
        <f>IFERROR(C19-W9Q2FY26!C19,"OOS")</f>
        <v/>
      </c>
      <c r="N19" s="147">
        <f>IF(M19=0,"",$A19 &amp; IF(M19&gt;0," tăng "," giảm ") &amp; TEXT(ABS(M19)/1000,"0") &amp; "K = " &amp; TEXT(C19/1000,"#.##0") &amp; "K")</f>
        <v/>
      </c>
      <c r="O19" s="150">
        <f>IFERROR(D19-W9Q2FY26!D19,"OOS")</f>
        <v/>
      </c>
      <c r="P19" s="147">
        <f>IF(O19=0,"",$A19 &amp; IF(O19&gt;0," tăng "," giảm ") &amp; TEXT(ABS(O19)/1000,"0") &amp; "K = " &amp; TEXT(D19/1000,"#.##0") &amp; "K")</f>
        <v/>
      </c>
      <c r="Q19" s="150">
        <f>IFERROR(E19-W9Q2FY26!E19,"OOS")</f>
        <v/>
      </c>
      <c r="R19" s="147">
        <f>IF(Q19=0,"",$A19 &amp; IF(Q19&gt;0," tăng "," giảm ") &amp; TEXT(ABS(Q19)/1000,"0") &amp; "K = " &amp; TEXT(E19/1000,"#.##0") &amp; "K")</f>
        <v/>
      </c>
      <c r="S19" s="150">
        <f>IFERROR(F19-W9Q2FY26!F19,"OOS")</f>
        <v/>
      </c>
      <c r="T19" s="147">
        <f>IF(S19=0,"",$A19 &amp; IF(S19&gt;0," tăng "," giảm ") &amp; TEXT(ABS(S19)/1000,"0") &amp; "K = " &amp; TEXT(F19/1000,"#.##0") &amp; "K")</f>
        <v/>
      </c>
      <c r="U19" s="150">
        <f>IFERROR(G19-W9Q2FY26!G19,"OOS")</f>
        <v/>
      </c>
      <c r="V19" s="147">
        <f>IF(U19=0,"",$A19 &amp; IF(U19&gt;0," tăng "," giảm ") &amp; TEXT(ABS(U19)/1000,"0") &amp; "K = " &amp; TEXT(G19/1000,"#.##0") &amp; "K")</f>
        <v/>
      </c>
    </row>
    <row r="20">
      <c r="A20" t="inlineStr">
        <is>
          <t>iPad Pro  M4  11" 256 GB Wifi</t>
        </is>
      </c>
      <c r="B20" s="25" t="n"/>
      <c r="C20" s="113" t="inlineStr">
        <is>
          <t>OOS</t>
        </is>
      </c>
      <c r="D20" s="136" t="n">
        <v>28990000</v>
      </c>
      <c r="E20" s="113" t="inlineStr">
        <is>
          <t>OOS</t>
        </is>
      </c>
      <c r="F20" s="133" t="inlineStr">
        <is>
          <t>OOS</t>
        </is>
      </c>
      <c r="G20" s="113" t="inlineStr">
        <is>
          <t>OOS</t>
        </is>
      </c>
      <c r="I20" t="inlineStr">
        <is>
          <t>CPS</t>
        </is>
      </c>
      <c r="J20" t="inlineStr">
        <is>
          <t>Duy</t>
        </is>
      </c>
      <c r="K20" t="b">
        <v>1</v>
      </c>
      <c r="M20" s="149">
        <f>IFERROR(C20-W9Q2FY26!C20,"OOS")</f>
        <v/>
      </c>
      <c r="N20" s="147">
        <f>IF(M20=0,"",$A20 &amp; IF(M20&gt;0," tăng "," giảm ") &amp; TEXT(ABS(M20)/1000,"0") &amp; "K = " &amp; TEXT(C20/1000,"#.##0") &amp; "K")</f>
        <v/>
      </c>
      <c r="O20" s="150">
        <f>IFERROR(D20-W9Q2FY26!D20,"OOS")</f>
        <v/>
      </c>
      <c r="P20" s="147">
        <f>IF(O20=0,"",$A20 &amp; IF(O20&gt;0," tăng "," giảm ") &amp; TEXT(ABS(O20)/1000,"0") &amp; "K = " &amp; TEXT(D20/1000,"#.##0") &amp; "K")</f>
        <v/>
      </c>
      <c r="Q20" s="150">
        <f>IFERROR(E20-W9Q2FY26!E20,"OOS")</f>
        <v/>
      </c>
      <c r="R20" s="147">
        <f>IF(Q20=0,"",$A20 &amp; IF(Q20&gt;0," tăng "," giảm ") &amp; TEXT(ABS(Q20)/1000,"0") &amp; "K = " &amp; TEXT(E20/1000,"#.##0") &amp; "K")</f>
        <v/>
      </c>
      <c r="S20" s="150">
        <f>IFERROR(F20-W9Q2FY26!F20,"OOS")</f>
        <v/>
      </c>
      <c r="T20" s="147">
        <f>IF(S20=0,"",$A20 &amp; IF(S20&gt;0," tăng "," giảm ") &amp; TEXT(ABS(S20)/1000,"0") &amp; "K = " &amp; TEXT(F20/1000,"#.##0") &amp; "K")</f>
        <v/>
      </c>
      <c r="U20" s="150">
        <f>IFERROR(G20-W9Q2FY26!G20,"OOS")</f>
        <v/>
      </c>
      <c r="V20" s="147">
        <f>IF(U20=0,"",$A20 &amp; IF(U20&gt;0," tăng "," giảm ") &amp; TEXT(ABS(U20)/1000,"0") &amp; "K = " &amp; TEXT(G20/1000,"#.##0") &amp; "K")</f>
        <v/>
      </c>
    </row>
    <row r="21">
      <c r="A21" t="inlineStr">
        <is>
          <t>iPad Pro  M4  13" 256 GB Wifi</t>
        </is>
      </c>
      <c r="B21" s="3" t="n"/>
      <c r="C21" s="113" t="inlineStr">
        <is>
          <t>OOS</t>
        </is>
      </c>
      <c r="D21" s="113" t="inlineStr">
        <is>
          <t>OOS</t>
        </is>
      </c>
      <c r="E21" s="113" t="inlineStr">
        <is>
          <t>OOS</t>
        </is>
      </c>
      <c r="F21" s="113" t="inlineStr">
        <is>
          <t>OOS</t>
        </is>
      </c>
      <c r="G21" s="113" t="inlineStr">
        <is>
          <t>OOS</t>
        </is>
      </c>
      <c r="I21" t="inlineStr">
        <is>
          <t>ShopDunk</t>
        </is>
      </c>
      <c r="J21" t="inlineStr">
        <is>
          <t>Đạt</t>
        </is>
      </c>
      <c r="K21" t="b">
        <v>1</v>
      </c>
      <c r="M21" s="149">
        <f>IFERROR(C21-W9Q2FY26!C21,"OOS")</f>
        <v/>
      </c>
      <c r="N21" s="147">
        <f>IF(M21=0,"",$A21 &amp; IF(M21&gt;0," tăng "," giảm ") &amp; TEXT(ABS(M21)/1000,"0") &amp; "K = " &amp; TEXT(C21/1000,"#.##0") &amp; "K")</f>
        <v/>
      </c>
      <c r="O21" s="150">
        <f>IFERROR(D21-W9Q2FY26!D21,"OOS")</f>
        <v/>
      </c>
      <c r="P21" s="147">
        <f>IF(O21=0,"",$A21 &amp; IF(O21&gt;0," tăng "," giảm ") &amp; TEXT(ABS(O21)/1000,"0") &amp; "K = " &amp; TEXT(D21/1000,"#.##0") &amp; "K")</f>
        <v/>
      </c>
      <c r="Q21" s="150">
        <f>IFERROR(E21-W9Q2FY26!E21,"OOS")</f>
        <v/>
      </c>
      <c r="R21" s="147">
        <f>IF(Q21=0,"",$A21 &amp; IF(Q21&gt;0," tăng "," giảm ") &amp; TEXT(ABS(Q21)/1000,"0") &amp; "K = " &amp; TEXT(E21/1000,"#.##0") &amp; "K")</f>
        <v/>
      </c>
      <c r="S21" s="150">
        <f>IFERROR(F21-W9Q2FY26!F21,"OOS")</f>
        <v/>
      </c>
      <c r="T21" s="147">
        <f>IF(S21=0,"",$A21 &amp; IF(S21&gt;0," tăng "," giảm ") &amp; TEXT(ABS(S21)/1000,"0") &amp; "K = " &amp; TEXT(F21/1000,"#.##0") &amp; "K")</f>
        <v/>
      </c>
      <c r="U21" s="150">
        <f>IFERROR(G21-W9Q2FY26!G21,"OOS")</f>
        <v/>
      </c>
      <c r="V21" s="147">
        <f>IF(U21=0,"",$A21 &amp; IF(U21&gt;0," tăng "," giảm ") &amp; TEXT(ABS(U21)/1000,"0") &amp; "K = " &amp; TEXT(G21/1000,"#.##0") &amp; "K")</f>
        <v/>
      </c>
    </row>
    <row r="22">
      <c r="A22" t="inlineStr">
        <is>
          <t>iPad Pro M5 11” 256GB Wifi</t>
        </is>
      </c>
      <c r="B22" s="3" t="n"/>
      <c r="C22" s="141" t="n">
        <v>29290000</v>
      </c>
      <c r="D22" s="136" t="n">
        <v>28990000</v>
      </c>
      <c r="E22" s="124" t="n">
        <v>28990000</v>
      </c>
      <c r="F22" s="134" t="n">
        <v>29090000</v>
      </c>
      <c r="G22" s="113" t="n">
        <v>28990000</v>
      </c>
      <c r="M22" s="149">
        <f>IFERROR(C22-W9Q2FY26!C22,"OOS")</f>
        <v/>
      </c>
      <c r="N22" s="147">
        <f>IF(M22=0,"",$A22 &amp; IF(M22&gt;0," tăng "," giảm ") &amp; TEXT(ABS(M22)/1000,"0") &amp; "K = " &amp; TEXT(C22/1000,"#.##0") &amp; "K")</f>
        <v/>
      </c>
      <c r="O22" s="150">
        <f>IFERROR(D22-W9Q2FY26!D22,"OOS")</f>
        <v/>
      </c>
      <c r="P22" s="147">
        <f>IF(O22=0,"",$A22 &amp; IF(O22&gt;0," tăng "," giảm ") &amp; TEXT(ABS(O22)/1000,"0") &amp; "K = " &amp; TEXT(D22/1000,"#.##0") &amp; "K")</f>
        <v/>
      </c>
      <c r="Q22" s="150">
        <f>IFERROR(E22-W9Q2FY26!E22,"OOS")</f>
        <v/>
      </c>
      <c r="R22" s="147">
        <f>IF(Q22=0,"",$A22 &amp; IF(Q22&gt;0," tăng "," giảm ") &amp; TEXT(ABS(Q22)/1000,"0") &amp; "K = " &amp; TEXT(E22/1000,"#.##0") &amp; "K")</f>
        <v/>
      </c>
      <c r="S22" s="150">
        <f>IFERROR(F22-W9Q2FY26!F22,"OOS")</f>
        <v/>
      </c>
      <c r="T22" s="147">
        <f>IF(S22=0,"",$A22 &amp; IF(S22&gt;0," tăng "," giảm ") &amp; TEXT(ABS(S22)/1000,"0") &amp; "K = " &amp; TEXT(F22/1000,"#.##0") &amp; "K")</f>
        <v/>
      </c>
      <c r="U22" s="150">
        <f>IFERROR(G22-W9Q2FY26!G22,"OOS")</f>
        <v/>
      </c>
      <c r="V22" s="147">
        <f>IF(U22=0,"",$A22 &amp; IF(U22&gt;0," tăng "," giảm ") &amp; TEXT(ABS(U22)/1000,"0") &amp; "K = " &amp; TEXT(G22/1000,"#.##0") &amp; "K")</f>
        <v/>
      </c>
    </row>
    <row r="23">
      <c r="A23" t="inlineStr">
        <is>
          <t>iPad Pro M5 13” 256GB Wifi</t>
        </is>
      </c>
      <c r="B23" s="3" t="n"/>
      <c r="C23" s="136" t="n">
        <v>38990000</v>
      </c>
      <c r="D23" s="142" t="n">
        <v>38990000</v>
      </c>
      <c r="E23" s="113" t="n">
        <v>38990000</v>
      </c>
      <c r="F23" s="133" t="n">
        <v>38990000</v>
      </c>
      <c r="G23" s="113" t="n">
        <v>38990000</v>
      </c>
      <c r="M23" s="149">
        <f>IFERROR(C23-W9Q2FY26!C23,"OOS")</f>
        <v/>
      </c>
      <c r="N23" s="147">
        <f>IF(M23=0,"",$A23 &amp; IF(M23&gt;0," tăng "," giảm ") &amp; TEXT(ABS(M23)/1000,"0") &amp; "K = " &amp; TEXT(C23/1000,"#.##0") &amp; "K")</f>
        <v/>
      </c>
      <c r="O23" s="150">
        <f>IFERROR(D23-W9Q2FY26!D23,"OOS")</f>
        <v/>
      </c>
      <c r="P23" s="147">
        <f>IF(O23=0,"",$A23 &amp; IF(O23&gt;0," tăng "," giảm ") &amp; TEXT(ABS(O23)/1000,"0") &amp; "K = " &amp; TEXT(D23/1000,"#.##0") &amp; "K")</f>
        <v/>
      </c>
      <c r="Q23" s="150">
        <f>IFERROR(E23-W9Q2FY26!E23,"OOS")</f>
        <v/>
      </c>
      <c r="R23" s="147">
        <f>IF(Q23=0,"",$A23 &amp; IF(Q23&gt;0," tăng "," giảm ") &amp; TEXT(ABS(Q23)/1000,"0") &amp; "K = " &amp; TEXT(E23/1000,"#.##0") &amp; "K")</f>
        <v/>
      </c>
      <c r="S23" s="150">
        <f>IFERROR(F23-W9Q2FY26!F23,"OOS")</f>
        <v/>
      </c>
      <c r="T23" s="147">
        <f>IF(S23=0,"",$A23 &amp; IF(S23&gt;0," tăng "," giảm ") &amp; TEXT(ABS(S23)/1000,"0") &amp; "K = " &amp; TEXT(F23/1000,"#.##0") &amp; "K")</f>
        <v/>
      </c>
      <c r="U23" s="150">
        <f>IFERROR(G23-W9Q2FY26!G23,"OOS")</f>
        <v/>
      </c>
      <c r="V23" s="147">
        <f>IF(U23=0,"",$A23 &amp; IF(U23&gt;0," tăng "," giảm ") &amp; TEXT(ABS(U23)/1000,"0") &amp; "K = " &amp; TEXT(G23/1000,"#.##0") &amp; "K")</f>
        <v/>
      </c>
    </row>
    <row r="24">
      <c r="A24" t="inlineStr">
        <is>
          <t>AW SE 3 (40mm GPS)</t>
        </is>
      </c>
      <c r="B24" s="25" t="n"/>
      <c r="C24" s="141" t="n">
        <v>6390000</v>
      </c>
      <c r="D24" s="141" t="n">
        <v>6290000</v>
      </c>
      <c r="E24" s="140" t="n">
        <v>6190000</v>
      </c>
      <c r="F24" s="134" t="n">
        <v>6290000</v>
      </c>
      <c r="G24" s="124" t="n">
        <v>6290000</v>
      </c>
      <c r="M24" s="149">
        <f>IFERROR(C24-W9Q2FY26!C24,"OOS")</f>
        <v/>
      </c>
      <c r="N24" s="147">
        <f>IF(M24=0,"",$A24 &amp; IF(M24&gt;0," tăng "," giảm ") &amp; TEXT(ABS(M24)/1000,"0") &amp; "K = " &amp; TEXT(C24/1000,"#.##0") &amp; "K")</f>
        <v/>
      </c>
      <c r="O24" s="150">
        <f>IFERROR(D24-W9Q2FY26!D24,"OOS")</f>
        <v/>
      </c>
      <c r="P24" s="147">
        <f>IF(O24=0,"",$A24 &amp; IF(O24&gt;0," tăng "," giảm ") &amp; TEXT(ABS(O24)/1000,"0") &amp; "K = " &amp; TEXT(D24/1000,"#.##0") &amp; "K")</f>
        <v/>
      </c>
      <c r="Q24" s="150">
        <f>IFERROR(E24-W9Q2FY26!E24,"OOS")</f>
        <v/>
      </c>
      <c r="R24" s="147">
        <f>IF(Q24=0,"",$A24 &amp; IF(Q24&gt;0," tăng "," giảm ") &amp; TEXT(ABS(Q24)/1000,"0") &amp; "K = " &amp; TEXT(E24/1000,"#.##0") &amp; "K")</f>
        <v/>
      </c>
      <c r="S24" s="150">
        <f>IFERROR(F24-W9Q2FY26!F24,"OOS")</f>
        <v/>
      </c>
      <c r="T24" s="147">
        <f>IF(S24=0,"",$A24 &amp; IF(S24&gt;0," tăng "," giảm ") &amp; TEXT(ABS(S24)/1000,"0") &amp; "K = " &amp; TEXT(F24/1000,"#.##0") &amp; "K")</f>
        <v/>
      </c>
      <c r="U24" s="150">
        <f>IFERROR(G24-W9Q2FY26!G24,"OOS")</f>
        <v/>
      </c>
      <c r="V24" s="147">
        <f>IF(U24=0,"",$A24 &amp; IF(U24&gt;0," tăng "," giảm ") &amp; TEXT(ABS(U24)/1000,"0") &amp; "K = " &amp; TEXT(G24/1000,"#.##0") &amp; "K")</f>
        <v/>
      </c>
    </row>
    <row r="25">
      <c r="A25" t="inlineStr">
        <is>
          <t>AW SE 3 (40mm LTE)</t>
        </is>
      </c>
      <c r="B25" s="25" t="n"/>
      <c r="C25" s="141" t="n">
        <v>7990000</v>
      </c>
      <c r="D25" s="141" t="n">
        <v>7690000</v>
      </c>
      <c r="E25" s="140" t="n">
        <v>7690000</v>
      </c>
      <c r="F25" s="134" t="n">
        <v>7690000</v>
      </c>
      <c r="G25" s="124" t="n">
        <v>7690000</v>
      </c>
      <c r="M25" s="149">
        <f>IFERROR(C25-W9Q2FY26!C25,"OOS")</f>
        <v/>
      </c>
      <c r="N25" s="147">
        <f>IF(M25=0,"",$A25 &amp; IF(M25&gt;0," tăng "," giảm ") &amp; TEXT(ABS(M25)/1000,"0") &amp; "K = " &amp; TEXT(C25/1000,"#.##0") &amp; "K")</f>
        <v/>
      </c>
      <c r="O25" s="150">
        <f>IFERROR(D25-W9Q2FY26!D25,"OOS")</f>
        <v/>
      </c>
      <c r="P25" s="147">
        <f>IF(O25=0,"",$A25 &amp; IF(O25&gt;0," tăng "," giảm ") &amp; TEXT(ABS(O25)/1000,"0") &amp; "K = " &amp; TEXT(D25/1000,"#.##0") &amp; "K")</f>
        <v/>
      </c>
      <c r="Q25" s="150">
        <f>IFERROR(E25-W9Q2FY26!E25,"OOS")</f>
        <v/>
      </c>
      <c r="R25" s="147">
        <f>IF(Q25=0,"",$A25 &amp; IF(Q25&gt;0," tăng "," giảm ") &amp; TEXT(ABS(Q25)/1000,"0") &amp; "K = " &amp; TEXT(E25/1000,"#.##0") &amp; "K")</f>
        <v/>
      </c>
      <c r="S25" s="150">
        <f>IFERROR(F25-W9Q2FY26!F25,"OOS")</f>
        <v/>
      </c>
      <c r="T25" s="147">
        <f>IF(S25=0,"",$A25 &amp; IF(S25&gt;0," tăng "," giảm ") &amp; TEXT(ABS(S25)/1000,"0") &amp; "K = " &amp; TEXT(F25/1000,"#.##0") &amp; "K")</f>
        <v/>
      </c>
      <c r="U25" s="150">
        <f>IFERROR(G25-W9Q2FY26!G25,"OOS")</f>
        <v/>
      </c>
      <c r="V25" s="147">
        <f>IF(U25=0,"",$A25 &amp; IF(U25&gt;0," tăng "," giảm ") &amp; TEXT(ABS(U25)/1000,"0") &amp; "K = " &amp; TEXT(G25/1000,"#.##0") &amp; "K")</f>
        <v/>
      </c>
    </row>
    <row r="26">
      <c r="A26" t="inlineStr">
        <is>
          <t>AW SE 3 (44mm GPS)</t>
        </is>
      </c>
      <c r="B26" s="25" t="n"/>
      <c r="C26" s="141" t="n">
        <v>7290000</v>
      </c>
      <c r="D26" s="141" t="n">
        <v>6990000</v>
      </c>
      <c r="E26" s="140" t="n">
        <v>6990000</v>
      </c>
      <c r="F26" s="134" t="n">
        <v>7290000</v>
      </c>
      <c r="G26" s="124" t="n">
        <v>7190000</v>
      </c>
      <c r="M26" s="149">
        <f>IFERROR(C26-W9Q2FY26!C26,"OOS")</f>
        <v/>
      </c>
      <c r="N26" s="147">
        <f>IF(M26=0,"",$A26 &amp; IF(M26&gt;0," tăng "," giảm ") &amp; TEXT(ABS(M26)/1000,"0") &amp; "K = " &amp; TEXT(C26/1000,"#.##0") &amp; "K")</f>
        <v/>
      </c>
      <c r="O26" s="150">
        <f>IFERROR(D26-W9Q2FY26!D26,"OOS")</f>
        <v/>
      </c>
      <c r="P26" s="147">
        <f>IF(O26=0,"",$A26 &amp; IF(O26&gt;0," tăng "," giảm ") &amp; TEXT(ABS(O26)/1000,"0") &amp; "K = " &amp; TEXT(D26/1000,"#.##0") &amp; "K")</f>
        <v/>
      </c>
      <c r="Q26" s="150">
        <f>IFERROR(E26-W9Q2FY26!E26,"OOS")</f>
        <v/>
      </c>
      <c r="R26" s="147">
        <f>IF(Q26=0,"",$A26 &amp; IF(Q26&gt;0," tăng "," giảm ") &amp; TEXT(ABS(Q26)/1000,"0") &amp; "K = " &amp; TEXT(E26/1000,"#.##0") &amp; "K")</f>
        <v/>
      </c>
      <c r="S26" s="150">
        <f>IFERROR(F26-W9Q2FY26!F26,"OOS")</f>
        <v/>
      </c>
      <c r="T26" s="147">
        <f>IF(S26=0,"",$A26 &amp; IF(S26&gt;0," tăng "," giảm ") &amp; TEXT(ABS(S26)/1000,"0") &amp; "K = " &amp; TEXT(F26/1000,"#.##0") &amp; "K")</f>
        <v/>
      </c>
      <c r="U26" s="150">
        <f>IFERROR(G26-W9Q2FY26!G26,"OOS")</f>
        <v/>
      </c>
      <c r="V26" s="147">
        <f>IF(U26=0,"",$A26 &amp; IF(U26&gt;0," tăng "," giảm ") &amp; TEXT(ABS(U26)/1000,"0") &amp; "K = " &amp; TEXT(G26/1000,"#.##0") &amp; "K")</f>
        <v/>
      </c>
    </row>
    <row r="27">
      <c r="A27" t="inlineStr">
        <is>
          <t>AW SE 3 (44mm LTE)</t>
        </is>
      </c>
      <c r="B27" s="25" t="n"/>
      <c r="C27" s="141" t="n">
        <v>8790000</v>
      </c>
      <c r="D27" s="136" t="n">
        <v>8490000</v>
      </c>
      <c r="E27" s="140" t="n">
        <v>8590000</v>
      </c>
      <c r="F27" s="134" t="n">
        <v>8790000</v>
      </c>
      <c r="G27" s="113" t="n">
        <v>8690000</v>
      </c>
      <c r="M27" s="149">
        <f>IFERROR(C27-W9Q2FY26!C27,"OOS")</f>
        <v/>
      </c>
      <c r="N27" s="147">
        <f>IF(M27=0,"",$A27 &amp; IF(M27&gt;0," tăng "," giảm ") &amp; TEXT(ABS(M27)/1000,"0") &amp; "K = " &amp; TEXT(C27/1000,"#.##0") &amp; "K")</f>
        <v/>
      </c>
      <c r="O27" s="150">
        <f>IFERROR(D27-W9Q2FY26!D27,"OOS")</f>
        <v/>
      </c>
      <c r="P27" s="147">
        <f>IF(O27=0,"",$A27 &amp; IF(O27&gt;0," tăng "," giảm ") &amp; TEXT(ABS(O27)/1000,"0") &amp; "K = " &amp; TEXT(D27/1000,"#.##0") &amp; "K")</f>
        <v/>
      </c>
      <c r="Q27" s="150">
        <f>IFERROR(E27-W9Q2FY26!E27,"OOS")</f>
        <v/>
      </c>
      <c r="R27" s="147">
        <f>IF(Q27=0,"",$A27 &amp; IF(Q27&gt;0," tăng "," giảm ") &amp; TEXT(ABS(Q27)/1000,"0") &amp; "K = " &amp; TEXT(E27/1000,"#.##0") &amp; "K")</f>
        <v/>
      </c>
      <c r="S27" s="150">
        <f>IFERROR(F27-W9Q2FY26!F27,"OOS")</f>
        <v/>
      </c>
      <c r="T27" s="147">
        <f>IF(S27=0,"",$A27 &amp; IF(S27&gt;0," tăng "," giảm ") &amp; TEXT(ABS(S27)/1000,"0") &amp; "K = " &amp; TEXT(F27/1000,"#.##0") &amp; "K")</f>
        <v/>
      </c>
      <c r="U27" s="150">
        <f>IFERROR(G27-W9Q2FY26!G27,"OOS")</f>
        <v/>
      </c>
      <c r="V27" s="147">
        <f>IF(U27=0,"",$A27 &amp; IF(U27&gt;0," tăng "," giảm ") &amp; TEXT(ABS(U27)/1000,"0") &amp; "K = " &amp; TEXT(G27/1000,"#.##0") &amp; "K")</f>
        <v/>
      </c>
    </row>
    <row r="28">
      <c r="A28" t="inlineStr">
        <is>
          <t>AW S11 (42mm GPS)</t>
        </is>
      </c>
      <c r="B28" s="3" t="n"/>
      <c r="C28" s="141" t="n">
        <v>9190000</v>
      </c>
      <c r="D28" s="141" t="n">
        <v>9190000</v>
      </c>
      <c r="E28" s="140" t="n">
        <v>8990000</v>
      </c>
      <c r="F28" s="134" t="n">
        <v>9090000</v>
      </c>
      <c r="G28" s="113" t="n">
        <v>8990000</v>
      </c>
      <c r="M28" s="149">
        <f>IFERROR(C28-W9Q2FY26!C28,"OOS")</f>
        <v/>
      </c>
      <c r="N28" s="147">
        <f>IF(M28=0,"",$A28 &amp; IF(M28&gt;0," tăng "," giảm ") &amp; TEXT(ABS(M28)/1000,"0") &amp; "K = " &amp; TEXT(C28/1000,"#.##0") &amp; "K")</f>
        <v/>
      </c>
      <c r="O28" s="150">
        <f>IFERROR(D28-W9Q2FY26!D28,"OOS")</f>
        <v/>
      </c>
      <c r="P28" s="147">
        <f>IF(O28=0,"",$A28 &amp; IF(O28&gt;0," tăng "," giảm ") &amp; TEXT(ABS(O28)/1000,"0") &amp; "K = " &amp; TEXT(D28/1000,"#.##0") &amp; "K")</f>
        <v/>
      </c>
      <c r="Q28" s="150">
        <f>IFERROR(E28-W9Q2FY26!E28,"OOS")</f>
        <v/>
      </c>
      <c r="R28" s="147">
        <f>IF(Q28=0,"",$A28 &amp; IF(Q28&gt;0," tăng "," giảm ") &amp; TEXT(ABS(Q28)/1000,"0") &amp; "K = " &amp; TEXT(E28/1000,"#.##0") &amp; "K")</f>
        <v/>
      </c>
      <c r="S28" s="150">
        <f>IFERROR(F28-W9Q2FY26!F28,"OOS")</f>
        <v/>
      </c>
      <c r="T28" s="147">
        <f>IF(S28=0,"",$A28 &amp; IF(S28&gt;0," tăng "," giảm ") &amp; TEXT(ABS(S28)/1000,"0") &amp; "K = " &amp; TEXT(F28/1000,"#.##0") &amp; "K")</f>
        <v/>
      </c>
      <c r="U28" s="150">
        <f>IFERROR(G28-W9Q2FY26!G28,"OOS")</f>
        <v/>
      </c>
      <c r="V28" s="147">
        <f>IF(U28=0,"",$A28 &amp; IF(U28&gt;0," tăng "," giảm ") &amp; TEXT(ABS(U28)/1000,"0") &amp; "K = " &amp; TEXT(G28/1000,"#.##0") &amp; "K")</f>
        <v/>
      </c>
    </row>
    <row r="29">
      <c r="A29" t="inlineStr">
        <is>
          <t>AW S11 (42mm CEL)</t>
        </is>
      </c>
      <c r="B29" s="3" t="n"/>
      <c r="C29" s="141" t="n">
        <v>12090000</v>
      </c>
      <c r="D29" s="141" t="n">
        <v>11990000</v>
      </c>
      <c r="E29" s="140" t="n">
        <v>11990000</v>
      </c>
      <c r="F29" s="134" t="n">
        <v>12090000</v>
      </c>
      <c r="G29" s="113" t="n">
        <v>11990000</v>
      </c>
      <c r="M29" s="149">
        <f>IFERROR(C29-W9Q2FY26!C29,"OOS")</f>
        <v/>
      </c>
      <c r="N29" s="147">
        <f>IF(M29=0,"",$A29 &amp; IF(M29&gt;0," tăng "," giảm ") &amp; TEXT(ABS(M29)/1000,"0") &amp; "K = " &amp; TEXT(C29/1000,"#.##0") &amp; "K")</f>
        <v/>
      </c>
      <c r="O29" s="150">
        <f>IFERROR(D29-W9Q2FY26!D29,"OOS")</f>
        <v/>
      </c>
      <c r="P29" s="147">
        <f>IF(O29=0,"",$A29 &amp; IF(O29&gt;0," tăng "," giảm ") &amp; TEXT(ABS(O29)/1000,"0") &amp; "K = " &amp; TEXT(D29/1000,"#.##0") &amp; "K")</f>
        <v/>
      </c>
      <c r="Q29" s="150">
        <f>IFERROR(E29-W9Q2FY26!E29,"OOS")</f>
        <v/>
      </c>
      <c r="R29" s="147">
        <f>IF(Q29=0,"",$A29 &amp; IF(Q29&gt;0," tăng "," giảm ") &amp; TEXT(ABS(Q29)/1000,"0") &amp; "K = " &amp; TEXT(E29/1000,"#.##0") &amp; "K")</f>
        <v/>
      </c>
      <c r="S29" s="150">
        <f>IFERROR(F29-W9Q2FY26!F29,"OOS")</f>
        <v/>
      </c>
      <c r="T29" s="147">
        <f>IF(S29=0,"",$A29 &amp; IF(S29&gt;0," tăng "," giảm ") &amp; TEXT(ABS(S29)/1000,"0") &amp; "K = " &amp; TEXT(F29/1000,"#.##0") &amp; "K")</f>
        <v/>
      </c>
      <c r="U29" s="150">
        <f>IFERROR(G29-W9Q2FY26!G29,"OOS")</f>
        <v/>
      </c>
      <c r="V29" s="147">
        <f>IF(U29=0,"",$A29 &amp; IF(U29&gt;0," tăng "," giảm ") &amp; TEXT(ABS(U29)/1000,"0") &amp; "K = " &amp; TEXT(G29/1000,"#.##0") &amp; "K")</f>
        <v/>
      </c>
    </row>
    <row r="30">
      <c r="A30" t="inlineStr">
        <is>
          <t>AW S11 (46mm GPS)</t>
        </is>
      </c>
      <c r="B30" s="3" t="n"/>
      <c r="C30" s="141" t="n">
        <v>9990000</v>
      </c>
      <c r="D30" s="136" t="n">
        <v>9990000</v>
      </c>
      <c r="E30" s="140" t="n">
        <v>9690000</v>
      </c>
      <c r="F30" s="134" t="n">
        <v>9890000</v>
      </c>
      <c r="G30" s="111" t="n">
        <v>9990000</v>
      </c>
      <c r="M30" s="149">
        <f>IFERROR(C30-W9Q2FY26!C30,"OOS")</f>
        <v/>
      </c>
      <c r="N30" s="147">
        <f>IF(M30=0,"",$A30 &amp; IF(M30&gt;0," tăng "," giảm ") &amp; TEXT(ABS(M30)/1000,"0") &amp; "K = " &amp; TEXT(C30/1000,"#.##0") &amp; "K")</f>
        <v/>
      </c>
      <c r="O30" s="150">
        <f>IFERROR(D30-W9Q2FY26!D30,"OOS")</f>
        <v/>
      </c>
      <c r="P30" s="147">
        <f>IF(O30=0,"",$A30 &amp; IF(O30&gt;0," tăng "," giảm ") &amp; TEXT(ABS(O30)/1000,"0") &amp; "K = " &amp; TEXT(D30/1000,"#.##0") &amp; "K")</f>
        <v/>
      </c>
      <c r="Q30" s="150">
        <f>IFERROR(E30-W9Q2FY26!E30,"OOS")</f>
        <v/>
      </c>
      <c r="R30" s="147">
        <f>IF(Q30=0,"",$A30 &amp; IF(Q30&gt;0," tăng "," giảm ") &amp; TEXT(ABS(Q30)/1000,"0") &amp; "K = " &amp; TEXT(E30/1000,"#.##0") &amp; "K")</f>
        <v/>
      </c>
      <c r="S30" s="150">
        <f>IFERROR(F30-W9Q2FY26!F30,"OOS")</f>
        <v/>
      </c>
      <c r="T30" s="147">
        <f>IF(S30=0,"",$A30 &amp; IF(S30&gt;0," tăng "," giảm ") &amp; TEXT(ABS(S30)/1000,"0") &amp; "K = " &amp; TEXT(F30/1000,"#.##0") &amp; "K")</f>
        <v/>
      </c>
      <c r="U30" s="150">
        <f>IFERROR(G30-W9Q2FY26!G30,"OOS")</f>
        <v/>
      </c>
      <c r="V30" s="147">
        <f>IF(U30=0,"",$A30 &amp; IF(U30&gt;0," tăng "," giảm ") &amp; TEXT(ABS(U30)/1000,"0") &amp; "K = " &amp; TEXT(G30/1000,"#.##0") &amp; "K")</f>
        <v/>
      </c>
    </row>
    <row r="31">
      <c r="A31" t="inlineStr">
        <is>
          <t>AW S11 (46mm CEL)</t>
        </is>
      </c>
      <c r="B31" s="3" t="n"/>
      <c r="C31" s="141" t="n">
        <v>12990000</v>
      </c>
      <c r="D31" s="141" t="n">
        <v>12490000</v>
      </c>
      <c r="E31" s="140" t="n">
        <v>12490000</v>
      </c>
      <c r="F31" s="134" t="n">
        <v>12990000</v>
      </c>
      <c r="G31" s="111" t="n">
        <v>12990000</v>
      </c>
      <c r="M31" s="149">
        <f>IFERROR(C31-W9Q2FY26!C31,"OOS")</f>
        <v/>
      </c>
      <c r="N31" s="147">
        <f>IF(M31=0,"",$A31 &amp; IF(M31&gt;0," tăng "," giảm ") &amp; TEXT(ABS(M31)/1000,"0") &amp; "K = " &amp; TEXT(C31/1000,"#.##0") &amp; "K")</f>
        <v/>
      </c>
      <c r="O31" s="150">
        <f>IFERROR(D31-W9Q2FY26!D31,"OOS")</f>
        <v/>
      </c>
      <c r="P31" s="147">
        <f>IF(O31=0,"",$A31 &amp; IF(O31&gt;0," tăng "," giảm ") &amp; TEXT(ABS(O31)/1000,"0") &amp; "K = " &amp; TEXT(D31/1000,"#.##0") &amp; "K")</f>
        <v/>
      </c>
      <c r="Q31" s="150">
        <f>IFERROR(E31-W9Q2FY26!E31,"OOS")</f>
        <v/>
      </c>
      <c r="R31" s="147">
        <f>IF(Q31=0,"",$A31 &amp; IF(Q31&gt;0," tăng "," giảm ") &amp; TEXT(ABS(Q31)/1000,"0") &amp; "K = " &amp; TEXT(E31/1000,"#.##0") &amp; "K")</f>
        <v/>
      </c>
      <c r="S31" s="150">
        <f>IFERROR(F31-W9Q2FY26!F31,"OOS")</f>
        <v/>
      </c>
      <c r="T31" s="147">
        <f>IF(S31=0,"",$A31 &amp; IF(S31&gt;0," tăng "," giảm ") &amp; TEXT(ABS(S31)/1000,"0") &amp; "K = " &amp; TEXT(F31/1000,"#.##0") &amp; "K")</f>
        <v/>
      </c>
      <c r="U31" s="150">
        <f>IFERROR(G31-W9Q2FY26!G31,"OOS")</f>
        <v/>
      </c>
      <c r="V31" s="147">
        <f>IF(U31=0,"",$A31 &amp; IF(U31&gt;0," tăng "," giảm ") &amp; TEXT(ABS(U31)/1000,"0") &amp; "K = " &amp; TEXT(G31/1000,"#.##0") &amp; "K")</f>
        <v/>
      </c>
    </row>
    <row r="32">
      <c r="A32" t="inlineStr">
        <is>
          <t>AW Ultra 3 (49mm)</t>
        </is>
      </c>
      <c r="B32" s="25" t="n"/>
      <c r="C32" s="136" t="n">
        <v>23490000</v>
      </c>
      <c r="D32" s="136" t="n">
        <v>22990000</v>
      </c>
      <c r="E32" s="113" t="n">
        <v>22490000</v>
      </c>
      <c r="F32" s="133" t="n">
        <v>22990000</v>
      </c>
      <c r="G32" s="111" t="n">
        <v>22990000</v>
      </c>
      <c r="M32" s="149">
        <f>IFERROR(C32-W9Q2FY26!C32,"OOS")</f>
        <v/>
      </c>
      <c r="N32" s="147">
        <f>IF(M32=0,"",$A32 &amp; IF(M32&gt;0," tăng "," giảm ") &amp; TEXT(ABS(M32)/1000,"0") &amp; "K = " &amp; TEXT(C32/1000,"#.##0") &amp; "K")</f>
        <v/>
      </c>
      <c r="O32" s="150">
        <f>IFERROR(D32-W9Q2FY26!D32,"OOS")</f>
        <v/>
      </c>
      <c r="P32" s="147">
        <f>IF(O32=0,"",$A32 &amp; IF(O32&gt;0," tăng "," giảm ") &amp; TEXT(ABS(O32)/1000,"0") &amp; "K = " &amp; TEXT(D32/1000,"#.##0") &amp; "K")</f>
        <v/>
      </c>
      <c r="Q32" s="150">
        <f>IFERROR(E32-W9Q2FY26!E32,"OOS")</f>
        <v/>
      </c>
      <c r="R32" s="147">
        <f>IF(Q32=0,"",$A32 &amp; IF(Q32&gt;0," tăng "," giảm ") &amp; TEXT(ABS(Q32)/1000,"0") &amp; "K = " &amp; TEXT(E32/1000,"#.##0") &amp; "K")</f>
        <v/>
      </c>
      <c r="S32" s="150">
        <f>IFERROR(F32-W9Q2FY26!F32,"OOS")</f>
        <v/>
      </c>
      <c r="T32" s="147">
        <f>IF(S32=0,"",$A32 &amp; IF(S32&gt;0," tăng "," giảm ") &amp; TEXT(ABS(S32)/1000,"0") &amp; "K = " &amp; TEXT(F32/1000,"#.##0") &amp; "K")</f>
        <v/>
      </c>
      <c r="U32" s="150">
        <f>IFERROR(G32-W9Q2FY26!G32,"OOS")</f>
        <v/>
      </c>
      <c r="V32" s="147">
        <f>IF(U32=0,"",$A32 &amp; IF(U32&gt;0," tăng "," giảm ") &amp; TEXT(ABS(U32)/1000,"0") &amp; "K = " &amp; TEXT(G32/1000,"#.##0") &amp; "K")</f>
        <v/>
      </c>
    </row>
    <row r="33">
      <c r="A33" t="inlineStr">
        <is>
          <t>AirPods Pro 2 - 2023 (C-Type)</t>
        </is>
      </c>
      <c r="B33" s="3" t="n"/>
      <c r="C33" s="136" t="n">
        <v>4990000</v>
      </c>
      <c r="D33" s="136" t="n">
        <v>4990000</v>
      </c>
      <c r="E33" s="131" t="inlineStr">
        <is>
          <t>OOS</t>
        </is>
      </c>
      <c r="F33" s="133" t="n">
        <v>4950000</v>
      </c>
      <c r="G33" s="111" t="n">
        <v>5590000</v>
      </c>
      <c r="M33" s="149">
        <f>IFERROR(C33-W9Q2FY26!C33,"OOS")</f>
        <v/>
      </c>
      <c r="N33" s="147">
        <f>IF(M33=0,"",$A33 &amp; IF(M33&gt;0," tăng "," giảm ") &amp; TEXT(ABS(M33)/1000,"0") &amp; "K = " &amp; TEXT(C33/1000,"#.##0") &amp; "K")</f>
        <v/>
      </c>
      <c r="O33" s="150">
        <f>IFERROR(D33-W9Q2FY26!D33,"OOS")</f>
        <v/>
      </c>
      <c r="P33" s="147">
        <f>IF(O33=0,"",$A33 &amp; IF(O33&gt;0," tăng "," giảm ") &amp; TEXT(ABS(O33)/1000,"0") &amp; "K = " &amp; TEXT(D33/1000,"#.##0") &amp; "K")</f>
        <v/>
      </c>
      <c r="Q33" s="150">
        <f>IFERROR(E33-W9Q2FY26!E33,"OOS")</f>
        <v/>
      </c>
      <c r="R33" s="147">
        <f>IF(Q33=0,"",$A33 &amp; IF(Q33&gt;0," tăng "," giảm ") &amp; TEXT(ABS(Q33)/1000,"0") &amp; "K = " &amp; TEXT(E33/1000,"#.##0") &amp; "K")</f>
        <v/>
      </c>
      <c r="S33" s="150">
        <f>IFERROR(F33-W9Q2FY26!F33,"OOS")</f>
        <v/>
      </c>
      <c r="T33" s="147">
        <f>IF(S33=0,"",$A33 &amp; IF(S33&gt;0," tăng "," giảm ") &amp; TEXT(ABS(S33)/1000,"0") &amp; "K = " &amp; TEXT(F33/1000,"#.##0") &amp; "K")</f>
        <v/>
      </c>
      <c r="U33" s="150">
        <f>IFERROR(G33-W9Q2FY26!G33,"OOS")</f>
        <v/>
      </c>
      <c r="V33" s="147">
        <f>IF(U33=0,"",$A33 &amp; IF(U33&gt;0," tăng "," giảm ") &amp; TEXT(ABS(U33)/1000,"0") &amp; "K = " &amp; TEXT(G33/1000,"#.##0") &amp; "K")</f>
        <v/>
      </c>
    </row>
    <row r="34">
      <c r="A34" t="inlineStr">
        <is>
          <t>AirPods 4 ANC</t>
        </is>
      </c>
      <c r="B34" s="3" t="n"/>
      <c r="C34" s="141" t="n">
        <v>4390000</v>
      </c>
      <c r="D34" s="136" t="n">
        <v>4290000</v>
      </c>
      <c r="E34" s="140" t="n">
        <v>4290000</v>
      </c>
      <c r="F34" s="134" t="n">
        <v>4350000</v>
      </c>
      <c r="G34" s="124" t="n">
        <v>4290000</v>
      </c>
      <c r="M34" s="149">
        <f>IFERROR(C34-W9Q2FY26!C34,"OOS")</f>
        <v/>
      </c>
      <c r="N34" s="147">
        <f>IF(M34=0,"",$A34 &amp; IF(M34&gt;0," tăng "," giảm ") &amp; TEXT(ABS(M34)/1000,"0") &amp; "K = " &amp; TEXT(C34/1000,"#.##0") &amp; "K")</f>
        <v/>
      </c>
      <c r="O34" s="150">
        <f>IFERROR(D34-W9Q2FY26!D34,"OOS")</f>
        <v/>
      </c>
      <c r="P34" s="147">
        <f>IF(O34=0,"",$A34 &amp; IF(O34&gt;0," tăng "," giảm ") &amp; TEXT(ABS(O34)/1000,"0") &amp; "K = " &amp; TEXT(D34/1000,"#.##0") &amp; "K")</f>
        <v/>
      </c>
      <c r="Q34" s="150">
        <f>IFERROR(E34-W9Q2FY26!E34,"OOS")</f>
        <v/>
      </c>
      <c r="R34" s="147">
        <f>IF(Q34=0,"",$A34 &amp; IF(Q34&gt;0," tăng "," giảm ") &amp; TEXT(ABS(Q34)/1000,"0") &amp; "K = " &amp; TEXT(E34/1000,"#.##0") &amp; "K")</f>
        <v/>
      </c>
      <c r="S34" s="150">
        <f>IFERROR(F34-W9Q2FY26!F34,"OOS")</f>
        <v/>
      </c>
      <c r="T34" s="147">
        <f>IF(S34=0,"",$A34 &amp; IF(S34&gt;0," tăng "," giảm ") &amp; TEXT(ABS(S34)/1000,"0") &amp; "K = " &amp; TEXT(F34/1000,"#.##0") &amp; "K")</f>
        <v/>
      </c>
      <c r="U34" s="150">
        <f>IFERROR(G34-W9Q2FY26!G34,"OOS")</f>
        <v/>
      </c>
      <c r="V34" s="147">
        <f>IF(U34=0,"",$A34 &amp; IF(U34&gt;0," tăng "," giảm ") &amp; TEXT(ABS(U34)/1000,"0") &amp; "K = " &amp; TEXT(G34/1000,"#.##0") &amp; "K")</f>
        <v/>
      </c>
    </row>
    <row r="35">
      <c r="A35" t="inlineStr">
        <is>
          <t>AirPods 4 with charging case</t>
        </is>
      </c>
      <c r="B35" s="3" t="n"/>
      <c r="C35" s="141" t="n">
        <v>2990000</v>
      </c>
      <c r="D35" s="141" t="n">
        <v>2890000</v>
      </c>
      <c r="E35" s="140" t="n">
        <v>2890000</v>
      </c>
      <c r="F35" s="134" t="n">
        <v>2990000</v>
      </c>
      <c r="G35" s="113" t="n">
        <v>2990000</v>
      </c>
      <c r="M35" s="149">
        <f>IFERROR(C35-W9Q2FY26!C35,"OOS")</f>
        <v/>
      </c>
      <c r="N35" s="147">
        <f>IF(M35=0,"",$A35 &amp; IF(M35&gt;0," tăng "," giảm ") &amp; TEXT(ABS(M35)/1000,"0") &amp; "K = " &amp; TEXT(C35/1000,"#.##0") &amp; "K")</f>
        <v/>
      </c>
      <c r="O35" s="150">
        <f>IFERROR(D35-W9Q2FY26!D35,"OOS")</f>
        <v/>
      </c>
      <c r="P35" s="147">
        <f>IF(O35=0,"",$A35 &amp; IF(O35&gt;0," tăng "," giảm ") &amp; TEXT(ABS(O35)/1000,"0") &amp; "K = " &amp; TEXT(D35/1000,"#.##0") &amp; "K")</f>
        <v/>
      </c>
      <c r="Q35" s="150">
        <f>IFERROR(E35-W9Q2FY26!E35,"OOS")</f>
        <v/>
      </c>
      <c r="R35" s="147">
        <f>IF(Q35=0,"",$A35 &amp; IF(Q35&gt;0," tăng "," giảm ") &amp; TEXT(ABS(Q35)/1000,"0") &amp; "K = " &amp; TEXT(E35/1000,"#.##0") &amp; "K")</f>
        <v/>
      </c>
      <c r="S35" s="150">
        <f>IFERROR(F35-W9Q2FY26!F35,"OOS")</f>
        <v/>
      </c>
      <c r="T35" s="147">
        <f>IF(S35=0,"",$A35 &amp; IF(S35&gt;0," tăng "," giảm ") &amp; TEXT(ABS(S35)/1000,"0") &amp; "K = " &amp; TEXT(F35/1000,"#.##0") &amp; "K")</f>
        <v/>
      </c>
      <c r="U35" s="150">
        <f>IFERROR(G35-W9Q2FY26!G35,"OOS")</f>
        <v/>
      </c>
      <c r="V35" s="147">
        <f>IF(U35=0,"",$A35 &amp; IF(U35&gt;0," tăng "," giảm ") &amp; TEXT(ABS(U35)/1000,"0") &amp; "K = " &amp; TEXT(G35/1000,"#.##0") &amp; "K")</f>
        <v/>
      </c>
    </row>
    <row r="36">
      <c r="A36" t="inlineStr">
        <is>
          <t>AirPods Pro 3</t>
        </is>
      </c>
      <c r="B36" s="3" t="n"/>
      <c r="C36" s="141" t="n">
        <v>6390000</v>
      </c>
      <c r="D36" s="136" t="n">
        <v>6390000</v>
      </c>
      <c r="E36" s="135" t="n">
        <v>6290000</v>
      </c>
      <c r="F36" s="134" t="n">
        <v>6390000</v>
      </c>
      <c r="G36" s="113" t="n">
        <v>6490000</v>
      </c>
      <c r="M36" s="149">
        <f>IFERROR(C36-W9Q2FY26!C36,"OOS")</f>
        <v/>
      </c>
      <c r="N36" s="147">
        <f>IF(M36=0,"",$A36 &amp; IF(M36&gt;0," tăng "," giảm ") &amp; TEXT(ABS(M36)/1000,"0") &amp; "K = " &amp; TEXT(C36/1000,"#.##0") &amp; "K")</f>
        <v/>
      </c>
      <c r="O36" s="150">
        <f>IFERROR(D36-W9Q2FY26!D36,"OOS")</f>
        <v/>
      </c>
      <c r="P36" s="147">
        <f>IF(O36=0,"",$A36 &amp; IF(O36&gt;0," tăng "," giảm ") &amp; TEXT(ABS(O36)/1000,"0") &amp; "K = " &amp; TEXT(D36/1000,"#.##0") &amp; "K")</f>
        <v/>
      </c>
      <c r="Q36" s="150">
        <f>IFERROR(E36-W9Q2FY26!E36,"OOS")</f>
        <v/>
      </c>
      <c r="R36" s="147">
        <f>IF(Q36=0,"",$A36 &amp; IF(Q36&gt;0," tăng "," giảm ") &amp; TEXT(ABS(Q36)/1000,"0") &amp; "K = " &amp; TEXT(E36/1000,"#.##0") &amp; "K")</f>
        <v/>
      </c>
      <c r="S36" s="150">
        <f>IFERROR(F36-W9Q2FY26!F36,"OOS")</f>
        <v/>
      </c>
      <c r="T36" s="147">
        <f>IF(S36=0,"",$A36 &amp; IF(S36&gt;0," tăng "," giảm ") &amp; TEXT(ABS(S36)/1000,"0") &amp; "K = " &amp; TEXT(F36/1000,"#.##0") &amp; "K")</f>
        <v/>
      </c>
      <c r="U36" s="150">
        <f>IFERROR(G36-W9Q2FY26!G36,"OOS")</f>
        <v/>
      </c>
      <c r="V36" s="147">
        <f>IF(U36=0,"",$A36 &amp; IF(U36&gt;0," tăng "," giảm ") &amp; TEXT(ABS(U36)/1000,"0") &amp; "K = " &amp; TEXT(G36/1000,"#.##0") &amp; "K")</f>
        <v/>
      </c>
    </row>
    <row r="37">
      <c r="A37" t="inlineStr">
        <is>
          <t>MacBook Air 13" M2 16/256GB</t>
        </is>
      </c>
      <c r="B37" s="25" t="n"/>
      <c r="C37" s="136" t="n">
        <v>19690000</v>
      </c>
      <c r="D37" s="136" t="n">
        <v>19690000</v>
      </c>
      <c r="E37" s="143" t="n"/>
      <c r="F37" s="133" t="n">
        <v>19690000</v>
      </c>
      <c r="G37" s="111" t="n">
        <v>18990000</v>
      </c>
      <c r="M37" s="149">
        <f>IFERROR(C37-W9Q2FY26!C37,"OOS")</f>
        <v/>
      </c>
      <c r="N37" s="147">
        <f>IF(M37=0,"",$A37 &amp; IF(M37&gt;0," tăng "," giảm ") &amp; TEXT(ABS(M37)/1000,"0") &amp; "K = " &amp; TEXT(C37/1000,"#.##0") &amp; "K")</f>
        <v/>
      </c>
      <c r="O37" s="150">
        <f>IFERROR(D37-W9Q2FY26!D37,"OOS")</f>
        <v/>
      </c>
      <c r="P37" s="147">
        <f>IF(O37=0,"",$A37 &amp; IF(O37&gt;0," tăng "," giảm ") &amp; TEXT(ABS(O37)/1000,"0") &amp; "K = " &amp; TEXT(D37/1000,"#.##0") &amp; "K")</f>
        <v/>
      </c>
      <c r="Q37" s="150">
        <f>IFERROR(E37-W9Q2FY26!E37,"OOS")</f>
        <v/>
      </c>
      <c r="R37" s="147">
        <f>IF(Q37=0,"",$A37 &amp; IF(Q37&gt;0," tăng "," giảm ") &amp; TEXT(ABS(Q37)/1000,"0") &amp; "K = " &amp; TEXT(E37/1000,"#.##0") &amp; "K")</f>
        <v/>
      </c>
      <c r="S37" s="150">
        <f>IFERROR(F37-W9Q2FY26!F37,"OOS")</f>
        <v/>
      </c>
      <c r="T37" s="147">
        <f>IF(S37=0,"",$A37 &amp; IF(S37&gt;0," tăng "," giảm ") &amp; TEXT(ABS(S37)/1000,"0") &amp; "K = " &amp; TEXT(F37/1000,"#.##0") &amp; "K")</f>
        <v/>
      </c>
      <c r="U37" s="150">
        <f>IFERROR(G37-W9Q2FY26!G37,"OOS")</f>
        <v/>
      </c>
      <c r="V37" s="147">
        <f>IF(U37=0,"",$A37 &amp; IF(U37&gt;0," tăng "," giảm ") &amp; TEXT(ABS(U37)/1000,"0") &amp; "K = " &amp; TEXT(G37/1000,"#.##0") &amp; "K")</f>
        <v/>
      </c>
    </row>
    <row r="38">
      <c r="A38" t="inlineStr">
        <is>
          <t>MacBook Air 13" M5 16/512GB</t>
        </is>
      </c>
      <c r="B38" s="25" t="n"/>
      <c r="C38" s="136" t="n"/>
      <c r="D38" s="136" t="n"/>
      <c r="E38" s="143" t="n"/>
      <c r="F38" s="133" t="n"/>
      <c r="G38" s="111" t="n">
        <v>29990000</v>
      </c>
      <c r="M38" s="149">
        <f>IFERROR(C38-W9Q2FY26!C38,"OOS")</f>
        <v/>
      </c>
      <c r="N38" s="147">
        <f>IF(M38=0,"",$A38 &amp; IF(M38&gt;0," tăng "," giảm ") &amp; TEXT(ABS(M38)/1000,"0") &amp; "K = " &amp; TEXT(C38/1000,"#.##0") &amp; "K")</f>
        <v/>
      </c>
      <c r="O38" s="150" t="n"/>
      <c r="P38" s="147">
        <f>IF(O38=0,"",$A38 &amp; IF(O38&gt;0," tăng "," giảm ") &amp; TEXT(ABS(O38)/1000,"0") &amp; "K = " &amp; TEXT(D38/1000,"#.##0") &amp; "K")</f>
        <v/>
      </c>
      <c r="Q38" s="150">
        <f>IFERROR(E38-W9Q2FY26!E38,"OOS")</f>
        <v/>
      </c>
      <c r="R38" s="147">
        <f>IF(Q38=0,"",$A38 &amp; IF(Q38&gt;0," tăng "," giảm ") &amp; TEXT(ABS(Q38)/1000,"0") &amp; "K = " &amp; TEXT(E38/1000,"#.##0") &amp; "K")</f>
        <v/>
      </c>
      <c r="S38" s="150">
        <f>IFERROR(F38-W9Q2FY26!F38,"OOS")</f>
        <v/>
      </c>
      <c r="T38" s="147">
        <f>IF(S38=0,"",$A38 &amp; IF(S38&gt;0," tăng "," giảm ") &amp; TEXT(ABS(S38)/1000,"0") &amp; "K = " &amp; TEXT(F38/1000,"#.##0") &amp; "K")</f>
        <v/>
      </c>
      <c r="U38" s="150">
        <f>IFERROR(G38-W9Q2FY26!G38,"OOS")</f>
        <v/>
      </c>
      <c r="V38" s="147">
        <f>IF(U38=0,"",$A38 &amp; IF(U38&gt;0," tăng "," giảm ") &amp; TEXT(ABS(U38)/1000,"0") &amp; "K = " &amp; TEXT(G38/1000,"#.##0") &amp; "K")</f>
        <v/>
      </c>
    </row>
    <row r="39">
      <c r="A39" t="inlineStr">
        <is>
          <t>MacBook NEO A18 Pro ( 8/256GB)</t>
        </is>
      </c>
      <c r="B39" s="25" t="n"/>
      <c r="C39" s="136" t="n"/>
      <c r="D39" s="136" t="n"/>
      <c r="E39" s="143" t="n"/>
      <c r="F39" s="133" t="n"/>
      <c r="G39" s="111" t="n"/>
      <c r="M39" s="149">
        <f>IFERROR(C39-W9Q2FY26!C39,"OOS")</f>
        <v/>
      </c>
      <c r="N39" s="147">
        <f>IF(M39=0,"",$A39 &amp; IF(M39&gt;0," tăng "," giảm ") &amp; TEXT(ABS(M39)/1000,"0") &amp; "K = " &amp; TEXT(C39/1000,"#.##0") &amp; "K")</f>
        <v/>
      </c>
      <c r="O39" s="150" t="n"/>
      <c r="P39" s="147">
        <f>IF(O39=0,"",$A39 &amp; IF(O39&gt;0," tăng "," giảm ") &amp; TEXT(ABS(O39)/1000,"0") &amp; "K = " &amp; TEXT(D39/1000,"#.##0") &amp; "K")</f>
        <v/>
      </c>
      <c r="Q39" s="150">
        <f>IFERROR(E39-W9Q2FY26!E39,"OOS")</f>
        <v/>
      </c>
      <c r="R39" s="147">
        <f>IF(Q39=0,"",$A39 &amp; IF(Q39&gt;0," tăng "," giảm ") &amp; TEXT(ABS(Q39)/1000,"0") &amp; "K = " &amp; TEXT(E39/1000,"#.##0") &amp; "K")</f>
        <v/>
      </c>
      <c r="S39" s="150">
        <f>IFERROR(F39-W9Q2FY26!F39,"OOS")</f>
        <v/>
      </c>
      <c r="T39" s="147">
        <f>IF(S39=0,"",$A39 &amp; IF(S39&gt;0," tăng "," giảm ") &amp; TEXT(ABS(S39)/1000,"0") &amp; "K = " &amp; TEXT(F39/1000,"#.##0") &amp; "K")</f>
        <v/>
      </c>
      <c r="U39" s="150">
        <f>IFERROR(G39-W9Q2FY26!G39,"OOS")</f>
        <v/>
      </c>
      <c r="V39" s="147">
        <f>IF(U39=0,"",$A39 &amp; IF(U39&gt;0," tăng "," giảm ") &amp; TEXT(ABS(U39)/1000,"0") &amp; "K = " &amp; TEXT(G39/1000,"#.##0") &amp; "K")</f>
        <v/>
      </c>
    </row>
    <row r="40">
      <c r="A40" t="inlineStr">
        <is>
          <t>MacBook Air 13" M4 16/256GB</t>
        </is>
      </c>
      <c r="B40" s="3" t="n"/>
      <c r="C40" s="141" t="n">
        <v>25190000</v>
      </c>
      <c r="D40" s="141" t="n">
        <v>25190000</v>
      </c>
      <c r="E40" s="143" t="n"/>
      <c r="F40" s="134" t="n">
        <v>25190000</v>
      </c>
      <c r="G40" s="112" t="n">
        <v>25190000</v>
      </c>
      <c r="M40" s="149">
        <f>IFERROR(C40-W9Q2FY26!C40,"OOS")</f>
        <v/>
      </c>
      <c r="N40" s="147">
        <f>IF(M40=0,"",$A40 &amp; IF(M40&gt;0," tăng "," giảm ") &amp; TEXT(ABS(M40)/1000,"0") &amp; "K = " &amp; TEXT(C40/1000,"#.##0") &amp; "K")</f>
        <v/>
      </c>
      <c r="O40" s="150">
        <f>IFERROR(E40-W9Q2FY26!E40,"OOS")</f>
        <v/>
      </c>
      <c r="P40" s="147">
        <f>IF(O40=0,"",$A40 &amp; IF(O40&gt;0," tăng "," giảm ") &amp; TEXT(ABS(O40)/1000,"0") &amp; "K = " &amp; TEXT(D40/1000,"#.##0") &amp; "K")</f>
        <v/>
      </c>
      <c r="Q40" s="150">
        <f>IFERROR(E40-W9Q2FY26!E40,"OOS")</f>
        <v/>
      </c>
      <c r="R40" s="147">
        <f>IF(Q40=0,"",$A40 &amp; IF(Q40&gt;0," tăng "," giảm ") &amp; TEXT(ABS(Q40)/1000,"0") &amp; "K = " &amp; TEXT(E40/1000,"#.##0") &amp; "K")</f>
        <v/>
      </c>
      <c r="S40" s="150">
        <f>IFERROR(F40-W9Q2FY26!F40,"OOS")</f>
        <v/>
      </c>
      <c r="T40" s="147">
        <f>IF(S40=0,"",$A40 &amp; IF(S40&gt;0," tăng "," giảm ") &amp; TEXT(ABS(S40)/1000,"0") &amp; "K = " &amp; TEXT(F40/1000,"#.##0") &amp; "K")</f>
        <v/>
      </c>
      <c r="U40" s="150">
        <f>IFERROR(G40-W9Q2FY26!G40,"OOS")</f>
        <v/>
      </c>
      <c r="V40" s="147">
        <f>IF(U40=0,"",$A40 &amp; IF(U40&gt;0," tăng "," giảm ") &amp; TEXT(ABS(U40)/1000,"0") &amp; "K = " &amp; TEXT(G40/1000,"#.##0") &amp; "K")</f>
        <v/>
      </c>
    </row>
    <row r="41">
      <c r="A41" t="inlineStr">
        <is>
          <t>MacBook Air 15" M4 16/256GB</t>
        </is>
      </c>
      <c r="B41" s="25" t="n"/>
      <c r="C41" s="136" t="n">
        <v>29990000</v>
      </c>
      <c r="D41" s="136" t="n">
        <v>29990000</v>
      </c>
      <c r="E41" s="143" t="n"/>
      <c r="F41" s="133" t="n">
        <v>29990000</v>
      </c>
      <c r="G41" s="111" t="n">
        <v>28990000</v>
      </c>
      <c r="M41" s="149">
        <f>IFERROR(C41-W9Q2FY26!C41,"OOS")</f>
        <v/>
      </c>
      <c r="N41" s="147">
        <f>IF(M41=0,"",$A41 &amp; IF(M41&gt;0," tăng "," giảm ") &amp; TEXT(ABS(M41)/1000,"0") &amp; "K = " &amp; TEXT(C41/1000,"#.##0") &amp; "K")</f>
        <v/>
      </c>
      <c r="O41" s="150">
        <f>IFERROR(E41-W9Q2FY26!E41,"OOS")</f>
        <v/>
      </c>
      <c r="P41" s="147">
        <f>IF(O41=0,"",$A41 &amp; IF(O41&gt;0," tăng "," giảm ") &amp; TEXT(ABS(O41)/1000,"0") &amp; "K = " &amp; TEXT(D41/1000,"#.##0") &amp; "K")</f>
        <v/>
      </c>
      <c r="Q41" s="150">
        <f>IFERROR(E41-W9Q2FY26!E41,"OOS")</f>
        <v/>
      </c>
      <c r="R41" s="147">
        <f>IF(Q41=0,"",$A41 &amp; IF(Q41&gt;0," tăng "," giảm ") &amp; TEXT(ABS(Q41)/1000,"0") &amp; "K = " &amp; TEXT(E41/1000,"#.##0") &amp; "K")</f>
        <v/>
      </c>
      <c r="S41" s="150">
        <f>IFERROR(F41-W9Q2FY26!F41,"OOS")</f>
        <v/>
      </c>
      <c r="T41" s="147">
        <f>IF(S41=0,"",$A41 &amp; IF(S41&gt;0," tăng "," giảm ") &amp; TEXT(ABS(S41)/1000,"0") &amp; "K = " &amp; TEXT(F41/1000,"#.##0") &amp; "K")</f>
        <v/>
      </c>
      <c r="U41" s="150">
        <f>IFERROR(G41-W9Q2FY26!G41,"OOS")</f>
        <v/>
      </c>
      <c r="V41" s="147">
        <f>IF(U41=0,"",$A41 &amp; IF(U41&gt;0," tăng "," giảm ") &amp; TEXT(ABS(U41)/1000,"0") &amp; "K = " &amp; TEXT(G41/1000,"#.##0") &amp; "K")</f>
        <v/>
      </c>
    </row>
    <row r="42">
      <c r="A42" t="inlineStr">
        <is>
          <t>MacBook Pro 14" M4 16/512GB</t>
        </is>
      </c>
      <c r="B42" s="25" t="n"/>
      <c r="C42" s="136" t="inlineStr">
        <is>
          <t>OOS</t>
        </is>
      </c>
      <c r="D42" s="136" t="inlineStr">
        <is>
          <t>OOS</t>
        </is>
      </c>
      <c r="E42" s="143" t="n"/>
      <c r="F42" s="133" t="n">
        <v>38590000</v>
      </c>
      <c r="G42" s="111" t="n">
        <v>38390000</v>
      </c>
      <c r="M42" s="149">
        <f>IFERROR(C42-W9Q2FY26!C42,"OOS")</f>
        <v/>
      </c>
      <c r="N42" s="147">
        <f>IF(M42=0,"",$A42 &amp; IF(M42&gt;0," tăng "," giảm ") &amp; TEXT(ABS(M42)/1000,"0") &amp; "K = " &amp; TEXT(C42/1000,"#.##0") &amp; "K")</f>
        <v/>
      </c>
      <c r="O42" s="150">
        <f>IFERROR(E42-W9Q2FY26!E42,"OOS")</f>
        <v/>
      </c>
      <c r="P42" s="147">
        <f>IF(O42=0,"",$A42 &amp; IF(O42&gt;0," tăng "," giảm ") &amp; TEXT(ABS(O42)/1000,"0") &amp; "K = " &amp; TEXT(D42/1000,"#.##0") &amp; "K")</f>
        <v/>
      </c>
      <c r="Q42" s="150">
        <f>IFERROR(E42-W9Q2FY26!E42,"OOS")</f>
        <v/>
      </c>
      <c r="R42" s="147">
        <f>IF(Q42=0,"",$A42 &amp; IF(Q42&gt;0," tăng "," giảm ") &amp; TEXT(ABS(Q42)/1000,"0") &amp; "K = " &amp; TEXT(E42/1000,"#.##0") &amp; "K")</f>
        <v/>
      </c>
      <c r="S42" s="150">
        <f>IFERROR(F42-W9Q2FY26!F42,"OOS")</f>
        <v/>
      </c>
      <c r="T42" s="147">
        <f>IF(S42=0,"",$A42 &amp; IF(S42&gt;0," tăng "," giảm ") &amp; TEXT(ABS(S42)/1000,"0") &amp; "K = " &amp; TEXT(F42/1000,"#.##0") &amp; "K")</f>
        <v/>
      </c>
      <c r="U42" s="150">
        <f>IFERROR(G42-W9Q2FY26!G42,"OOS")</f>
        <v/>
      </c>
      <c r="V42" s="147">
        <f>IF(U42=0,"",$A42 &amp; IF(U42&gt;0," tăng "," giảm ") &amp; TEXT(ABS(U42)/1000,"0") &amp; "K = " &amp; TEXT(G42/1000,"#.##0") &amp; "K")</f>
        <v/>
      </c>
    </row>
    <row r="43">
      <c r="A43" t="inlineStr">
        <is>
          <t>MacBook Pro 14" M5 16/512GB</t>
        </is>
      </c>
      <c r="B43" s="25" t="n"/>
      <c r="C43" s="141" t="n">
        <v>41490000</v>
      </c>
      <c r="D43" s="136" t="n">
        <v>40690000</v>
      </c>
      <c r="E43" s="143" t="n"/>
      <c r="F43" s="133" t="n">
        <v>41990000</v>
      </c>
      <c r="G43" s="111" t="n">
        <v>41690000</v>
      </c>
      <c r="M43" s="149">
        <f>IFERROR(C43-W9Q2FY26!C43,"OOS")</f>
        <v/>
      </c>
      <c r="N43" s="147">
        <f>IF(M43=0,"",$A43 &amp; IF(M43&gt;0," tăng "," giảm ") &amp; TEXT(ABS(M43)/1000,"0") &amp; "K = " &amp; TEXT(C43/1000,"#.##0") &amp; "K")</f>
        <v/>
      </c>
      <c r="O43" s="150">
        <f>IFERROR(E43-W9Q2FY26!E43,"OOS")</f>
        <v/>
      </c>
      <c r="P43" s="147">
        <f>IF(O43=0,"",$A43 &amp; IF(O43&gt;0," tăng "," giảm ") &amp; TEXT(ABS(O43)/1000,"0") &amp; "K = " &amp; TEXT(D43/1000,"#.##0") &amp; "K")</f>
        <v/>
      </c>
      <c r="Q43" s="150">
        <f>IFERROR(E43-W9Q2FY26!E43,"OOS")</f>
        <v/>
      </c>
      <c r="R43" s="147">
        <f>IF(Q43=0,"",$A43 &amp; IF(Q43&gt;0," tăng "," giảm ") &amp; TEXT(ABS(Q43)/1000,"0") &amp; "K = " &amp; TEXT(E43/1000,"#.##0") &amp; "K")</f>
        <v/>
      </c>
      <c r="S43" s="150">
        <f>IFERROR(F43-W9Q2FY26!F43,"OOS")</f>
        <v/>
      </c>
      <c r="T43" s="147">
        <f>IF(S43=0,"",$A43 &amp; IF(S43&gt;0," tăng "," giảm ") &amp; TEXT(ABS(S43)/1000,"0") &amp; "K = " &amp; TEXT(F43/1000,"#.##0") &amp; "K")</f>
        <v/>
      </c>
      <c r="U43" s="150">
        <f>IFERROR(G43-W9Q2FY26!G43,"OOS")</f>
        <v/>
      </c>
      <c r="V43" s="147">
        <f>IF(U43=0,"",$A43 &amp; IF(U43&gt;0," tăng "," giảm ") &amp; TEXT(ABS(U43)/1000,"0") &amp; "K = " &amp; TEXT(G43/1000,"#.##0") &amp; "K")</f>
        <v/>
      </c>
    </row>
    <row r="44">
      <c r="A44" t="inlineStr">
        <is>
          <t>MacBook Pro 16" M4 24/512GB</t>
        </is>
      </c>
      <c r="B44" s="25" t="n"/>
      <c r="C44" s="136" t="inlineStr">
        <is>
          <t>OOS</t>
        </is>
      </c>
      <c r="D44" s="136" t="n">
        <v>63990000</v>
      </c>
      <c r="E44" s="143" t="n"/>
      <c r="F44" s="133" t="n">
        <v>63990000</v>
      </c>
      <c r="G44" s="111" t="n">
        <v>63990000</v>
      </c>
      <c r="M44" s="149">
        <f>IFERROR(C44-W9Q2FY26!C44,"OOS")</f>
        <v/>
      </c>
      <c r="N44" s="148">
        <f>IF(M44=0,"",$A44 &amp; IF(M44&gt;0," tăng "," giảm ") &amp; TEXT(ABS(M44)/1000,"0") &amp; "K = " &amp; TEXT(C44/1000,"#.##0") &amp; "K")</f>
        <v/>
      </c>
      <c r="O44" s="151">
        <f>IFERROR(E44-W9Q2FY26!E44,"OOS")</f>
        <v/>
      </c>
      <c r="P44" s="148">
        <f>IF(O44=0,"",$A44 &amp; IF(O44&gt;0," tăng "," giảm ") &amp; TEXT(ABS(O44)/1000,"0") &amp; "K = " &amp; TEXT(D44/1000,"#.##0") &amp; "K")</f>
        <v/>
      </c>
      <c r="Q44" s="150">
        <f>IFERROR(E44-W9Q2FY26!E44,"OOS")</f>
        <v/>
      </c>
      <c r="R44" s="148">
        <f>IF(Q44=0,"",$A44 &amp; IF(Q44&gt;0," tăng "," giảm ") &amp; TEXT(ABS(Q44)/1000,"0") &amp; "K = " &amp; TEXT(E44/1000,"#.##0") &amp; "K")</f>
        <v/>
      </c>
      <c r="S44" s="150">
        <f>IFERROR(F44-W9Q2FY26!F44,"OOS")</f>
        <v/>
      </c>
      <c r="T44" s="148">
        <f>IF(S44=0,"",$A44 &amp; IF(S44&gt;0," tăng "," giảm ") &amp; TEXT(ABS(S44)/1000,"0") &amp; "K = " &amp; TEXT(F44/1000,"#.##0") &amp; "K")</f>
        <v/>
      </c>
      <c r="U44" s="150">
        <f>IFERROR(G44-W9Q2FY26!G44,"OOS")</f>
        <v/>
      </c>
      <c r="V44" s="148">
        <f>IF(U44=0,"",$A44 &amp; IF(U44&gt;0," tăng "," giảm ") &amp; TEXT(ABS(U44)/1000,"0") &amp; "K = " &amp; TEXT(G44/1000,"#.##0") &amp; "K")</f>
        <v/>
      </c>
    </row>
    <row r="45">
      <c r="C45" s="125" t="n"/>
      <c r="D45" s="125" t="n"/>
    </row>
    <row r="46">
      <c r="C46" s="125" t="n"/>
      <c r="D46" s="125" t="n"/>
    </row>
    <row r="47">
      <c r="C47" s="125" t="n"/>
      <c r="D47" s="125" t="n"/>
    </row>
    <row r="48">
      <c r="C48" s="125" t="n"/>
      <c r="D48" s="125" t="n"/>
    </row>
    <row r="49">
      <c r="C49" s="125" t="n"/>
      <c r="D49" s="125" t="n"/>
    </row>
    <row r="50">
      <c r="C50" s="125" t="n"/>
      <c r="D50" s="125" t="n"/>
    </row>
    <row r="51">
      <c r="C51" s="125" t="n"/>
      <c r="D51" s="125" t="n"/>
    </row>
    <row r="52">
      <c r="C52" s="125" t="n"/>
      <c r="D52" s="125" t="n"/>
    </row>
    <row r="53">
      <c r="C53" s="125" t="n"/>
      <c r="D53" s="125" t="n"/>
    </row>
    <row r="54">
      <c r="C54" s="125" t="n"/>
      <c r="D54" s="125" t="n"/>
    </row>
    <row r="55">
      <c r="C55" s="125" t="n"/>
      <c r="D55" s="125" t="n"/>
    </row>
    <row r="56">
      <c r="C56" s="125" t="n"/>
      <c r="D56" s="125" t="n"/>
    </row>
    <row r="57">
      <c r="C57" s="125" t="n"/>
      <c r="D57" s="125" t="n"/>
    </row>
    <row r="58">
      <c r="C58" s="125" t="n"/>
      <c r="D58" s="125" t="n"/>
    </row>
    <row r="59">
      <c r="C59" s="125" t="n"/>
      <c r="D59" s="125" t="n"/>
    </row>
    <row r="60">
      <c r="C60" s="125" t="n"/>
      <c r="D60" s="125" t="n"/>
    </row>
    <row r="61">
      <c r="C61" s="125" t="n"/>
      <c r="D61" s="125" t="n"/>
    </row>
    <row r="62">
      <c r="C62" s="125" t="n"/>
      <c r="D62" s="125" t="n"/>
    </row>
    <row r="63">
      <c r="C63" s="125" t="n"/>
      <c r="D63" s="125" t="n"/>
    </row>
    <row r="64">
      <c r="C64" s="125" t="n"/>
      <c r="D64" s="125" t="n"/>
    </row>
    <row r="65">
      <c r="C65" s="125" t="n"/>
      <c r="D65" s="125" t="n"/>
    </row>
    <row r="66">
      <c r="C66" s="125" t="n"/>
      <c r="D66" s="125" t="n"/>
    </row>
    <row r="67">
      <c r="C67" s="125" t="n"/>
      <c r="D67" s="125" t="n"/>
    </row>
    <row r="68">
      <c r="C68" s="125" t="n"/>
      <c r="D68" s="125" t="n"/>
    </row>
    <row r="69">
      <c r="C69" s="125" t="n"/>
      <c r="D69" s="125" t="n"/>
    </row>
    <row r="70">
      <c r="C70" s="125" t="n"/>
      <c r="D70" s="125" t="n"/>
    </row>
    <row r="71">
      <c r="C71" s="125" t="n"/>
      <c r="D71" s="125" t="n"/>
    </row>
    <row r="72">
      <c r="C72" s="125" t="n"/>
      <c r="D72" s="125" t="n"/>
    </row>
    <row r="73">
      <c r="C73" s="125" t="n"/>
      <c r="D73" s="125" t="n"/>
    </row>
    <row r="74">
      <c r="C74" s="125" t="n"/>
      <c r="D74" s="125" t="n"/>
    </row>
    <row r="75">
      <c r="C75" s="125" t="n"/>
      <c r="D75" s="125" t="n"/>
    </row>
    <row r="76">
      <c r="C76" s="125" t="n"/>
      <c r="D76" s="125" t="n"/>
    </row>
    <row r="77">
      <c r="C77" s="125" t="n"/>
      <c r="D77" s="125" t="n"/>
    </row>
    <row r="78">
      <c r="C78" s="125" t="n"/>
      <c r="D78" s="125" t="n"/>
    </row>
    <row r="79">
      <c r="C79" s="125" t="n"/>
      <c r="D79" s="125" t="n"/>
    </row>
    <row r="80">
      <c r="C80" s="125" t="n"/>
      <c r="D80" s="125" t="n"/>
    </row>
    <row r="81">
      <c r="C81" s="125" t="n"/>
      <c r="D81" s="125" t="n"/>
    </row>
    <row r="82">
      <c r="C82" s="125" t="n"/>
      <c r="D82" s="125" t="n"/>
    </row>
    <row r="83">
      <c r="C83" s="125" t="n"/>
      <c r="D83" s="125" t="n"/>
    </row>
    <row r="84">
      <c r="C84" s="125" t="n"/>
      <c r="D84" s="125" t="n"/>
    </row>
    <row r="85">
      <c r="C85" s="125" t="n"/>
      <c r="D85" s="125" t="n"/>
    </row>
    <row r="86">
      <c r="C86" s="125" t="n"/>
      <c r="D86" s="125" t="n"/>
    </row>
    <row r="87">
      <c r="C87" s="125" t="n"/>
      <c r="D87" s="125" t="n"/>
    </row>
    <row r="88">
      <c r="C88" s="125" t="n"/>
      <c r="D88" s="125" t="n"/>
    </row>
    <row r="89">
      <c r="C89" s="125" t="n"/>
      <c r="D89" s="125" t="n"/>
    </row>
    <row r="90">
      <c r="C90" s="125" t="n"/>
      <c r="D90" s="125" t="n"/>
    </row>
    <row r="91">
      <c r="C91" s="125" t="n"/>
      <c r="D91" s="125" t="n"/>
    </row>
    <row r="92">
      <c r="C92" s="125" t="n"/>
      <c r="D92" s="125" t="n"/>
    </row>
    <row r="93">
      <c r="C93" s="125" t="n"/>
      <c r="D93" s="125" t="n"/>
    </row>
    <row r="94">
      <c r="C94" s="125" t="n"/>
      <c r="D94" s="125" t="n"/>
    </row>
    <row r="95">
      <c r="C95" s="125" t="n"/>
      <c r="D95" s="125" t="n"/>
    </row>
    <row r="96">
      <c r="C96" s="125" t="n"/>
      <c r="D96" s="125" t="n"/>
    </row>
    <row r="97">
      <c r="C97" s="125" t="n"/>
      <c r="D97" s="125" t="n"/>
    </row>
    <row r="98">
      <c r="C98" s="125" t="n"/>
      <c r="D98" s="125" t="n"/>
    </row>
    <row r="99">
      <c r="C99" s="125" t="n"/>
      <c r="D99" s="125" t="n"/>
    </row>
    <row r="100">
      <c r="C100" s="125" t="n"/>
      <c r="D100" s="125" t="n"/>
    </row>
    <row r="101">
      <c r="C101" s="125" t="n"/>
      <c r="D101" s="125" t="n"/>
    </row>
    <row r="102">
      <c r="C102" s="125" t="n"/>
      <c r="D102" s="125" t="n"/>
    </row>
    <row r="103">
      <c r="C103" s="125" t="n"/>
      <c r="D103" s="125" t="n"/>
    </row>
    <row r="104">
      <c r="C104" s="125" t="n"/>
      <c r="D104" s="125" t="n"/>
    </row>
    <row r="105">
      <c r="C105" s="125" t="n"/>
      <c r="D105" s="125" t="n"/>
    </row>
    <row r="106">
      <c r="C106" s="125" t="n"/>
      <c r="D106" s="125" t="n"/>
    </row>
    <row r="107">
      <c r="C107" s="125" t="n"/>
      <c r="D107" s="125" t="n"/>
    </row>
    <row r="108">
      <c r="C108" s="125" t="n"/>
      <c r="D108" s="125" t="n"/>
    </row>
    <row r="109">
      <c r="C109" s="125" t="n"/>
      <c r="D109" s="125" t="n"/>
    </row>
    <row r="110">
      <c r="C110" s="125" t="n"/>
      <c r="D110" s="125" t="n"/>
    </row>
    <row r="111">
      <c r="C111" s="125" t="n"/>
      <c r="D111" s="125" t="n"/>
    </row>
    <row r="112">
      <c r="C112" s="125" t="n"/>
      <c r="D112" s="125" t="n"/>
    </row>
    <row r="113">
      <c r="C113" s="125" t="n"/>
      <c r="D113" s="125" t="n"/>
    </row>
    <row r="114">
      <c r="C114" s="125" t="n"/>
      <c r="D114" s="125" t="n"/>
    </row>
    <row r="115">
      <c r="C115" s="125" t="n"/>
      <c r="D115" s="125" t="n"/>
    </row>
    <row r="116">
      <c r="C116" s="125" t="n"/>
      <c r="D116" s="125" t="n"/>
    </row>
    <row r="117">
      <c r="C117" s="125" t="n"/>
      <c r="D117" s="125" t="n"/>
    </row>
    <row r="118">
      <c r="C118" s="125" t="n"/>
      <c r="D118" s="125" t="n"/>
    </row>
    <row r="119">
      <c r="C119" s="125" t="n"/>
      <c r="D119" s="125" t="n"/>
    </row>
    <row r="120">
      <c r="C120" s="125" t="n"/>
      <c r="D120" s="125" t="n"/>
    </row>
    <row r="121">
      <c r="C121" s="125" t="n"/>
      <c r="D121" s="125" t="n"/>
    </row>
    <row r="122">
      <c r="C122" s="125" t="n"/>
      <c r="D122" s="125" t="n"/>
    </row>
    <row r="123">
      <c r="C123" s="125" t="n"/>
      <c r="D123" s="125" t="n"/>
    </row>
    <row r="124">
      <c r="C124" s="125" t="n"/>
      <c r="D124" s="125" t="n"/>
    </row>
    <row r="125">
      <c r="C125" s="125" t="n"/>
      <c r="D125" s="125" t="n"/>
    </row>
    <row r="126">
      <c r="C126" s="125" t="n"/>
      <c r="D126" s="125" t="n"/>
    </row>
    <row r="127">
      <c r="C127" s="125" t="n"/>
      <c r="D127" s="125" t="n"/>
    </row>
    <row r="128">
      <c r="C128" s="125" t="n"/>
      <c r="D128" s="125" t="n"/>
    </row>
    <row r="129">
      <c r="C129" s="125" t="n"/>
      <c r="D129" s="125" t="n"/>
    </row>
    <row r="130">
      <c r="C130" s="125" t="n"/>
      <c r="D130" s="125" t="n"/>
    </row>
    <row r="131">
      <c r="C131" s="125" t="n"/>
      <c r="D131" s="125" t="n"/>
    </row>
    <row r="132">
      <c r="C132" s="125" t="n"/>
      <c r="D132" s="125" t="n"/>
    </row>
    <row r="133">
      <c r="C133" s="125" t="n"/>
      <c r="D133" s="125" t="n"/>
    </row>
    <row r="134">
      <c r="C134" s="125" t="n"/>
      <c r="D134" s="125" t="n"/>
    </row>
    <row r="135">
      <c r="C135" s="125" t="n"/>
      <c r="D135" s="125" t="n"/>
    </row>
    <row r="136">
      <c r="C136" s="125" t="n"/>
      <c r="D136" s="125" t="n"/>
    </row>
    <row r="137">
      <c r="C137" s="125" t="n"/>
      <c r="D137" s="125" t="n"/>
    </row>
    <row r="138">
      <c r="C138" s="125" t="n"/>
      <c r="D138" s="125" t="n"/>
    </row>
    <row r="139">
      <c r="C139" s="125" t="n"/>
      <c r="D139" s="125" t="n"/>
    </row>
    <row r="140">
      <c r="C140" s="125" t="n"/>
      <c r="D140" s="125" t="n"/>
    </row>
    <row r="141">
      <c r="C141" s="125" t="n"/>
      <c r="D141" s="125" t="n"/>
    </row>
    <row r="142">
      <c r="C142" s="125" t="n"/>
      <c r="D142" s="125" t="n"/>
    </row>
    <row r="143">
      <c r="C143" s="125" t="n"/>
      <c r="D143" s="125" t="n"/>
    </row>
    <row r="144">
      <c r="C144" s="125" t="n"/>
      <c r="D144" s="125" t="n"/>
    </row>
    <row r="145">
      <c r="C145" s="125" t="n"/>
      <c r="D145" s="125" t="n"/>
    </row>
    <row r="146">
      <c r="C146" s="125" t="n"/>
      <c r="D146" s="125" t="n"/>
    </row>
    <row r="147">
      <c r="C147" s="125" t="n"/>
      <c r="D147" s="125" t="n"/>
    </row>
    <row r="148">
      <c r="C148" s="125" t="n"/>
      <c r="D148" s="125" t="n"/>
    </row>
    <row r="149">
      <c r="C149" s="125" t="n"/>
      <c r="D149" s="125" t="n"/>
    </row>
    <row r="150">
      <c r="C150" s="125" t="n"/>
      <c r="D150" s="125" t="n"/>
    </row>
    <row r="151">
      <c r="C151" s="125" t="n"/>
      <c r="D151" s="125" t="n"/>
    </row>
    <row r="152">
      <c r="C152" s="125" t="n"/>
      <c r="D152" s="125" t="n"/>
    </row>
    <row r="153">
      <c r="C153" s="125" t="n"/>
      <c r="D153" s="125" t="n"/>
    </row>
    <row r="154">
      <c r="C154" s="125" t="n"/>
      <c r="D154" s="125" t="n"/>
    </row>
    <row r="155">
      <c r="C155" s="125" t="n"/>
      <c r="D155" s="125" t="n"/>
    </row>
    <row r="156">
      <c r="C156" s="125" t="n"/>
      <c r="D156" s="125" t="n"/>
    </row>
  </sheetData>
  <conditionalFormatting sqref="E3:E44">
    <cfRule type="expression" priority="25" dxfId="3">
      <formula>$O3=0</formula>
    </cfRule>
    <cfRule type="expression" priority="27" dxfId="2">
      <formula>AND($O3&lt;&gt;0,$O3&lt;&gt;"")</formula>
    </cfRule>
  </conditionalFormatting>
  <conditionalFormatting sqref="E45:E1003">
    <cfRule type="expression" priority="28" dxfId="2">
      <formula>AND(#REF!&lt;&gt;0,#REF!&lt;&gt;"")</formula>
    </cfRule>
  </conditionalFormatting>
  <conditionalFormatting sqref="N2:N44">
    <cfRule type="containsText" priority="13" operator="containsText" dxfId="1" text="Tăng">
      <formula>NOT(ISERROR(SEARCH("Tăng",N2)))</formula>
    </cfRule>
    <cfRule type="containsText" priority="14" operator="containsText" dxfId="0" text="giảm">
      <formula>NOT(ISERROR(SEARCH("giảm",N2)))</formula>
    </cfRule>
  </conditionalFormatting>
  <conditionalFormatting sqref="P2:P44">
    <cfRule type="containsText" priority="11" operator="containsText" dxfId="1" text="Tăng">
      <formula>NOT(ISERROR(SEARCH("Tăng",P2)))</formula>
    </cfRule>
    <cfRule type="containsText" priority="12" operator="containsText" dxfId="0" text="giảm">
      <formula>NOT(ISERROR(SEARCH("giảm",P2)))</formula>
    </cfRule>
  </conditionalFormatting>
  <conditionalFormatting sqref="R2:R44">
    <cfRule type="containsText" priority="9" operator="containsText" dxfId="1" text="Tăng">
      <formula>NOT(ISERROR(SEARCH("Tăng",R2)))</formula>
    </cfRule>
    <cfRule type="containsText" priority="10" operator="containsText" dxfId="0" text="giảm">
      <formula>NOT(ISERROR(SEARCH("giảm",R2)))</formula>
    </cfRule>
  </conditionalFormatting>
  <conditionalFormatting sqref="T2:T44">
    <cfRule type="containsText" priority="3" operator="containsText" dxfId="1" text="Tăng">
      <formula>NOT(ISERROR(SEARCH("Tăng",T2)))</formula>
    </cfRule>
    <cfRule type="containsText" priority="4" operator="containsText" dxfId="0" text="giảm">
      <formula>NOT(ISERROR(SEARCH("giảm",T2)))</formula>
    </cfRule>
  </conditionalFormatting>
  <conditionalFormatting sqref="V2:V44">
    <cfRule type="containsText" priority="1" operator="containsText" dxfId="1" text="Tăng">
      <formula>NOT(ISERROR(SEARCH("Tăng",V2)))</formula>
    </cfRule>
    <cfRule type="containsText" priority="2" operator="containsText" dxfId="0" text="giảm">
      <formula>NOT(ISERROR(SEARCH("giảm",V2)))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8.xml><?xml version="1.0" encoding="utf-8"?>
<worksheet xmlns="http://schemas.openxmlformats.org/spreadsheetml/2006/main">
  <sheetPr>
    <outlinePr summaryBelow="1" summaryRight="1"/>
    <pageSetUpPr/>
  </sheetPr>
  <dimension ref="A1:Y156"/>
  <sheetViews>
    <sheetView showGridLines="0" zoomScaleNormal="5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875" bestFit="1" customWidth="1" style="35" min="7" max="7"/>
    <col width="11" customWidth="1" style="35" min="8" max="8"/>
    <col hidden="1" width="11" customWidth="1" style="35" min="9" max="12"/>
    <col width="13"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38" customWidth="1" style="35" min="20" max="20"/>
    <col width="14.125" customWidth="1" style="35" min="21" max="21"/>
    <col width="11"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7" t="n">
        <v>17990000</v>
      </c>
      <c r="D2" s="130" t="n">
        <v>17790000</v>
      </c>
      <c r="E2" s="129" t="n">
        <v>17990000</v>
      </c>
      <c r="F2" s="126" t="n">
        <v>17990000</v>
      </c>
      <c r="G2" s="126" t="n">
        <v>17990000</v>
      </c>
      <c r="H2" s="154" t="n"/>
      <c r="M2" s="149">
        <f>IFERROR(C2-W10Q2FY26!C2,"OOS")</f>
        <v/>
      </c>
      <c r="N2" s="147">
        <f>IF(M2=0,"",$A2 &amp; IF(M2&gt;0," tăng "," giảm ") &amp; TEXT(ABS(M2)/1000,"0") &amp; "K = " &amp; TEXT(C2/1000,"#.##0") &amp; "K")</f>
        <v/>
      </c>
      <c r="O2" s="150">
        <f>IFERROR(D2-W10Q2FY26!D2,"OOS")</f>
        <v/>
      </c>
      <c r="P2" s="147">
        <f>IF(O2=0,"",$A2 &amp; IF(O2&gt;0," tăng "," giảm ") &amp; TEXT(ABS(O2)/1000,"0") &amp; "K = " &amp; TEXT(D2/1000,"#.##0") &amp; "K")</f>
        <v/>
      </c>
      <c r="Q2" s="150">
        <f>IFERROR(E2-W10Q2FY26!E2,"OOS")</f>
        <v/>
      </c>
      <c r="R2" s="147">
        <f>IF(Q2=0,"",$A2 &amp; IF(Q2&gt;0," tăng "," giảm ") &amp; TEXT(ABS(Q2)/1000,"0") &amp; "K = " &amp; TEXT(E2/1000,"#.##0") &amp; "K")</f>
        <v/>
      </c>
      <c r="S2" s="150">
        <f>IFERROR(F2-W10Q2FY26!F2,"OOS")</f>
        <v/>
      </c>
      <c r="T2" s="147">
        <f>IF(S2=0,"",$A2 &amp; IF(S2&gt;0," tăng "," giảm ") &amp; TEXT(ABS(S2)/1000,"0") &amp; "K = " &amp; TEXT(F2/1000,"#.##0") &amp; "K")</f>
        <v/>
      </c>
      <c r="U2" s="150">
        <f>IFERROR(G2-W10Q2FY26!G2,"OOS")</f>
        <v/>
      </c>
      <c r="V2" s="147">
        <f>IF(U2=0,"",$A2 &amp; IF(U2&gt;0," tăng "," giảm ") &amp; TEXT(ABS(U2)/1000,"0") &amp; "K = " &amp; TEXT(G2/1000,"#.##0") &amp; "K")</f>
        <v/>
      </c>
    </row>
    <row r="3">
      <c r="A3" t="inlineStr">
        <is>
          <t>iPhone 17  256GB</t>
        </is>
      </c>
      <c r="B3" s="83" t="n"/>
      <c r="C3" s="130" t="n">
        <v>24990000</v>
      </c>
      <c r="D3" s="130" t="n">
        <v>24690000</v>
      </c>
      <c r="E3" s="131" t="n">
        <v>24190000</v>
      </c>
      <c r="F3" s="132" t="n">
        <v>24690000</v>
      </c>
      <c r="G3" s="111" t="n">
        <v>24490000</v>
      </c>
      <c r="H3" s="154" t="n"/>
      <c r="M3" s="149">
        <f>IFERROR(C3-W10Q2FY26!C3,"OOS")</f>
        <v/>
      </c>
      <c r="N3" s="147">
        <f>IF(M3=0,"",$A3 &amp; IF(M3&gt;0," tăng "," giảm ") &amp; TEXT(ABS(M3)/1000,"0") &amp; "K = " &amp; TEXT(C3/1000,"#.##0") &amp; "K")</f>
        <v/>
      </c>
      <c r="O3" s="150">
        <f>IFERROR(D3-W10Q2FY26!D3,"OOS")</f>
        <v/>
      </c>
      <c r="P3" s="147">
        <f>IF(O3=0,"",$A3 &amp; IF(O3&gt;0," tăng "," giảm ") &amp; TEXT(ABS(O3)/1000,"0") &amp; "K = " &amp; TEXT(D3/1000,"#.##0") &amp; "K")</f>
        <v/>
      </c>
      <c r="Q3" s="150">
        <f>IFERROR(E3-W10Q2FY26!E3,"OOS")</f>
        <v/>
      </c>
      <c r="R3" s="147">
        <f>IF(Q3=0,"",$A3 &amp; IF(Q3&gt;0," tăng "," giảm ") &amp; TEXT(ABS(Q3)/1000,"0") &amp; "K = " &amp; TEXT(E3/1000,"#.##0") &amp; "K")</f>
        <v/>
      </c>
      <c r="S3" s="150">
        <f>IFERROR(F3-W10Q2FY26!F3,"OOS")</f>
        <v/>
      </c>
      <c r="T3" s="147">
        <f>IF(S3=0,"",$A3 &amp; IF(S3&gt;0," tăng "," giảm ") &amp; TEXT(ABS(S3)/1000,"0") &amp; "K = " &amp; TEXT(F3/1000,"#.##0") &amp; "K")</f>
        <v/>
      </c>
      <c r="U3" s="150">
        <f>IFERROR(G3-W10Q2FY26!G3,"OOS")</f>
        <v/>
      </c>
      <c r="V3" s="147">
        <f>IF(U3=0,"",$A3 &amp; IF(U3&gt;0," tăng "," giảm ") &amp; TEXT(ABS(U3)/1000,"0") &amp; "K = " &amp; TEXT(G3/1000,"#.##0") &amp; "K")</f>
        <v/>
      </c>
    </row>
    <row r="4">
      <c r="A4" t="inlineStr">
        <is>
          <t>iPhone Air 256G</t>
        </is>
      </c>
      <c r="B4" s="83" t="n"/>
      <c r="C4" s="128" t="n">
        <v>24990000</v>
      </c>
      <c r="D4" s="130" t="n">
        <v>24990000</v>
      </c>
      <c r="E4" s="131" t="n">
        <v>24490000</v>
      </c>
      <c r="F4" s="133" t="n">
        <v>24990000</v>
      </c>
      <c r="G4" s="111" t="n">
        <v>24990000</v>
      </c>
      <c r="H4" s="154" t="n"/>
      <c r="M4" s="149">
        <f>IFERROR(C4-W10Q2FY26!C4,"OOS")</f>
        <v/>
      </c>
      <c r="N4" s="147">
        <f>IF(M4=0,"",$A4 &amp; IF(M4&gt;0," tăng "," giảm ") &amp; TEXT(ABS(M4)/1000,"0") &amp; "K = " &amp; TEXT(C4/1000,"#.##0") &amp; "K")</f>
        <v/>
      </c>
      <c r="O4" s="150">
        <f>IFERROR(D4-W10Q2FY26!D4,"OOS")</f>
        <v/>
      </c>
      <c r="P4" s="147">
        <f>IF(O4=0,"",$A4 &amp; IF(O4&gt;0," tăng "," giảm ") &amp; TEXT(ABS(O4)/1000,"0") &amp; "K = " &amp; TEXT(D4/1000,"#.##0") &amp; "K")</f>
        <v/>
      </c>
      <c r="Q4" s="150">
        <f>IFERROR(E4-W10Q2FY26!E4,"OOS")</f>
        <v/>
      </c>
      <c r="R4" s="147">
        <f>IF(Q4=0,"",$A4 &amp; IF(Q4&gt;0," tăng "," giảm ") &amp; TEXT(ABS(Q4)/1000,"0") &amp; "K = " &amp; TEXT(E4/1000,"#.##0") &amp; "K")</f>
        <v/>
      </c>
      <c r="S4" s="150">
        <f>IFERROR(F4-W10Q2FY26!F4,"OOS")</f>
        <v/>
      </c>
      <c r="T4" s="147">
        <f>IF(S4=0,"",$A4 &amp; IF(S4&gt;0," tăng "," giảm ") &amp; TEXT(ABS(S4)/1000,"0") &amp; "K = " &amp; TEXT(F4/1000,"#.##0") &amp; "K")</f>
        <v/>
      </c>
      <c r="U4" s="150">
        <f>IFERROR(G4-W10Q2FY26!G4,"OOS")</f>
        <v/>
      </c>
      <c r="V4" s="147">
        <f>IF(U4=0,"",$A4 &amp; IF(U4&gt;0," tăng "," giảm ") &amp; TEXT(ABS(U4)/1000,"0") &amp; "K = " &amp; TEXT(G4/1000,"#.##0") &amp; "K")</f>
        <v/>
      </c>
    </row>
    <row r="5">
      <c r="A5" t="inlineStr">
        <is>
          <t>iPhone 17 Pro 256GB</t>
        </is>
      </c>
      <c r="B5" s="83" t="n"/>
      <c r="C5" s="128" t="n">
        <v>34790000</v>
      </c>
      <c r="D5" s="128" t="n">
        <v>34490000</v>
      </c>
      <c r="E5" s="131" t="n">
        <v>33190000</v>
      </c>
      <c r="F5" s="134" t="n">
        <v>34590000</v>
      </c>
      <c r="G5" s="111" t="n">
        <v>34190000</v>
      </c>
      <c r="H5" s="154" t="n"/>
      <c r="M5" s="149">
        <f>IFERROR(C5-W10Q2FY26!C5,"OOS")</f>
        <v/>
      </c>
      <c r="N5" s="147">
        <f>IF(M5=0,"",$A5 &amp; IF(M5&gt;0," tăng "," giảm ") &amp; TEXT(ABS(M5)/1000,"0") &amp; "K = " &amp; TEXT(C5/1000,"#.##0") &amp; "K")</f>
        <v/>
      </c>
      <c r="O5" s="150">
        <f>IFERROR(D5-W10Q2FY26!D5,"OOS")</f>
        <v/>
      </c>
      <c r="P5" s="147">
        <f>IF(O5=0,"",$A5 &amp; IF(O5&gt;0," tăng "," giảm ") &amp; TEXT(ABS(O5)/1000,"0") &amp; "K = " &amp; TEXT(D5/1000,"#.##0") &amp; "K")</f>
        <v/>
      </c>
      <c r="Q5" s="150">
        <f>IFERROR(E5-W10Q2FY26!E5,"OOS")</f>
        <v/>
      </c>
      <c r="R5" s="147">
        <f>IF(Q5=0,"",$A5 &amp; IF(Q5&gt;0," tăng "," giảm ") &amp; TEXT(ABS(Q5)/1000,"0") &amp; "K = " &amp; TEXT(E5/1000,"#.##0") &amp; "K")</f>
        <v/>
      </c>
      <c r="S5" s="150">
        <f>IFERROR(F5-W10Q2FY26!F5,"OOS")</f>
        <v/>
      </c>
      <c r="T5" s="147">
        <f>IF(S5=0,"",$A5 &amp; IF(S5&gt;0," tăng "," giảm ") &amp; TEXT(ABS(S5)/1000,"0") &amp; "K = " &amp; TEXT(F5/1000,"#.##0") &amp; "K")</f>
        <v/>
      </c>
      <c r="U5" s="150">
        <f>IFERROR(G5-W10Q2FY26!G5,"OOS")</f>
        <v/>
      </c>
      <c r="V5" s="147">
        <f>IF(U5=0,"",$A5 &amp; IF(U5&gt;0," tăng "," giảm ") &amp; TEXT(ABS(U5)/1000,"0") &amp; "K = " &amp; TEXT(G5/1000,"#.##0") &amp; "K")</f>
        <v/>
      </c>
    </row>
    <row r="6">
      <c r="A6" t="inlineStr">
        <is>
          <t>iPhone 17 Pro Max 256GB</t>
        </is>
      </c>
      <c r="B6" s="83" t="n"/>
      <c r="C6" s="128" t="n">
        <v>37990000</v>
      </c>
      <c r="D6" s="130" t="n">
        <v>37990000</v>
      </c>
      <c r="E6" s="135" t="n">
        <v>36490000</v>
      </c>
      <c r="F6" s="134" t="n">
        <v>37990000</v>
      </c>
      <c r="G6" s="111" t="n">
        <v>36990000</v>
      </c>
      <c r="H6" s="154" t="n"/>
      <c r="M6" s="149">
        <f>IFERROR(C6-W10Q2FY26!C6,"OOS")</f>
        <v/>
      </c>
      <c r="N6" s="147">
        <f>IF(M6=0,"",$A6 &amp; IF(M6&gt;0," tăng "," giảm ") &amp; TEXT(ABS(M6)/1000,"0") &amp; "K = " &amp; TEXT(C6/1000,"#.##0") &amp; "K")</f>
        <v/>
      </c>
      <c r="O6" s="150">
        <f>IFERROR(D6-W10Q2FY26!D6,"OOS")</f>
        <v/>
      </c>
      <c r="P6" s="147">
        <f>IF(O6=0,"",$A6 &amp; IF(O6&gt;0," tăng "," giảm ") &amp; TEXT(ABS(O6)/1000,"0") &amp; "K = " &amp; TEXT(D6/1000,"#.##0") &amp; "K")</f>
        <v/>
      </c>
      <c r="Q6" s="150">
        <f>IFERROR(E6-W10Q2FY26!E6,"OOS")</f>
        <v/>
      </c>
      <c r="R6" s="147">
        <f>IF(Q6=0,"",$A6 &amp; IF(Q6&gt;0," tăng "," giảm ") &amp; TEXT(ABS(Q6)/1000,"0") &amp; "K = " &amp; TEXT(E6/1000,"#.##0") &amp; "K")</f>
        <v/>
      </c>
      <c r="S6" s="150">
        <f>IFERROR(F6-W10Q2FY26!F6,"OOS")</f>
        <v/>
      </c>
      <c r="T6" s="147">
        <f>IF(S6=0,"",$A6 &amp; IF(S6&gt;0," tăng "," giảm ") &amp; TEXT(ABS(S6)/1000,"0") &amp; "K = " &amp; TEXT(F6/1000,"#.##0") &amp; "K")</f>
        <v/>
      </c>
      <c r="U6" s="150">
        <f>IFERROR(G6-W10Q2FY26!G6,"OOS")</f>
        <v/>
      </c>
      <c r="V6" s="147">
        <f>IF(U6=0,"",$A6 &amp; IF(U6&gt;0," tăng "," giảm ") &amp; TEXT(ABS(U6)/1000,"0") &amp; "K = " &amp; TEXT(G6/1000,"#.##0") &amp; "K")</f>
        <v/>
      </c>
    </row>
    <row r="7">
      <c r="A7" t="inlineStr">
        <is>
          <t>iPhone 16e  128GB</t>
        </is>
      </c>
      <c r="B7" s="83" t="n"/>
      <c r="C7" s="128" t="n">
        <v>15990000</v>
      </c>
      <c r="D7" s="136" t="n">
        <v>15990000</v>
      </c>
      <c r="E7" s="135" t="n">
        <v>12490000</v>
      </c>
      <c r="F7" s="137" t="n">
        <v>12490000</v>
      </c>
      <c r="G7" s="111" t="n">
        <v>15190000</v>
      </c>
      <c r="H7" s="154" t="n"/>
      <c r="M7" s="149">
        <f>IFERROR(C7-W10Q2FY26!C7,"OOS")</f>
        <v/>
      </c>
      <c r="N7" s="147">
        <f>IF(M7=0,"",$A7 &amp; IF(M7&gt;0," tăng "," giảm ") &amp; TEXT(ABS(M7)/1000,"0") &amp; "K = " &amp; TEXT(C7/1000,"#.##0") &amp; "K")</f>
        <v/>
      </c>
      <c r="O7" s="150">
        <f>IFERROR(D7-W10Q2FY26!D7,"OOS")</f>
        <v/>
      </c>
      <c r="P7" s="147">
        <f>IF(O7=0,"",$A7 &amp; IF(O7&gt;0," tăng "," giảm ") &amp; TEXT(ABS(O7)/1000,"0") &amp; "K = " &amp; TEXT(D7/1000,"#.##0") &amp; "K")</f>
        <v/>
      </c>
      <c r="Q7" s="150">
        <f>IFERROR(E7-W10Q2FY26!E7,"OOS")</f>
        <v/>
      </c>
      <c r="R7" s="147">
        <f>IF(Q7=0,"",$A7 &amp; IF(Q7&gt;0," tăng "," giảm ") &amp; TEXT(ABS(Q7)/1000,"0") &amp; "K = " &amp; TEXT(E7/1000,"#.##0") &amp; "K")</f>
        <v/>
      </c>
      <c r="S7" s="150">
        <f>IFERROR(F7-W10Q2FY26!F7,"OOS")</f>
        <v/>
      </c>
      <c r="T7" s="147">
        <f>IF(S7=0,"",$A7 &amp; IF(S7&gt;0," tăng "," giảm ") &amp; TEXT(ABS(S7)/1000,"0") &amp; "K = " &amp; TEXT(F7/1000,"#.##0") &amp; "K")</f>
        <v/>
      </c>
      <c r="U7" s="150">
        <f>IFERROR(G7-W10Q2FY26!G7,"OOS")</f>
        <v/>
      </c>
      <c r="V7" s="147">
        <f>IF(U7=0,"",$A7 &amp; IF(U7&gt;0," tăng "," giảm ") &amp; TEXT(ABS(U7)/1000,"0") &amp; "K = " &amp; TEXT(G7/1000,"#.##0") &amp; "K")</f>
        <v/>
      </c>
    </row>
    <row r="8">
      <c r="A8" t="inlineStr">
        <is>
          <t>iPhone 16 128GB</t>
        </is>
      </c>
      <c r="B8" s="71" t="n"/>
      <c r="C8" s="139" t="n">
        <v>21090000</v>
      </c>
      <c r="D8" s="138" t="n">
        <v>20990000</v>
      </c>
      <c r="E8" s="140" t="n">
        <v>20090000</v>
      </c>
      <c r="F8" s="133" t="n">
        <v>20790000</v>
      </c>
      <c r="G8" s="111" t="n">
        <v>20790000</v>
      </c>
      <c r="H8" s="154" t="n"/>
      <c r="M8" s="149">
        <f>IFERROR(C8-W10Q2FY26!C8,"OOS")</f>
        <v/>
      </c>
      <c r="N8" s="147">
        <f>IF(M8=0,"",$A8 &amp; IF(M8&gt;0," tăng "," giảm ") &amp; TEXT(ABS(M8)/1000,"0") &amp; "K = " &amp; TEXT(C8/1000,"#.##0") &amp; "K")</f>
        <v/>
      </c>
      <c r="O8" s="150">
        <f>IFERROR(D8-W10Q2FY26!D8,"OOS")</f>
        <v/>
      </c>
      <c r="P8" s="147">
        <f>IF(O8=0,"",$A8 &amp; IF(O8&gt;0," tăng "," giảm ") &amp; TEXT(ABS(O8)/1000,"0") &amp; "K = " &amp; TEXT(D8/1000,"#.##0") &amp; "K")</f>
        <v/>
      </c>
      <c r="Q8" s="150">
        <f>IFERROR(E8-W10Q2FY26!E8,"OOS")</f>
        <v/>
      </c>
      <c r="R8" s="147">
        <f>IF(Q8=0,"",$A8 &amp; IF(Q8&gt;0," tăng "," giảm ") &amp; TEXT(ABS(Q8)/1000,"0") &amp; "K = " &amp; TEXT(E8/1000,"#.##0") &amp; "K")</f>
        <v/>
      </c>
      <c r="S8" s="150">
        <f>IFERROR(F8-W10Q2FY26!F8,"OOS")</f>
        <v/>
      </c>
      <c r="T8" s="147">
        <f>IF(S8=0,"",$A8 &amp; IF(S8&gt;0," tăng "," giảm ") &amp; TEXT(ABS(S8)/1000,"0") &amp; "K = " &amp; TEXT(F8/1000,"#.##0") &amp; "K")</f>
        <v/>
      </c>
      <c r="U8" s="150">
        <f>IFERROR(G8-W10Q2FY26!G8,"OOS")</f>
        <v/>
      </c>
      <c r="V8" s="147">
        <f>IF(U8=0,"",$A8 &amp; IF(U8&gt;0," tăng "," giảm ") &amp; TEXT(ABS(U8)/1000,"0") &amp; "K = " &amp; TEXT(G8/1000,"#.##0") &amp; "K")</f>
        <v/>
      </c>
    </row>
    <row r="9">
      <c r="A9" t="inlineStr">
        <is>
          <t>iPhone 16  Plus 128GB</t>
        </is>
      </c>
      <c r="B9" s="3" t="n"/>
      <c r="C9" s="136" t="n">
        <v>25090000</v>
      </c>
      <c r="D9" s="141" t="n">
        <v>24990000</v>
      </c>
      <c r="E9" s="140" t="n">
        <v>23790000</v>
      </c>
      <c r="F9" s="133" t="n">
        <v>24790000</v>
      </c>
      <c r="G9" s="111" t="n">
        <v>24590000</v>
      </c>
      <c r="H9" s="154" t="n"/>
      <c r="M9" s="149">
        <f>IFERROR(C9-W10Q2FY26!C9,"OOS")</f>
        <v/>
      </c>
      <c r="N9" s="147">
        <f>IF(M9=0,"",$A9 &amp; IF(M9&gt;0," tăng "," giảm ") &amp; TEXT(ABS(M9)/1000,"0") &amp; "K = " &amp; TEXT(C9/1000,"#.##0") &amp; "K")</f>
        <v/>
      </c>
      <c r="O9" s="150">
        <f>IFERROR(D9-W10Q2FY26!D9,"OOS")</f>
        <v/>
      </c>
      <c r="P9" s="147">
        <f>IF(O9=0,"",$A9 &amp; IF(O9&gt;0," tăng "," giảm ") &amp; TEXT(ABS(O9)/1000,"0") &amp; "K = " &amp; TEXT(D9/1000,"#.##0") &amp; "K")</f>
        <v/>
      </c>
      <c r="Q9" s="150">
        <f>IFERROR(E9-W10Q2FY26!E9,"OOS")</f>
        <v/>
      </c>
      <c r="R9" s="147">
        <f>IF(Q9=0,"",$A9 &amp; IF(Q9&gt;0," tăng "," giảm ") &amp; TEXT(ABS(Q9)/1000,"0") &amp; "K = " &amp; TEXT(E9/1000,"#.##0") &amp; "K")</f>
        <v/>
      </c>
      <c r="S9" s="150">
        <f>IFERROR(F9-W10Q2FY26!F9,"OOS")</f>
        <v/>
      </c>
      <c r="T9" s="147">
        <f>IF(S9=0,"",$A9 &amp; IF(S9&gt;0," tăng "," giảm ") &amp; TEXT(ABS(S9)/1000,"0") &amp; "K = " &amp; TEXT(F9/1000,"#.##0") &amp; "K")</f>
        <v/>
      </c>
      <c r="U9" s="150">
        <f>IFERROR(G9-W10Q2FY26!G9,"OOS")</f>
        <v/>
      </c>
      <c r="V9" s="147">
        <f>IF(U9=0,"",$A9 &amp; IF(U9&gt;0," tăng "," giảm ") &amp; TEXT(ABS(U9)/1000,"0") &amp; "K = " &amp; TEXT(G9/1000,"#.##0") &amp; "K")</f>
        <v/>
      </c>
    </row>
    <row r="10">
      <c r="A10" t="inlineStr">
        <is>
          <t>iPhone 16 Pro 128GB</t>
        </is>
      </c>
      <c r="B10" s="25" t="n"/>
      <c r="C10" s="136" t="inlineStr">
        <is>
          <t>OOS</t>
        </is>
      </c>
      <c r="D10" s="111" t="n">
        <v>25590000</v>
      </c>
      <c r="E10" s="113" t="inlineStr">
        <is>
          <t>OOS</t>
        </is>
      </c>
      <c r="F10" s="133" t="n">
        <v>26590000</v>
      </c>
      <c r="G10" s="111" t="n">
        <v>24990000</v>
      </c>
      <c r="H10" s="154" t="n"/>
      <c r="M10" s="149">
        <f>IFERROR(C10-W10Q2FY26!C10,"OOS")</f>
        <v/>
      </c>
      <c r="N10" s="147">
        <f>IF(M10=0,"",$A10 &amp; IF(M10&gt;0," tăng "," giảm ") &amp; TEXT(ABS(M10)/1000,"0") &amp; "K = " &amp; TEXT(C10/1000,"#.##0") &amp; "K")</f>
        <v/>
      </c>
      <c r="O10" s="150">
        <f>IFERROR(D10-W10Q2FY26!D10,"OOS")</f>
        <v/>
      </c>
      <c r="P10" s="147">
        <f>IF(O10=0,"",$A10 &amp; IF(O10&gt;0," tăng "," giảm ") &amp; TEXT(ABS(O10)/1000,"0") &amp; "K = " &amp; TEXT(D10/1000,"#.##0") &amp; "K")</f>
        <v/>
      </c>
      <c r="Q10" s="150">
        <f>IFERROR(E10-W10Q2FY26!E10,"OOS")</f>
        <v/>
      </c>
      <c r="R10" s="147">
        <f>IF(Q10=0,"",$A10 &amp; IF(Q10&gt;0," tăng "," giảm ") &amp; TEXT(ABS(Q10)/1000,"0") &amp; "K = " &amp; TEXT(E10/1000,"#.##0") &amp; "K")</f>
        <v/>
      </c>
      <c r="S10" s="150">
        <f>IFERROR(F10-W10Q2FY26!F10,"OOS")</f>
        <v/>
      </c>
      <c r="T10" s="147">
        <f>IF(S10=0,"",$A10 &amp; IF(S10&gt;0," tăng "," giảm ") &amp; TEXT(ABS(S10)/1000,"0") &amp; "K = " &amp; TEXT(F10/1000,"#.##0") &amp; "K")</f>
        <v/>
      </c>
      <c r="U10" s="150">
        <f>IFERROR(G10-W10Q2FY26!G10,"OOS")</f>
        <v/>
      </c>
      <c r="V10" s="147">
        <f>IF(U10=0,"",$A10 &amp; IF(U10&gt;0," tăng "," giảm ") &amp; TEXT(ABS(U10)/1000,"0") &amp; "K = " &amp; TEXT(G10/1000,"#.##0") &amp; "K")</f>
        <v/>
      </c>
    </row>
    <row r="11">
      <c r="A11" t="inlineStr">
        <is>
          <t>iPhone 16 Pro Max 256GB</t>
        </is>
      </c>
      <c r="B11" s="3" t="n"/>
      <c r="C11" s="136" t="n">
        <v>31590000</v>
      </c>
      <c r="D11" s="136" t="n">
        <v>31490000</v>
      </c>
      <c r="E11" s="113" t="inlineStr">
        <is>
          <t>OOS</t>
        </is>
      </c>
      <c r="F11" s="134" t="n">
        <v>31390000</v>
      </c>
      <c r="G11" s="111" t="n">
        <v>31190000</v>
      </c>
      <c r="H11" s="154" t="n"/>
      <c r="M11" s="149">
        <f>IFERROR(C11-W10Q2FY26!C11,"OOS")</f>
        <v/>
      </c>
      <c r="N11" s="147">
        <f>IF(M11=0,"",$A11 &amp; IF(M11&gt;0," tăng "," giảm ") &amp; TEXT(ABS(M11)/1000,"0") &amp; "K = " &amp; TEXT(C11/1000,"#.##0") &amp; "K")</f>
        <v/>
      </c>
      <c r="O11" s="150">
        <f>IFERROR(D11-W10Q2FY26!D11,"OOS")</f>
        <v/>
      </c>
      <c r="P11" s="147">
        <f>IF(O11=0,"",$A11 &amp; IF(O11&gt;0," tăng "," giảm ") &amp; TEXT(ABS(O11)/1000,"0") &amp; "K = " &amp; TEXT(D11/1000,"#.##0") &amp; "K")</f>
        <v/>
      </c>
      <c r="Q11" s="150">
        <f>IFERROR(E11-W10Q2FY26!E11,"OOS")</f>
        <v/>
      </c>
      <c r="R11" s="147">
        <f>IF(Q11=0,"",$A11 &amp; IF(Q11&gt;0," tăng "," giảm ") &amp; TEXT(ABS(Q11)/1000,"0") &amp; "K = " &amp; TEXT(E11/1000,"#.##0") &amp; "K")</f>
        <v/>
      </c>
      <c r="S11" s="150">
        <f>IFERROR(F11-W10Q2FY26!F11,"OOS")</f>
        <v/>
      </c>
      <c r="T11" s="147">
        <f>IF(S11=0,"",$A11 &amp; IF(S11&gt;0," tăng "," giảm ") &amp; TEXT(ABS(S11)/1000,"0") &amp; "K = " &amp; TEXT(F11/1000,"#.##0") &amp; "K")</f>
        <v/>
      </c>
      <c r="U11" s="150">
        <f>IFERROR(G11-W10Q2FY26!G11,"OOS")</f>
        <v/>
      </c>
      <c r="V11" s="147">
        <f>IF(U11=0,"",$A11 &amp; IF(U11&gt;0," tăng "," giảm ") &amp; TEXT(ABS(U11)/1000,"0") &amp; "K = " &amp; TEXT(G11/1000,"#.##0") &amp; "K")</f>
        <v/>
      </c>
    </row>
    <row r="12">
      <c r="A12" t="inlineStr">
        <is>
          <t>iPhone 15  128GB</t>
        </is>
      </c>
      <c r="B12" s="25" t="n"/>
      <c r="C12" s="141" t="n">
        <v>17990000</v>
      </c>
      <c r="D12" s="141" t="n">
        <v>17990000</v>
      </c>
      <c r="E12" s="155" t="n">
        <v>17490000</v>
      </c>
      <c r="F12" s="134" t="n">
        <v>18090000</v>
      </c>
      <c r="G12" s="111" t="n">
        <v>17490000</v>
      </c>
      <c r="H12" s="154" t="n"/>
      <c r="M12" s="149">
        <f>IFERROR(C12-W10Q2FY26!C12,"OOS")</f>
        <v/>
      </c>
      <c r="N12" s="147">
        <f>IF(M12=0,"",$A12 &amp; IF(M12&gt;0," tăng "," giảm ") &amp; TEXT(ABS(M12)/1000,"0") &amp; "K = " &amp; TEXT(C12/1000,"#.##0") &amp; "K")</f>
        <v/>
      </c>
      <c r="O12" s="150">
        <f>IFERROR(D12-W10Q2FY26!D12,"OOS")</f>
        <v/>
      </c>
      <c r="P12" s="147">
        <f>IF(O12=0,"",$A12 &amp; IF(O12&gt;0," tăng "," giảm ") &amp; TEXT(ABS(O12)/1000,"0") &amp; "K = " &amp; TEXT(D12/1000,"#.##0") &amp; "K")</f>
        <v/>
      </c>
      <c r="Q12" s="150">
        <f>IFERROR(E12-W10Q2FY26!E12,"OOS")</f>
        <v/>
      </c>
      <c r="R12" s="147">
        <f>IF(Q12=0,"",$A12 &amp; IF(Q12&gt;0," tăng "," giảm ") &amp; TEXT(ABS(Q12)/1000,"0") &amp; "K = " &amp; TEXT(E12/1000,"#.##0") &amp; "K")</f>
        <v/>
      </c>
      <c r="S12" s="150">
        <f>IFERROR(F12-W10Q2FY26!F12,"OOS")</f>
        <v/>
      </c>
      <c r="T12" s="147">
        <f>IF(S12=0,"",$A12 &amp; IF(S12&gt;0," tăng "," giảm ") &amp; TEXT(ABS(S12)/1000,"0") &amp; "K = " &amp; TEXT(F12/1000,"#.##0") &amp; "K")</f>
        <v/>
      </c>
      <c r="U12" s="150">
        <f>IFERROR(G12-W10Q2FY26!G12,"OOS")</f>
        <v/>
      </c>
      <c r="V12" s="147">
        <f>IF(U12=0,"",$A12 &amp; IF(U12&gt;0," tăng "," giảm ") &amp; TEXT(ABS(U12)/1000,"0") &amp; "K = " &amp; TEXT(G12/1000,"#.##0") &amp; "K")</f>
        <v/>
      </c>
    </row>
    <row r="13">
      <c r="A13" t="inlineStr">
        <is>
          <t>iPhone 15  Plus 128GB</t>
        </is>
      </c>
      <c r="B13" s="25" t="n"/>
      <c r="C13" s="141" t="n">
        <v>18990000</v>
      </c>
      <c r="D13" s="136" t="inlineStr">
        <is>
          <t>OOS</t>
        </is>
      </c>
      <c r="E13" s="131" t="inlineStr">
        <is>
          <t>OOS</t>
        </is>
      </c>
      <c r="F13" s="133" t="n">
        <v>17690000</v>
      </c>
      <c r="G13" s="111" t="inlineStr">
        <is>
          <t>OOS</t>
        </is>
      </c>
      <c r="H13" s="154" t="n"/>
      <c r="M13" s="149">
        <f>IFERROR(C13-W10Q2FY26!C13,"OOS")</f>
        <v/>
      </c>
      <c r="N13" s="147">
        <f>IF(M13=0,"",$A13 &amp; IF(M13&gt;0," tăng "," giảm ") &amp; TEXT(ABS(M13)/1000,"0") &amp; "K = " &amp; TEXT(C13/1000,"#.##0") &amp; "K")</f>
        <v/>
      </c>
      <c r="O13" s="150">
        <f>IFERROR(D13-W10Q2FY26!D13,"OOS")</f>
        <v/>
      </c>
      <c r="P13" s="147">
        <f>IF(O13=0,"",$A13 &amp; IF(O13&gt;0," tăng "," giảm ") &amp; TEXT(ABS(O13)/1000,"0") &amp; "K = " &amp; TEXT(D13/1000,"#.##0") &amp; "K")</f>
        <v/>
      </c>
      <c r="Q13" s="150">
        <f>IFERROR(E13-W10Q2FY26!E13,"OOS")</f>
        <v/>
      </c>
      <c r="R13" s="147">
        <f>IF(Q13=0,"",$A13 &amp; IF(Q13&gt;0," tăng "," giảm ") &amp; TEXT(ABS(Q13)/1000,"0") &amp; "K = " &amp; TEXT(E13/1000,"#.##0") &amp; "K")</f>
        <v/>
      </c>
      <c r="S13" s="150">
        <f>IFERROR(F13-W10Q2FY26!F13,"OOS")</f>
        <v/>
      </c>
      <c r="T13" s="147">
        <f>IF(S13=0,"",$A13 &amp; IF(S13&gt;0," tăng "," giảm ") &amp; TEXT(ABS(S13)/1000,"0") &amp; "K = " &amp; TEXT(F13/1000,"#.##0") &amp; "K")</f>
        <v/>
      </c>
      <c r="U13" s="150">
        <f>IFERROR(G13-W10Q2FY26!G13,"OOS")</f>
        <v/>
      </c>
      <c r="V13" s="147">
        <f>IF(U13=0,"",$A13 &amp; IF(U13&gt;0," tăng "," giảm ") &amp; TEXT(ABS(U13)/1000,"0") &amp; "K = " &amp; TEXT(G13/1000,"#.##0") &amp; "K")</f>
        <v/>
      </c>
    </row>
    <row r="14">
      <c r="A14" t="inlineStr">
        <is>
          <t>iPhone 14 128GB</t>
        </is>
      </c>
      <c r="B14" s="25" t="n"/>
      <c r="C14" s="136" t="n">
        <v>13990000</v>
      </c>
      <c r="D14" s="141" t="n">
        <v>13890000</v>
      </c>
      <c r="E14" s="131" t="n">
        <v>13590000</v>
      </c>
      <c r="F14" s="134" t="n">
        <v>13890000</v>
      </c>
      <c r="G14" s="111" t="n">
        <v>13390000</v>
      </c>
      <c r="H14" s="154" t="n"/>
      <c r="M14" s="149">
        <f>IFERROR(C14-W10Q2FY26!C14,"OOS")</f>
        <v/>
      </c>
      <c r="N14" s="147">
        <f>IF(M14=0,"",$A14 &amp; IF(M14&gt;0," tăng "," giảm ") &amp; TEXT(ABS(M14)/1000,"0") &amp; "K = " &amp; TEXT(C14/1000,"#.##0") &amp; "K")</f>
        <v/>
      </c>
      <c r="O14" s="150">
        <f>IFERROR(D14-W10Q2FY26!D14,"OOS")</f>
        <v/>
      </c>
      <c r="P14" s="147">
        <f>IF(O14=0,"",$A14 &amp; IF(O14&gt;0," tăng "," giảm ") &amp; TEXT(ABS(O14)/1000,"0") &amp; "K = " &amp; TEXT(D14/1000,"#.##0") &amp; "K")</f>
        <v/>
      </c>
      <c r="Q14" s="150">
        <f>IFERROR(E14-W10Q2FY26!E14,"OOS")</f>
        <v/>
      </c>
      <c r="R14" s="147">
        <f>IF(Q14=0,"",$A14 &amp; IF(Q14&gt;0," tăng "," giảm ") &amp; TEXT(ABS(Q14)/1000,"0") &amp; "K = " &amp; TEXT(E14/1000,"#.##0") &amp; "K")</f>
        <v/>
      </c>
      <c r="S14" s="150">
        <f>IFERROR(F14-W10Q2FY26!F14,"OOS")</f>
        <v/>
      </c>
      <c r="T14" s="147">
        <f>IF(S14=0,"",$A14 &amp; IF(S14&gt;0," tăng "," giảm ") &amp; TEXT(ABS(S14)/1000,"0") &amp; "K = " &amp; TEXT(F14/1000,"#.##0") &amp; "K")</f>
        <v/>
      </c>
      <c r="U14" s="150">
        <f>IFERROR(G14-W10Q2FY26!G14,"OOS")</f>
        <v/>
      </c>
      <c r="V14" s="147">
        <f>IF(U14=0,"",$A14 &amp; IF(U14&gt;0," tăng "," giảm ") &amp; TEXT(ABS(U14)/1000,"0") &amp; "K = " &amp; TEXT(G14/1000,"#.##0") &amp; "K")</f>
        <v/>
      </c>
    </row>
    <row r="15">
      <c r="A15" t="inlineStr">
        <is>
          <t>iPhone 13  128GB</t>
        </is>
      </c>
      <c r="B15" s="3" t="n"/>
      <c r="C15" s="141" t="n">
        <v>11990000</v>
      </c>
      <c r="D15" s="141" t="n">
        <v>11990000</v>
      </c>
      <c r="E15" s="140" t="n">
        <v>11990000</v>
      </c>
      <c r="F15" s="134" t="n">
        <v>12290000</v>
      </c>
      <c r="G15" s="111" t="n">
        <v>11890000</v>
      </c>
      <c r="H15" s="154" t="n"/>
      <c r="M15" s="149">
        <f>IFERROR(C15-W10Q2FY26!C15,"OOS")</f>
        <v/>
      </c>
      <c r="N15" s="147">
        <f>IF(M15=0,"",$A15 &amp; IF(M15&gt;0," tăng "," giảm ") &amp; TEXT(ABS(M15)/1000,"0") &amp; "K = " &amp; TEXT(C15/1000,"#.##0") &amp; "K")</f>
        <v/>
      </c>
      <c r="O15" s="150">
        <f>IFERROR(D15-W10Q2FY26!D15,"OOS")</f>
        <v/>
      </c>
      <c r="P15" s="147">
        <f>IF(O15=0,"",$A15 &amp; IF(O15&gt;0," tăng "," giảm ") &amp; TEXT(ABS(O15)/1000,"0") &amp; "K = " &amp; TEXT(D15/1000,"#.##0") &amp; "K")</f>
        <v/>
      </c>
      <c r="Q15" s="150">
        <f>IFERROR(E15-W10Q2FY26!E15,"OOS")</f>
        <v/>
      </c>
      <c r="R15" s="147">
        <f>IF(Q15=0,"",$A15 &amp; IF(Q15&gt;0," tăng "," giảm ") &amp; TEXT(ABS(Q15)/1000,"0") &amp; "K = " &amp; TEXT(E15/1000,"#.##0") &amp; "K")</f>
        <v/>
      </c>
      <c r="S15" s="150">
        <f>IFERROR(F15-W10Q2FY26!F15,"OOS")</f>
        <v/>
      </c>
      <c r="T15" s="147">
        <f>IF(S15=0,"",$A15 &amp; IF(S15&gt;0," tăng "," giảm ") &amp; TEXT(ABS(S15)/1000,"0") &amp; "K = " &amp; TEXT(F15/1000,"#.##0") &amp; "K")</f>
        <v/>
      </c>
      <c r="U15" s="150">
        <f>IFERROR(G15-W10Q2FY26!G15,"OOS")</f>
        <v/>
      </c>
      <c r="V15" s="147">
        <f>IF(U15=0,"",$A15 &amp; IF(U15&gt;0," tăng "," giảm ") &amp; TEXT(ABS(U15)/1000,"0") &amp; "K = " &amp; TEXT(G15/1000,"#.##0") &amp; "K")</f>
        <v/>
      </c>
    </row>
    <row r="16">
      <c r="A16" t="inlineStr">
        <is>
          <t>iPad Mini 7 128GB Wifi</t>
        </is>
      </c>
      <c r="B16" s="25" t="n"/>
      <c r="C16" s="141" t="n">
        <v>11790000</v>
      </c>
      <c r="D16" s="136" t="n">
        <v>11490000</v>
      </c>
      <c r="E16" s="140" t="n">
        <v>11290000</v>
      </c>
      <c r="F16" s="134" t="n">
        <v>11790000</v>
      </c>
      <c r="G16" s="112" t="n">
        <v>10790000</v>
      </c>
      <c r="H16" s="154" t="n"/>
      <c r="M16" s="149">
        <f>IFERROR(C16-W10Q2FY26!C16,"OOS")</f>
        <v/>
      </c>
      <c r="N16" s="147">
        <f>IF(M16=0,"",$A16 &amp; IF(M16&gt;0," tăng "," giảm ") &amp; TEXT(ABS(M16)/1000,"0") &amp; "K = " &amp; TEXT(C16/1000,"#.##0") &amp; "K")</f>
        <v/>
      </c>
      <c r="O16" s="150">
        <f>IFERROR(D16-W10Q2FY26!D16,"OOS")</f>
        <v/>
      </c>
      <c r="P16" s="147">
        <f>IF(O16=0,"",$A16 &amp; IF(O16&gt;0," tăng "," giảm ") &amp; TEXT(ABS(O16)/1000,"0") &amp; "K = " &amp; TEXT(D16/1000,"#.##0") &amp; "K")</f>
        <v/>
      </c>
      <c r="Q16" s="150">
        <f>IFERROR(E16-W10Q2FY26!E16,"OOS")</f>
        <v/>
      </c>
      <c r="R16" s="147">
        <f>IF(Q16=0,"",$A16 &amp; IF(Q16&gt;0," tăng "," giảm ") &amp; TEXT(ABS(Q16)/1000,"0") &amp; "K = " &amp; TEXT(E16/1000,"#.##0") &amp; "K")</f>
        <v/>
      </c>
      <c r="S16" s="150">
        <f>IFERROR(F16-W10Q2FY26!F16,"OOS")</f>
        <v/>
      </c>
      <c r="T16" s="147">
        <f>IF(S16=0,"",$A16 &amp; IF(S16&gt;0," tăng "," giảm ") &amp; TEXT(ABS(S16)/1000,"0") &amp; "K = " &amp; TEXT(F16/1000,"#.##0") &amp; "K")</f>
        <v/>
      </c>
      <c r="U16" s="150">
        <f>IFERROR(G16-W10Q2FY26!G16,"OOS")</f>
        <v/>
      </c>
      <c r="V16" s="147">
        <f>IF(U16=0,"",$A16 &amp; IF(U16&gt;0," tăng "," giảm ") &amp; TEXT(ABS(U16)/1000,"0") &amp; "K = " &amp; TEXT(G16/1000,"#.##0") &amp; "K")</f>
        <v/>
      </c>
    </row>
    <row r="17">
      <c r="A17" t="inlineStr">
        <is>
          <t>iPad Gen 11th  128GB Wifi</t>
        </is>
      </c>
      <c r="B17" s="3" t="n"/>
      <c r="C17" s="141" t="n">
        <v>9490000</v>
      </c>
      <c r="D17" s="141" t="n">
        <v>9490000</v>
      </c>
      <c r="E17" s="155" t="n">
        <v>8890000</v>
      </c>
      <c r="F17" s="134" t="n">
        <v>9490000</v>
      </c>
      <c r="G17" s="111" t="n">
        <v>8990000</v>
      </c>
      <c r="H17" s="154" t="n"/>
      <c r="M17" s="149">
        <f>IFERROR(C17-W10Q2FY26!C17,"OOS")</f>
        <v/>
      </c>
      <c r="N17" s="147">
        <f>IF(M17=0,"",$A17 &amp; IF(M17&gt;0," tăng "," giảm ") &amp; TEXT(ABS(M17)/1000,"0") &amp; "K = " &amp; TEXT(C17/1000,"#.##0") &amp; "K")</f>
        <v/>
      </c>
      <c r="O17" s="150">
        <f>IFERROR(D17-W10Q2FY26!D17,"OOS")</f>
        <v/>
      </c>
      <c r="P17" s="147">
        <f>IF(O17=0,"",$A17 &amp; IF(O17&gt;0," tăng "," giảm ") &amp; TEXT(ABS(O17)/1000,"0") &amp; "K = " &amp; TEXT(D17/1000,"#.##0") &amp; "K")</f>
        <v/>
      </c>
      <c r="Q17" s="150">
        <f>IFERROR(E17-W10Q2FY26!E17,"OOS")</f>
        <v/>
      </c>
      <c r="R17" s="147">
        <f>IF(Q17=0,"",$A17 &amp; IF(Q17&gt;0," tăng "," giảm ") &amp; TEXT(ABS(Q17)/1000,"0") &amp; "K = " &amp; TEXT(E17/1000,"#.##0") &amp; "K")</f>
        <v/>
      </c>
      <c r="S17" s="150">
        <f>IFERROR(F17-W10Q2FY26!F17,"OOS")</f>
        <v/>
      </c>
      <c r="T17" s="147">
        <f>IF(S17=0,"",$A17 &amp; IF(S17&gt;0," tăng "," giảm ") &amp; TEXT(ABS(S17)/1000,"0") &amp; "K = " &amp; TEXT(F17/1000,"#.##0") &amp; "K")</f>
        <v/>
      </c>
      <c r="U17" s="150">
        <f>IFERROR(G17-W10Q2FY26!G17,"OOS")</f>
        <v/>
      </c>
      <c r="V17" s="147">
        <f>IF(U17=0,"",$A17 &amp; IF(U17&gt;0," tăng "," giảm ") &amp; TEXT(ABS(U17)/1000,"0") &amp; "K = " &amp; TEXT(G17/1000,"#.##0") &amp; "K")</f>
        <v/>
      </c>
      <c r="W17" t="inlineStr">
        <is>
          <t xml:space="preserve">MW </t>
        </is>
      </c>
      <c r="X17" t="inlineStr">
        <is>
          <t>Hải</t>
        </is>
      </c>
      <c r="Y17" t="b">
        <v>1</v>
      </c>
    </row>
    <row r="18">
      <c r="A18" t="inlineStr">
        <is>
          <t>iPad Air M3  11" 128 GB Wifi</t>
        </is>
      </c>
      <c r="B18" s="3" t="n"/>
      <c r="C18" s="141" t="n">
        <v>15990000</v>
      </c>
      <c r="D18" s="136" t="n">
        <v>15790000</v>
      </c>
      <c r="E18" s="155" t="n">
        <v>14290000</v>
      </c>
      <c r="F18" s="134" t="n">
        <v>15890000</v>
      </c>
      <c r="G18" s="112" t="n">
        <v>14990000</v>
      </c>
      <c r="H18" s="154" t="n"/>
      <c r="M18" s="149">
        <f>IFERROR(C18-W10Q2FY26!C18,"OOS")</f>
        <v/>
      </c>
      <c r="N18" s="147">
        <f>IF(M18=0,"",$A18 &amp; IF(M18&gt;0," tăng "," giảm ") &amp; TEXT(ABS(M18)/1000,"0") &amp; "K = " &amp; TEXT(C18/1000,"#.##0") &amp; "K")</f>
        <v/>
      </c>
      <c r="O18" s="150">
        <f>IFERROR(D18-W10Q2FY26!D18,"OOS")</f>
        <v/>
      </c>
      <c r="P18" s="147">
        <f>IF(O18=0,"",$A18 &amp; IF(O18&gt;0," tăng "," giảm ") &amp; TEXT(ABS(O18)/1000,"0") &amp; "K = " &amp; TEXT(D18/1000,"#.##0") &amp; "K")</f>
        <v/>
      </c>
      <c r="Q18" s="150">
        <f>IFERROR(E18-W10Q2FY26!E18,"OOS")</f>
        <v/>
      </c>
      <c r="R18" s="147">
        <f>IF(Q18=0,"",$A18 &amp; IF(Q18&gt;0," tăng "," giảm ") &amp; TEXT(ABS(Q18)/1000,"0") &amp; "K = " &amp; TEXT(E18/1000,"#.##0") &amp; "K")</f>
        <v/>
      </c>
      <c r="S18" s="150">
        <f>IFERROR(F18-W10Q2FY26!F18,"OOS")</f>
        <v/>
      </c>
      <c r="T18" s="147">
        <f>IF(S18=0,"",$A18 &amp; IF(S18&gt;0," tăng "," giảm ") &amp; TEXT(ABS(S18)/1000,"0") &amp; "K = " &amp; TEXT(F18/1000,"#.##0") &amp; "K")</f>
        <v/>
      </c>
      <c r="U18" s="150">
        <f>IFERROR(G18-W10Q2FY26!G18,"OOS")</f>
        <v/>
      </c>
      <c r="V18" s="147">
        <f>IF(U18=0,"",$A18 &amp; IF(U18&gt;0," tăng "," giảm ") &amp; TEXT(ABS(U18)/1000,"0") &amp; "K = " &amp; TEXT(G18/1000,"#.##0") &amp; "K")</f>
        <v/>
      </c>
      <c r="W18" t="inlineStr">
        <is>
          <t>FPT</t>
        </is>
      </c>
      <c r="X18" t="inlineStr">
        <is>
          <t>Trang</t>
        </is>
      </c>
      <c r="Y18" t="b">
        <v>1</v>
      </c>
    </row>
    <row r="19">
      <c r="A19" t="inlineStr">
        <is>
          <t>iPad Air M3  13" 128 GB Wifi</t>
        </is>
      </c>
      <c r="B19" s="25" t="n"/>
      <c r="C19" s="141" t="n">
        <v>19990000</v>
      </c>
      <c r="D19" s="136" t="n">
        <v>20990000</v>
      </c>
      <c r="E19" s="155" t="n">
        <v>19490000</v>
      </c>
      <c r="F19" s="133" t="n">
        <v>18990000</v>
      </c>
      <c r="G19" s="112" t="n">
        <v>18990000</v>
      </c>
      <c r="H19" s="154" t="n"/>
      <c r="M19" s="149">
        <f>IFERROR(C19-W10Q2FY26!C19,"OOS")</f>
        <v/>
      </c>
      <c r="N19" s="147">
        <f>IF(M19=0,"",$A19 &amp; IF(M19&gt;0," tăng "," giảm ") &amp; TEXT(ABS(M19)/1000,"0") &amp; "K = " &amp; TEXT(C19/1000,"#.##0") &amp; "K")</f>
        <v/>
      </c>
      <c r="O19" s="150">
        <f>IFERROR(D19-W10Q2FY26!D19,"OOS")</f>
        <v/>
      </c>
      <c r="P19" s="147">
        <f>IF(O19=0,"",$A19 &amp; IF(O19&gt;0," tăng "," giảm ") &amp; TEXT(ABS(O19)/1000,"0") &amp; "K = " &amp; TEXT(D19/1000,"#.##0") &amp; "K")</f>
        <v/>
      </c>
      <c r="Q19" s="150">
        <f>IFERROR(E19-W10Q2FY26!E19,"OOS")</f>
        <v/>
      </c>
      <c r="R19" s="147">
        <f>IF(Q19=0,"",$A19 &amp; IF(Q19&gt;0," tăng "," giảm ") &amp; TEXT(ABS(Q19)/1000,"0") &amp; "K = " &amp; TEXT(E19/1000,"#.##0") &amp; "K")</f>
        <v/>
      </c>
      <c r="S19" s="150">
        <f>IFERROR(F19-W10Q2FY26!F19,"OOS")</f>
        <v/>
      </c>
      <c r="T19" s="147">
        <f>IF(S19=0,"",$A19 &amp; IF(S19&gt;0," tăng "," giảm ") &amp; TEXT(ABS(S19)/1000,"0") &amp; "K = " &amp; TEXT(F19/1000,"#.##0") &amp; "K")</f>
        <v/>
      </c>
      <c r="U19" s="150">
        <f>IFERROR(G19-W10Q2FY26!G19,"OOS")</f>
        <v/>
      </c>
      <c r="V19" s="147">
        <f>IF(U19=0,"",$A19 &amp; IF(U19&gt;0," tăng "," giảm ") &amp; TEXT(ABS(U19)/1000,"0") &amp; "K = " &amp; TEXT(G19/1000,"#.##0") &amp; "K")</f>
        <v/>
      </c>
      <c r="W19" t="inlineStr">
        <is>
          <t>Viettel</t>
        </is>
      </c>
      <c r="X19" t="inlineStr">
        <is>
          <t>Nghĩa</t>
        </is>
      </c>
      <c r="Y19" t="b">
        <v>1</v>
      </c>
    </row>
    <row r="20">
      <c r="A20" t="inlineStr">
        <is>
          <t>iPad Pro  M4  11" 256 GB Wifi</t>
        </is>
      </c>
      <c r="B20" s="25" t="n"/>
      <c r="C20" s="113" t="inlineStr">
        <is>
          <t>OOS</t>
        </is>
      </c>
      <c r="D20" s="113" t="inlineStr">
        <is>
          <t>OOS</t>
        </is>
      </c>
      <c r="E20" s="113" t="inlineStr">
        <is>
          <t>OOS</t>
        </is>
      </c>
      <c r="F20" s="133" t="inlineStr">
        <is>
          <t>OOS</t>
        </is>
      </c>
      <c r="G20" s="113" t="inlineStr">
        <is>
          <t>OOS</t>
        </is>
      </c>
      <c r="H20" s="154" t="n"/>
      <c r="M20" s="149">
        <f>IFERROR(C20-W10Q2FY26!C20,"OOS")</f>
        <v/>
      </c>
      <c r="N20" s="147">
        <f>IF(M20=0,"",$A20 &amp; IF(M20&gt;0," tăng "," giảm ") &amp; TEXT(ABS(M20)/1000,"0") &amp; "K = " &amp; TEXT(C20/1000,"#.##0") &amp; "K")</f>
        <v/>
      </c>
      <c r="O20" s="150">
        <f>IFERROR(D20-W10Q2FY26!D20,"OOS")</f>
        <v/>
      </c>
      <c r="P20" s="147">
        <f>IF(O20=0,"",$A20 &amp; IF(O20&gt;0," tăng "," giảm ") &amp; TEXT(ABS(O20)/1000,"0") &amp; "K = " &amp; TEXT(D20/1000,"#.##0") &amp; "K")</f>
        <v/>
      </c>
      <c r="Q20" s="150">
        <f>IFERROR(E20-W10Q2FY26!E20,"OOS")</f>
        <v/>
      </c>
      <c r="R20" s="147">
        <f>IF(Q20=0,"",$A20 &amp; IF(Q20&gt;0," tăng "," giảm ") &amp; TEXT(ABS(Q20)/1000,"0") &amp; "K = " &amp; TEXT(E20/1000,"#.##0") &amp; "K")</f>
        <v/>
      </c>
      <c r="S20" s="150">
        <f>IFERROR(F20-W10Q2FY26!F20,"OOS")</f>
        <v/>
      </c>
      <c r="T20" s="147">
        <f>IF(S20=0,"",$A20 &amp; IF(S20&gt;0," tăng "," giảm ") &amp; TEXT(ABS(S20)/1000,"0") &amp; "K = " &amp; TEXT(F20/1000,"#.##0") &amp; "K")</f>
        <v/>
      </c>
      <c r="U20" s="150">
        <f>IFERROR(G20-W10Q2FY26!G20,"OOS")</f>
        <v/>
      </c>
      <c r="V20" s="147">
        <f>IF(U20=0,"",$A20 &amp; IF(U20&gt;0," tăng "," giảm ") &amp; TEXT(ABS(U20)/1000,"0") &amp; "K = " &amp; TEXT(G20/1000,"#.##0") &amp; "K")</f>
        <v/>
      </c>
      <c r="W20" t="inlineStr">
        <is>
          <t>CPS</t>
        </is>
      </c>
      <c r="X20" t="inlineStr">
        <is>
          <t>Duy</t>
        </is>
      </c>
      <c r="Y20" t="b">
        <v>1</v>
      </c>
    </row>
    <row r="21">
      <c r="A21" t="inlineStr">
        <is>
          <t>iPad Pro  M4  13" 256 GB Wifi</t>
        </is>
      </c>
      <c r="B21" s="3" t="n"/>
      <c r="C21" s="113" t="inlineStr">
        <is>
          <t>OOS</t>
        </is>
      </c>
      <c r="D21" s="113" t="inlineStr">
        <is>
          <t>OOS</t>
        </is>
      </c>
      <c r="E21" s="113" t="inlineStr">
        <is>
          <t>OOS</t>
        </is>
      </c>
      <c r="F21" s="113" t="inlineStr">
        <is>
          <t>OOS</t>
        </is>
      </c>
      <c r="G21" s="113" t="inlineStr">
        <is>
          <t>OOS</t>
        </is>
      </c>
      <c r="H21" s="154" t="n"/>
      <c r="M21" s="149">
        <f>IFERROR(C21-W10Q2FY26!C21,"OOS")</f>
        <v/>
      </c>
      <c r="N21" s="147">
        <f>IF(M21=0,"",$A21 &amp; IF(M21&gt;0," tăng "," giảm ") &amp; TEXT(ABS(M21)/1000,"0") &amp; "K = " &amp; TEXT(C21/1000,"#.##0") &amp; "K")</f>
        <v/>
      </c>
      <c r="O21" s="150">
        <f>IFERROR(D21-W10Q2FY26!D21,"OOS")</f>
        <v/>
      </c>
      <c r="P21" s="147">
        <f>IF(O21=0,"",$A21 &amp; IF(O21&gt;0," tăng "," giảm ") &amp; TEXT(ABS(O21)/1000,"0") &amp; "K = " &amp; TEXT(D21/1000,"#.##0") &amp; "K")</f>
        <v/>
      </c>
      <c r="Q21" s="150">
        <f>IFERROR(E21-W10Q2FY26!E21,"OOS")</f>
        <v/>
      </c>
      <c r="R21" s="147">
        <f>IF(Q21=0,"",$A21 &amp; IF(Q21&gt;0," tăng "," giảm ") &amp; TEXT(ABS(Q21)/1000,"0") &amp; "K = " &amp; TEXT(E21/1000,"#.##0") &amp; "K")</f>
        <v/>
      </c>
      <c r="S21" s="150">
        <f>IFERROR(F21-W10Q2FY26!F21,"OOS")</f>
        <v/>
      </c>
      <c r="T21" s="147">
        <f>IF(S21=0,"",$A21 &amp; IF(S21&gt;0," tăng "," giảm ") &amp; TEXT(ABS(S21)/1000,"0") &amp; "K = " &amp; TEXT(F21/1000,"#.##0") &amp; "K")</f>
        <v/>
      </c>
      <c r="U21" s="150">
        <f>IFERROR(G21-W10Q2FY26!G21,"OOS")</f>
        <v/>
      </c>
      <c r="V21" s="147">
        <f>IF(U21=0,"",$A21 &amp; IF(U21&gt;0," tăng "," giảm ") &amp; TEXT(ABS(U21)/1000,"0") &amp; "K = " &amp; TEXT(G21/1000,"#.##0") &amp; "K")</f>
        <v/>
      </c>
      <c r="W21" t="inlineStr">
        <is>
          <t>ShopDunk</t>
        </is>
      </c>
      <c r="X21" t="inlineStr">
        <is>
          <t>Đạt</t>
        </is>
      </c>
      <c r="Y21" t="b">
        <v>1</v>
      </c>
    </row>
    <row r="22">
      <c r="A22" t="inlineStr">
        <is>
          <t>iPad Pro M5 11” 256GB Wifi</t>
        </is>
      </c>
      <c r="B22" s="3" t="n"/>
      <c r="C22" s="136" t="n">
        <v>29290000</v>
      </c>
      <c r="D22" s="136" t="n">
        <v>28990000</v>
      </c>
      <c r="E22" s="124" t="n">
        <v>28990000</v>
      </c>
      <c r="F22" s="134" t="n">
        <v>29290000</v>
      </c>
      <c r="G22" s="113" t="n">
        <v>28990000</v>
      </c>
      <c r="H22" s="154" t="n"/>
      <c r="M22" s="149">
        <f>IFERROR(C22-W10Q2FY26!C22,"OOS")</f>
        <v/>
      </c>
      <c r="N22" s="147">
        <f>IF(M22=0,"",$A22 &amp; IF(M22&gt;0," tăng "," giảm ") &amp; TEXT(ABS(M22)/1000,"0") &amp; "K = " &amp; TEXT(C22/1000,"#.##0") &amp; "K")</f>
        <v/>
      </c>
      <c r="O22" s="150">
        <f>IFERROR(D22-W10Q2FY26!D22,"OOS")</f>
        <v/>
      </c>
      <c r="P22" s="147">
        <f>IF(O22=0,"",$A22 &amp; IF(O22&gt;0," tăng "," giảm ") &amp; TEXT(ABS(O22)/1000,"0") &amp; "K = " &amp; TEXT(D22/1000,"#.##0") &amp; "K")</f>
        <v/>
      </c>
      <c r="Q22" s="150">
        <f>IFERROR(E22-W10Q2FY26!E22,"OOS")</f>
        <v/>
      </c>
      <c r="R22" s="147">
        <f>IF(Q22=0,"",$A22 &amp; IF(Q22&gt;0," tăng "," giảm ") &amp; TEXT(ABS(Q22)/1000,"0") &amp; "K = " &amp; TEXT(E22/1000,"#.##0") &amp; "K")</f>
        <v/>
      </c>
      <c r="S22" s="150">
        <f>IFERROR(F22-W10Q2FY26!F22,"OOS")</f>
        <v/>
      </c>
      <c r="T22" s="147">
        <f>IF(S22=0,"",$A22 &amp; IF(S22&gt;0," tăng "," giảm ") &amp; TEXT(ABS(S22)/1000,"0") &amp; "K = " &amp; TEXT(F22/1000,"#.##0") &amp; "K")</f>
        <v/>
      </c>
      <c r="U22" s="150">
        <f>IFERROR(G22-W10Q2FY26!G22,"OOS")</f>
        <v/>
      </c>
      <c r="V22" s="147">
        <f>IF(U22=0,"",$A22 &amp; IF(U22&gt;0," tăng "," giảm ") &amp; TEXT(ABS(U22)/1000,"0") &amp; "K = " &amp; TEXT(G22/1000,"#.##0") &amp; "K")</f>
        <v/>
      </c>
    </row>
    <row r="23">
      <c r="A23" t="inlineStr">
        <is>
          <t>iPad Pro M5 13” 256GB Wifi</t>
        </is>
      </c>
      <c r="B23" s="3" t="n"/>
      <c r="C23" s="141" t="n">
        <v>39290000</v>
      </c>
      <c r="D23" s="142" t="n">
        <v>38990000</v>
      </c>
      <c r="E23" s="113" t="n">
        <v>38990000</v>
      </c>
      <c r="F23" s="133" t="n">
        <v>38990000</v>
      </c>
      <c r="G23" s="113" t="n">
        <v>38990000</v>
      </c>
      <c r="H23" s="154" t="n"/>
      <c r="M23" s="149">
        <f>IFERROR(C23-W10Q2FY26!C23,"OOS")</f>
        <v/>
      </c>
      <c r="N23" s="147">
        <f>IF(M23=0,"",$A23 &amp; IF(M23&gt;0," tăng "," giảm ") &amp; TEXT(ABS(M23)/1000,"0") &amp; "K = " &amp; TEXT(C23/1000,"#.##0") &amp; "K")</f>
        <v/>
      </c>
      <c r="O23" s="150">
        <f>IFERROR(D23-W10Q2FY26!D23,"OOS")</f>
        <v/>
      </c>
      <c r="P23" s="147">
        <f>IF(O23=0,"",$A23 &amp; IF(O23&gt;0," tăng "," giảm ") &amp; TEXT(ABS(O23)/1000,"0") &amp; "K = " &amp; TEXT(D23/1000,"#.##0") &amp; "K")</f>
        <v/>
      </c>
      <c r="Q23" s="150">
        <f>IFERROR(E23-W10Q2FY26!E23,"OOS")</f>
        <v/>
      </c>
      <c r="R23" s="147">
        <f>IF(Q23=0,"",$A23 &amp; IF(Q23&gt;0," tăng "," giảm ") &amp; TEXT(ABS(Q23)/1000,"0") &amp; "K = " &amp; TEXT(E23/1000,"#.##0") &amp; "K")</f>
        <v/>
      </c>
      <c r="S23" s="150">
        <f>IFERROR(F23-W10Q2FY26!F23,"OOS")</f>
        <v/>
      </c>
      <c r="T23" s="147">
        <f>IF(S23=0,"",$A23 &amp; IF(S23&gt;0," tăng "," giảm ") &amp; TEXT(ABS(S23)/1000,"0") &amp; "K = " &amp; TEXT(F23/1000,"#.##0") &amp; "K")</f>
        <v/>
      </c>
      <c r="U23" s="150">
        <f>IFERROR(G23-W10Q2FY26!G23,"OOS")</f>
        <v/>
      </c>
      <c r="V23" s="147">
        <f>IF(U23=0,"",$A23 &amp; IF(U23&gt;0," tăng "," giảm ") &amp; TEXT(ABS(U23)/1000,"0") &amp; "K = " &amp; TEXT(G23/1000,"#.##0") &amp; "K")</f>
        <v/>
      </c>
    </row>
    <row r="24">
      <c r="A24" t="inlineStr">
        <is>
          <t>AW SE 3 (40mm GPS)</t>
        </is>
      </c>
      <c r="B24" s="25" t="n"/>
      <c r="C24" s="136" t="n">
        <v>6390000</v>
      </c>
      <c r="D24" s="141" t="n">
        <v>6290000</v>
      </c>
      <c r="E24" s="140" t="n">
        <v>6190000</v>
      </c>
      <c r="F24" s="134" t="n">
        <v>6190000</v>
      </c>
      <c r="G24" s="113" t="n">
        <v>6290000</v>
      </c>
      <c r="H24" s="154" t="n"/>
      <c r="M24" s="149">
        <f>IFERROR(C24-W10Q2FY26!C24,"OOS")</f>
        <v/>
      </c>
      <c r="N24" s="147">
        <f>IF(M24=0,"",$A24 &amp; IF(M24&gt;0," tăng "," giảm ") &amp; TEXT(ABS(M24)/1000,"0") &amp; "K = " &amp; TEXT(C24/1000,"#.##0") &amp; "K")</f>
        <v/>
      </c>
      <c r="O24" s="150">
        <f>IFERROR(D24-W10Q2FY26!D24,"OOS")</f>
        <v/>
      </c>
      <c r="P24" s="147">
        <f>IF(O24=0,"",$A24 &amp; IF(O24&gt;0," tăng "," giảm ") &amp; TEXT(ABS(O24)/1000,"0") &amp; "K = " &amp; TEXT(D24/1000,"#.##0") &amp; "K")</f>
        <v/>
      </c>
      <c r="Q24" s="150">
        <f>IFERROR(E24-W10Q2FY26!E24,"OOS")</f>
        <v/>
      </c>
      <c r="R24" s="147">
        <f>IF(Q24=0,"",$A24 &amp; IF(Q24&gt;0," tăng "," giảm ") &amp; TEXT(ABS(Q24)/1000,"0") &amp; "K = " &amp; TEXT(E24/1000,"#.##0") &amp; "K")</f>
        <v/>
      </c>
      <c r="S24" s="150">
        <f>IFERROR(F24-W10Q2FY26!F24,"OOS")</f>
        <v/>
      </c>
      <c r="T24" s="147">
        <f>IF(S24=0,"",$A24 &amp; IF(S24&gt;0," tăng "," giảm ") &amp; TEXT(ABS(S24)/1000,"0") &amp; "K = " &amp; TEXT(F24/1000,"#.##0") &amp; "K")</f>
        <v/>
      </c>
      <c r="U24" s="150">
        <f>IFERROR(G24-W10Q2FY26!G24,"OOS")</f>
        <v/>
      </c>
      <c r="V24" s="147">
        <f>IF(U24=0,"",$A24 &amp; IF(U24&gt;0," tăng "," giảm ") &amp; TEXT(ABS(U24)/1000,"0") &amp; "K = " &amp; TEXT(G24/1000,"#.##0") &amp; "K")</f>
        <v/>
      </c>
    </row>
    <row r="25">
      <c r="A25" t="inlineStr">
        <is>
          <t>AW SE 3 (40mm LTE)</t>
        </is>
      </c>
      <c r="B25" s="25" t="n"/>
      <c r="C25" s="136" t="n">
        <v>7990000</v>
      </c>
      <c r="D25" s="141" t="n">
        <v>7690000</v>
      </c>
      <c r="E25" s="155" t="n">
        <v>7790000</v>
      </c>
      <c r="F25" s="134" t="n">
        <v>7890000</v>
      </c>
      <c r="G25" s="113" t="n">
        <v>7690000</v>
      </c>
      <c r="H25" s="154" t="n"/>
      <c r="M25" s="149">
        <f>IFERROR(C25-W10Q2FY26!C25,"OOS")</f>
        <v/>
      </c>
      <c r="N25" s="147">
        <f>IF(M25=0,"",$A25 &amp; IF(M25&gt;0," tăng "," giảm ") &amp; TEXT(ABS(M25)/1000,"0") &amp; "K = " &amp; TEXT(C25/1000,"#.##0") &amp; "K")</f>
        <v/>
      </c>
      <c r="O25" s="150">
        <f>IFERROR(D25-W10Q2FY26!D25,"OOS")</f>
        <v/>
      </c>
      <c r="P25" s="147">
        <f>IF(O25=0,"",$A25 &amp; IF(O25&gt;0," tăng "," giảm ") &amp; TEXT(ABS(O25)/1000,"0") &amp; "K = " &amp; TEXT(D25/1000,"#.##0") &amp; "K")</f>
        <v/>
      </c>
      <c r="Q25" s="150">
        <f>IFERROR(E25-W10Q2FY26!E25,"OOS")</f>
        <v/>
      </c>
      <c r="R25" s="147">
        <f>IF(Q25=0,"",$A25 &amp; IF(Q25&gt;0," tăng "," giảm ") &amp; TEXT(ABS(Q25)/1000,"0") &amp; "K = " &amp; TEXT(E25/1000,"#.##0") &amp; "K")</f>
        <v/>
      </c>
      <c r="S25" s="150">
        <f>IFERROR(F25-W10Q2FY26!F25,"OOS")</f>
        <v/>
      </c>
      <c r="T25" s="147">
        <f>IF(S25=0,"",$A25 &amp; IF(S25&gt;0," tăng "," giảm ") &amp; TEXT(ABS(S25)/1000,"0") &amp; "K = " &amp; TEXT(F25/1000,"#.##0") &amp; "K")</f>
        <v/>
      </c>
      <c r="U25" s="150">
        <f>IFERROR(G25-W10Q2FY26!G25,"OOS")</f>
        <v/>
      </c>
      <c r="V25" s="147">
        <f>IF(U25=0,"",$A25 &amp; IF(U25&gt;0," tăng "," giảm ") &amp; TEXT(ABS(U25)/1000,"0") &amp; "K = " &amp; TEXT(G25/1000,"#.##0") &amp; "K")</f>
        <v/>
      </c>
    </row>
    <row r="26">
      <c r="A26" t="inlineStr">
        <is>
          <t>AW SE 3 (44mm GPS)</t>
        </is>
      </c>
      <c r="B26" s="25" t="n"/>
      <c r="C26" s="136" t="n">
        <v>7290000</v>
      </c>
      <c r="D26" s="141" t="n">
        <v>6990000</v>
      </c>
      <c r="E26" s="140" t="n">
        <v>6990000</v>
      </c>
      <c r="F26" s="134" t="n">
        <v>7090000</v>
      </c>
      <c r="G26" s="113" t="n">
        <v>7190000</v>
      </c>
      <c r="H26" s="154" t="n"/>
      <c r="M26" s="149">
        <f>IFERROR(C26-W10Q2FY26!C26,"OOS")</f>
        <v/>
      </c>
      <c r="N26" s="147">
        <f>IF(M26=0,"",$A26 &amp; IF(M26&gt;0," tăng "," giảm ") &amp; TEXT(ABS(M26)/1000,"0") &amp; "K = " &amp; TEXT(C26/1000,"#.##0") &amp; "K")</f>
        <v/>
      </c>
      <c r="O26" s="150">
        <f>IFERROR(D26-W10Q2FY26!D26,"OOS")</f>
        <v/>
      </c>
      <c r="P26" s="147">
        <f>IF(O26=0,"",$A26 &amp; IF(O26&gt;0," tăng "," giảm ") &amp; TEXT(ABS(O26)/1000,"0") &amp; "K = " &amp; TEXT(D26/1000,"#.##0") &amp; "K")</f>
        <v/>
      </c>
      <c r="Q26" s="150">
        <f>IFERROR(E26-W10Q2FY26!E26,"OOS")</f>
        <v/>
      </c>
      <c r="R26" s="147">
        <f>IF(Q26=0,"",$A26 &amp; IF(Q26&gt;0," tăng "," giảm ") &amp; TEXT(ABS(Q26)/1000,"0") &amp; "K = " &amp; TEXT(E26/1000,"#.##0") &amp; "K")</f>
        <v/>
      </c>
      <c r="S26" s="150">
        <f>IFERROR(F26-W10Q2FY26!F26,"OOS")</f>
        <v/>
      </c>
      <c r="T26" s="147">
        <f>IF(S26=0,"",$A26 &amp; IF(S26&gt;0," tăng "," giảm ") &amp; TEXT(ABS(S26)/1000,"0") &amp; "K = " &amp; TEXT(F26/1000,"#.##0") &amp; "K")</f>
        <v/>
      </c>
      <c r="U26" s="150">
        <f>IFERROR(G26-W10Q2FY26!G26,"OOS")</f>
        <v/>
      </c>
      <c r="V26" s="147">
        <f>IF(U26=0,"",$A26 &amp; IF(U26&gt;0," tăng "," giảm ") &amp; TEXT(ABS(U26)/1000,"0") &amp; "K = " &amp; TEXT(G26/1000,"#.##0") &amp; "K")</f>
        <v/>
      </c>
    </row>
    <row r="27">
      <c r="A27" t="inlineStr">
        <is>
          <t>AW SE 3 (44mm LTE)</t>
        </is>
      </c>
      <c r="B27" s="25" t="n"/>
      <c r="C27" s="136" t="n">
        <v>8790000</v>
      </c>
      <c r="D27" s="136" t="n">
        <v>8490000</v>
      </c>
      <c r="E27" s="140" t="n">
        <v>8590000</v>
      </c>
      <c r="F27" s="134" t="n">
        <v>8690000</v>
      </c>
      <c r="G27" s="113" t="n">
        <v>8690000</v>
      </c>
      <c r="H27" s="154" t="n"/>
      <c r="M27" s="149">
        <f>IFERROR(C27-W10Q2FY26!C27,"OOS")</f>
        <v/>
      </c>
      <c r="N27" s="147">
        <f>IF(M27=0,"",$A27 &amp; IF(M27&gt;0," tăng "," giảm ") &amp; TEXT(ABS(M27)/1000,"0") &amp; "K = " &amp; TEXT(C27/1000,"#.##0") &amp; "K")</f>
        <v/>
      </c>
      <c r="O27" s="150">
        <f>IFERROR(D27-W10Q2FY26!D27,"OOS")</f>
        <v/>
      </c>
      <c r="P27" s="147">
        <f>IF(O27=0,"",$A27 &amp; IF(O27&gt;0," tăng "," giảm ") &amp; TEXT(ABS(O27)/1000,"0") &amp; "K = " &amp; TEXT(D27/1000,"#.##0") &amp; "K")</f>
        <v/>
      </c>
      <c r="Q27" s="150">
        <f>IFERROR(E27-W10Q2FY26!E27,"OOS")</f>
        <v/>
      </c>
      <c r="R27" s="147">
        <f>IF(Q27=0,"",$A27 &amp; IF(Q27&gt;0," tăng "," giảm ") &amp; TEXT(ABS(Q27)/1000,"0") &amp; "K = " &amp; TEXT(E27/1000,"#.##0") &amp; "K")</f>
        <v/>
      </c>
      <c r="S27" s="150">
        <f>IFERROR(F27-W10Q2FY26!F27,"OOS")</f>
        <v/>
      </c>
      <c r="T27" s="147">
        <f>IF(S27=0,"",$A27 &amp; IF(S27&gt;0," tăng "," giảm ") &amp; TEXT(ABS(S27)/1000,"0") &amp; "K = " &amp; TEXT(F27/1000,"#.##0") &amp; "K")</f>
        <v/>
      </c>
      <c r="U27" s="150">
        <f>IFERROR(G27-W10Q2FY26!G27,"OOS")</f>
        <v/>
      </c>
      <c r="V27" s="147">
        <f>IF(U27=0,"",$A27 &amp; IF(U27&gt;0," tăng "," giảm ") &amp; TEXT(ABS(U27)/1000,"0") &amp; "K = " &amp; TEXT(G27/1000,"#.##0") &amp; "K")</f>
        <v/>
      </c>
    </row>
    <row r="28">
      <c r="A28" t="inlineStr">
        <is>
          <t>AW S11 (42mm GPS)</t>
        </is>
      </c>
      <c r="B28" s="3" t="n"/>
      <c r="C28" s="136" t="n">
        <v>9190000</v>
      </c>
      <c r="D28" s="141" t="n">
        <v>9190000</v>
      </c>
      <c r="E28" s="140" t="n">
        <v>8990000</v>
      </c>
      <c r="F28" s="134" t="n">
        <v>8990000</v>
      </c>
      <c r="G28" s="113" t="n">
        <v>8990000</v>
      </c>
      <c r="H28" s="154" t="n"/>
      <c r="M28" s="149">
        <f>IFERROR(C28-W10Q2FY26!C28,"OOS")</f>
        <v/>
      </c>
      <c r="N28" s="147">
        <f>IF(M28=0,"",$A28 &amp; IF(M28&gt;0," tăng "," giảm ") &amp; TEXT(ABS(M28)/1000,"0") &amp; "K = " &amp; TEXT(C28/1000,"#.##0") &amp; "K")</f>
        <v/>
      </c>
      <c r="O28" s="150">
        <f>IFERROR(D28-W10Q2FY26!D28,"OOS")</f>
        <v/>
      </c>
      <c r="P28" s="147">
        <f>IF(O28=0,"",$A28 &amp; IF(O28&gt;0," tăng "," giảm ") &amp; TEXT(ABS(O28)/1000,"0") &amp; "K = " &amp; TEXT(D28/1000,"#.##0") &amp; "K")</f>
        <v/>
      </c>
      <c r="Q28" s="150">
        <f>IFERROR(E28-W10Q2FY26!E28,"OOS")</f>
        <v/>
      </c>
      <c r="R28" s="147">
        <f>IF(Q28=0,"",$A28 &amp; IF(Q28&gt;0," tăng "," giảm ") &amp; TEXT(ABS(Q28)/1000,"0") &amp; "K = " &amp; TEXT(E28/1000,"#.##0") &amp; "K")</f>
        <v/>
      </c>
      <c r="S28" s="150">
        <f>IFERROR(F28-W10Q2FY26!F28,"OOS")</f>
        <v/>
      </c>
      <c r="T28" s="147">
        <f>IF(S28=0,"",$A28 &amp; IF(S28&gt;0," tăng "," giảm ") &amp; TEXT(ABS(S28)/1000,"0") &amp; "K = " &amp; TEXT(F28/1000,"#.##0") &amp; "K")</f>
        <v/>
      </c>
      <c r="U28" s="150">
        <f>IFERROR(G28-W10Q2FY26!G28,"OOS")</f>
        <v/>
      </c>
      <c r="V28" s="147">
        <f>IF(U28=0,"",$A28 &amp; IF(U28&gt;0," tăng "," giảm ") &amp; TEXT(ABS(U28)/1000,"0") &amp; "K = " &amp; TEXT(G28/1000,"#.##0") &amp; "K")</f>
        <v/>
      </c>
    </row>
    <row r="29">
      <c r="A29" t="inlineStr">
        <is>
          <t>AW S11 (42mm CEL)</t>
        </is>
      </c>
      <c r="B29" s="3" t="n"/>
      <c r="C29" s="136" t="n">
        <v>12090000</v>
      </c>
      <c r="D29" s="141" t="n">
        <v>11990000</v>
      </c>
      <c r="E29" s="140" t="n">
        <v>11990000</v>
      </c>
      <c r="F29" s="133" t="n">
        <v>12090000</v>
      </c>
      <c r="G29" s="113" t="n">
        <v>11990000</v>
      </c>
      <c r="H29" s="154" t="n"/>
      <c r="M29" s="149">
        <f>IFERROR(C29-W10Q2FY26!C29,"OOS")</f>
        <v/>
      </c>
      <c r="N29" s="147">
        <f>IF(M29=0,"",$A29 &amp; IF(M29&gt;0," tăng "," giảm ") &amp; TEXT(ABS(M29)/1000,"0") &amp; "K = " &amp; TEXT(C29/1000,"#.##0") &amp; "K")</f>
        <v/>
      </c>
      <c r="O29" s="150">
        <f>IFERROR(D29-W10Q2FY26!D29,"OOS")</f>
        <v/>
      </c>
      <c r="P29" s="147">
        <f>IF(O29=0,"",$A29 &amp; IF(O29&gt;0," tăng "," giảm ") &amp; TEXT(ABS(O29)/1000,"0") &amp; "K = " &amp; TEXT(D29/1000,"#.##0") &amp; "K")</f>
        <v/>
      </c>
      <c r="Q29" s="150">
        <f>IFERROR(E29-W10Q2FY26!E29,"OOS")</f>
        <v/>
      </c>
      <c r="R29" s="147">
        <f>IF(Q29=0,"",$A29 &amp; IF(Q29&gt;0," tăng "," giảm ") &amp; TEXT(ABS(Q29)/1000,"0") &amp; "K = " &amp; TEXT(E29/1000,"#.##0") &amp; "K")</f>
        <v/>
      </c>
      <c r="S29" s="150">
        <f>IFERROR(F29-W10Q2FY26!F29,"OOS")</f>
        <v/>
      </c>
      <c r="T29" s="147">
        <f>IF(S29=0,"",$A29 &amp; IF(S29&gt;0," tăng "," giảm ") &amp; TEXT(ABS(S29)/1000,"0") &amp; "K = " &amp; TEXT(F29/1000,"#.##0") &amp; "K")</f>
        <v/>
      </c>
      <c r="U29" s="150">
        <f>IFERROR(G29-W10Q2FY26!G29,"OOS")</f>
        <v/>
      </c>
      <c r="V29" s="147">
        <f>IF(U29=0,"",$A29 &amp; IF(U29&gt;0," tăng "," giảm ") &amp; TEXT(ABS(U29)/1000,"0") &amp; "K = " &amp; TEXT(G29/1000,"#.##0") &amp; "K")</f>
        <v/>
      </c>
    </row>
    <row r="30">
      <c r="A30" t="inlineStr">
        <is>
          <t>AW S11 (46mm GPS)</t>
        </is>
      </c>
      <c r="B30" s="3" t="n"/>
      <c r="C30" s="136" t="n">
        <v>9990000</v>
      </c>
      <c r="D30" s="136" t="n">
        <v>9990000</v>
      </c>
      <c r="E30" s="140" t="n">
        <v>9690000</v>
      </c>
      <c r="F30" s="134" t="n">
        <v>9790000</v>
      </c>
      <c r="G30" s="111" t="n">
        <v>9990000</v>
      </c>
      <c r="H30" s="154" t="n"/>
      <c r="M30" s="149">
        <f>IFERROR(C30-W10Q2FY26!C30,"OOS")</f>
        <v/>
      </c>
      <c r="N30" s="147">
        <f>IF(M30=0,"",$A30 &amp; IF(M30&gt;0," tăng "," giảm ") &amp; TEXT(ABS(M30)/1000,"0") &amp; "K = " &amp; TEXT(C30/1000,"#.##0") &amp; "K")</f>
        <v/>
      </c>
      <c r="O30" s="150">
        <f>IFERROR(D30-W10Q2FY26!D30,"OOS")</f>
        <v/>
      </c>
      <c r="P30" s="147">
        <f>IF(O30=0,"",$A30 &amp; IF(O30&gt;0," tăng "," giảm ") &amp; TEXT(ABS(O30)/1000,"0") &amp; "K = " &amp; TEXT(D30/1000,"#.##0") &amp; "K")</f>
        <v/>
      </c>
      <c r="Q30" s="150">
        <f>IFERROR(E30-W10Q2FY26!E30,"OOS")</f>
        <v/>
      </c>
      <c r="R30" s="147">
        <f>IF(Q30=0,"",$A30 &amp; IF(Q30&gt;0," tăng "," giảm ") &amp; TEXT(ABS(Q30)/1000,"0") &amp; "K = " &amp; TEXT(E30/1000,"#.##0") &amp; "K")</f>
        <v/>
      </c>
      <c r="S30" s="150">
        <f>IFERROR(F30-W10Q2FY26!F30,"OOS")</f>
        <v/>
      </c>
      <c r="T30" s="147">
        <f>IF(S30=0,"",$A30 &amp; IF(S30&gt;0," tăng "," giảm ") &amp; TEXT(ABS(S30)/1000,"0") &amp; "K = " &amp; TEXT(F30/1000,"#.##0") &amp; "K")</f>
        <v/>
      </c>
      <c r="U30" s="150">
        <f>IFERROR(G30-W10Q2FY26!G30,"OOS")</f>
        <v/>
      </c>
      <c r="V30" s="147">
        <f>IF(U30=0,"",$A30 &amp; IF(U30&gt;0," tăng "," giảm ") &amp; TEXT(ABS(U30)/1000,"0") &amp; "K = " &amp; TEXT(G30/1000,"#.##0") &amp; "K")</f>
        <v/>
      </c>
    </row>
    <row r="31">
      <c r="A31" t="inlineStr">
        <is>
          <t>AW S11 (46mm CEL)</t>
        </is>
      </c>
      <c r="B31" s="3" t="n"/>
      <c r="C31" s="136" t="n">
        <v>12990000</v>
      </c>
      <c r="D31" s="141" t="n">
        <v>12490000</v>
      </c>
      <c r="E31" s="140" t="n">
        <v>12490000</v>
      </c>
      <c r="F31" s="134" t="n">
        <v>12890000</v>
      </c>
      <c r="G31" s="111" t="n">
        <v>12990000</v>
      </c>
      <c r="H31" s="154" t="n"/>
      <c r="M31" s="149">
        <f>IFERROR(C31-W10Q2FY26!C31,"OOS")</f>
        <v/>
      </c>
      <c r="N31" s="147">
        <f>IF(M31=0,"",$A31 &amp; IF(M31&gt;0," tăng "," giảm ") &amp; TEXT(ABS(M31)/1000,"0") &amp; "K = " &amp; TEXT(C31/1000,"#.##0") &amp; "K")</f>
        <v/>
      </c>
      <c r="O31" s="150">
        <f>IFERROR(D31-W10Q2FY26!D31,"OOS")</f>
        <v/>
      </c>
      <c r="P31" s="147">
        <f>IF(O31=0,"",$A31 &amp; IF(O31&gt;0," tăng "," giảm ") &amp; TEXT(ABS(O31)/1000,"0") &amp; "K = " &amp; TEXT(D31/1000,"#.##0") &amp; "K")</f>
        <v/>
      </c>
      <c r="Q31" s="150">
        <f>IFERROR(E31-W10Q2FY26!E31,"OOS")</f>
        <v/>
      </c>
      <c r="R31" s="147">
        <f>IF(Q31=0,"",$A31 &amp; IF(Q31&gt;0," tăng "," giảm ") &amp; TEXT(ABS(Q31)/1000,"0") &amp; "K = " &amp; TEXT(E31/1000,"#.##0") &amp; "K")</f>
        <v/>
      </c>
      <c r="S31" s="150">
        <f>IFERROR(F31-W10Q2FY26!F31,"OOS")</f>
        <v/>
      </c>
      <c r="T31" s="147">
        <f>IF(S31=0,"",$A31 &amp; IF(S31&gt;0," tăng "," giảm ") &amp; TEXT(ABS(S31)/1000,"0") &amp; "K = " &amp; TEXT(F31/1000,"#.##0") &amp; "K")</f>
        <v/>
      </c>
      <c r="U31" s="150">
        <f>IFERROR(G31-W10Q2FY26!G31,"OOS")</f>
        <v/>
      </c>
      <c r="V31" s="147">
        <f>IF(U31=0,"",$A31 &amp; IF(U31&gt;0," tăng "," giảm ") &amp; TEXT(ABS(U31)/1000,"0") &amp; "K = " &amp; TEXT(G31/1000,"#.##0") &amp; "K")</f>
        <v/>
      </c>
    </row>
    <row r="32">
      <c r="A32" t="inlineStr">
        <is>
          <t>AW Ultra 3 (49mm)</t>
        </is>
      </c>
      <c r="B32" s="25" t="n"/>
      <c r="C32" s="136" t="n">
        <v>23490000</v>
      </c>
      <c r="D32" s="136" t="n">
        <v>22990000</v>
      </c>
      <c r="E32" s="113" t="n">
        <v>22490000</v>
      </c>
      <c r="F32" s="133" t="n">
        <v>22990000</v>
      </c>
      <c r="G32" s="111" t="n">
        <v>22990000</v>
      </c>
      <c r="H32" s="154" t="n"/>
      <c r="M32" s="149">
        <f>IFERROR(C32-W10Q2FY26!C32,"OOS")</f>
        <v/>
      </c>
      <c r="N32" s="147">
        <f>IF(M32=0,"",$A32 &amp; IF(M32&gt;0," tăng "," giảm ") &amp; TEXT(ABS(M32)/1000,"0") &amp; "K = " &amp; TEXT(C32/1000,"#.##0") &amp; "K")</f>
        <v/>
      </c>
      <c r="O32" s="150">
        <f>IFERROR(D32-W10Q2FY26!D32,"OOS")</f>
        <v/>
      </c>
      <c r="P32" s="147">
        <f>IF(O32=0,"",$A32 &amp; IF(O32&gt;0," tăng "," giảm ") &amp; TEXT(ABS(O32)/1000,"0") &amp; "K = " &amp; TEXT(D32/1000,"#.##0") &amp; "K")</f>
        <v/>
      </c>
      <c r="Q32" s="150">
        <f>IFERROR(E32-W10Q2FY26!E32,"OOS")</f>
        <v/>
      </c>
      <c r="R32" s="147">
        <f>IF(Q32=0,"",$A32 &amp; IF(Q32&gt;0," tăng "," giảm ") &amp; TEXT(ABS(Q32)/1000,"0") &amp; "K = " &amp; TEXT(E32/1000,"#.##0") &amp; "K")</f>
        <v/>
      </c>
      <c r="S32" s="150">
        <f>IFERROR(F32-W10Q2FY26!F32,"OOS")</f>
        <v/>
      </c>
      <c r="T32" s="147">
        <f>IF(S32=0,"",$A32 &amp; IF(S32&gt;0," tăng "," giảm ") &amp; TEXT(ABS(S32)/1000,"0") &amp; "K = " &amp; TEXT(F32/1000,"#.##0") &amp; "K")</f>
        <v/>
      </c>
      <c r="U32" s="150">
        <f>IFERROR(G32-W10Q2FY26!G32,"OOS")</f>
        <v/>
      </c>
      <c r="V32" s="147">
        <f>IF(U32=0,"",$A32 &amp; IF(U32&gt;0," tăng "," giảm ") &amp; TEXT(ABS(U32)/1000,"0") &amp; "K = " &amp; TEXT(G32/1000,"#.##0") &amp; "K")</f>
        <v/>
      </c>
    </row>
    <row r="33">
      <c r="A33" t="inlineStr">
        <is>
          <t>AirPods Pro 2 - 2023 (C-Type)</t>
        </is>
      </c>
      <c r="B33" s="3" t="n"/>
      <c r="C33" s="136" t="n">
        <v>4990000</v>
      </c>
      <c r="D33" s="131" t="inlineStr">
        <is>
          <t>OOS</t>
        </is>
      </c>
      <c r="E33" s="131" t="inlineStr">
        <is>
          <t>OOS</t>
        </is>
      </c>
      <c r="F33" s="134" t="n">
        <v>4990000</v>
      </c>
      <c r="G33" s="111" t="n">
        <v>5590000</v>
      </c>
      <c r="H33" s="154" t="n"/>
      <c r="M33" s="149">
        <f>IFERROR(C33-W10Q2FY26!C33,"OOS")</f>
        <v/>
      </c>
      <c r="N33" s="147">
        <f>IF(M33=0,"",$A33 &amp; IF(M33&gt;0," tăng "," giảm ") &amp; TEXT(ABS(M33)/1000,"0") &amp; "K = " &amp; TEXT(C33/1000,"#.##0") &amp; "K")</f>
        <v/>
      </c>
      <c r="O33" s="150">
        <f>IFERROR(D33-W10Q2FY26!D33,"OOS")</f>
        <v/>
      </c>
      <c r="P33" s="147">
        <f>IF(O33=0,"",$A33 &amp; IF(O33&gt;0," tăng "," giảm ") &amp; TEXT(ABS(O33)/1000,"0") &amp; "K = " &amp; TEXT(D33/1000,"#.##0") &amp; "K")</f>
        <v/>
      </c>
      <c r="Q33" s="150">
        <f>IFERROR(E33-W10Q2FY26!E33,"OOS")</f>
        <v/>
      </c>
      <c r="R33" s="147">
        <f>IF(Q33=0,"",$A33 &amp; IF(Q33&gt;0," tăng "," giảm ") &amp; TEXT(ABS(Q33)/1000,"0") &amp; "K = " &amp; TEXT(E33/1000,"#.##0") &amp; "K")</f>
        <v/>
      </c>
      <c r="S33" s="150">
        <f>IFERROR(F33-W10Q2FY26!F33,"OOS")</f>
        <v/>
      </c>
      <c r="T33" s="147">
        <f>IF(S33=0,"",$A33 &amp; IF(S33&gt;0," tăng "," giảm ") &amp; TEXT(ABS(S33)/1000,"0") &amp; "K = " &amp; TEXT(F33/1000,"#.##0") &amp; "K")</f>
        <v/>
      </c>
      <c r="U33" s="150">
        <f>IFERROR(G33-W10Q2FY26!G33,"OOS")</f>
        <v/>
      </c>
      <c r="V33" s="147">
        <f>IF(U33=0,"",$A33 &amp; IF(U33&gt;0," tăng "," giảm ") &amp; TEXT(ABS(U33)/1000,"0") &amp; "K = " &amp; TEXT(G33/1000,"#.##0") &amp; "K")</f>
        <v/>
      </c>
    </row>
    <row r="34">
      <c r="A34" t="inlineStr">
        <is>
          <t>AirPods 4 ANC</t>
        </is>
      </c>
      <c r="B34" s="3" t="n"/>
      <c r="C34" s="136" t="n">
        <v>4390000</v>
      </c>
      <c r="D34" s="136" t="n">
        <v>4290000</v>
      </c>
      <c r="E34" s="155" t="n">
        <v>4390000</v>
      </c>
      <c r="F34" s="134" t="n">
        <v>4390000</v>
      </c>
      <c r="G34" s="111" t="n">
        <v>4290000</v>
      </c>
      <c r="H34" s="154" t="n"/>
      <c r="M34" s="149">
        <f>IFERROR(C34-W10Q2FY26!C34,"OOS")</f>
        <v/>
      </c>
      <c r="N34" s="147">
        <f>IF(M34=0,"",$A34 &amp; IF(M34&gt;0," tăng "," giảm ") &amp; TEXT(ABS(M34)/1000,"0") &amp; "K = " &amp; TEXT(C34/1000,"#.##0") &amp; "K")</f>
        <v/>
      </c>
      <c r="O34" s="150">
        <f>IFERROR(D34-W10Q2FY26!D34,"OOS")</f>
        <v/>
      </c>
      <c r="P34" s="147">
        <f>IF(O34=0,"",$A34 &amp; IF(O34&gt;0," tăng "," giảm ") &amp; TEXT(ABS(O34)/1000,"0") &amp; "K = " &amp; TEXT(D34/1000,"#.##0") &amp; "K")</f>
        <v/>
      </c>
      <c r="Q34" s="150">
        <f>IFERROR(E34-W10Q2FY26!E34,"OOS")</f>
        <v/>
      </c>
      <c r="R34" s="147">
        <f>IF(Q34=0,"",$A34 &amp; IF(Q34&gt;0," tăng "," giảm ") &amp; TEXT(ABS(Q34)/1000,"0") &amp; "K = " &amp; TEXT(E34/1000,"#.##0") &amp; "K")</f>
        <v/>
      </c>
      <c r="S34" s="150">
        <f>IFERROR(F34-W10Q2FY26!F34,"OOS")</f>
        <v/>
      </c>
      <c r="T34" s="147">
        <f>IF(S34=0,"",$A34 &amp; IF(S34&gt;0," tăng "," giảm ") &amp; TEXT(ABS(S34)/1000,"0") &amp; "K = " &amp; TEXT(F34/1000,"#.##0") &amp; "K")</f>
        <v/>
      </c>
      <c r="U34" s="150">
        <f>IFERROR(G34-W10Q2FY26!G34,"OOS")</f>
        <v/>
      </c>
      <c r="V34" s="147">
        <f>IF(U34=0,"",$A34 &amp; IF(U34&gt;0," tăng "," giảm ") &amp; TEXT(ABS(U34)/1000,"0") &amp; "K = " &amp; TEXT(G34/1000,"#.##0") &amp; "K")</f>
        <v/>
      </c>
    </row>
    <row r="35">
      <c r="A35" t="inlineStr">
        <is>
          <t>AirPods 4 with charging case</t>
        </is>
      </c>
      <c r="B35" s="3" t="n"/>
      <c r="C35" s="136" t="n">
        <v>2990000</v>
      </c>
      <c r="D35" s="141" t="n">
        <v>2790000</v>
      </c>
      <c r="E35" s="155" t="n">
        <v>2990000</v>
      </c>
      <c r="F35" s="133" t="n">
        <v>2990000</v>
      </c>
      <c r="G35" s="113" t="n">
        <v>2990000</v>
      </c>
      <c r="H35" s="154" t="n"/>
      <c r="M35" s="149">
        <f>IFERROR(C35-W10Q2FY26!C35,"OOS")</f>
        <v/>
      </c>
      <c r="N35" s="147">
        <f>IF(M35=0,"",$A35 &amp; IF(M35&gt;0," tăng "," giảm ") &amp; TEXT(ABS(M35)/1000,"0") &amp; "K = " &amp; TEXT(C35/1000,"#.##0") &amp; "K")</f>
        <v/>
      </c>
      <c r="O35" s="150">
        <f>IFERROR(D35-W10Q2FY26!D35,"OOS")</f>
        <v/>
      </c>
      <c r="P35" s="147">
        <f>IF(O35=0,"",$A35 &amp; IF(O35&gt;0," tăng "," giảm ") &amp; TEXT(ABS(O35)/1000,"0") &amp; "K = " &amp; TEXT(D35/1000,"#.##0") &amp; "K")</f>
        <v/>
      </c>
      <c r="Q35" s="150">
        <f>IFERROR(E35-W10Q2FY26!E35,"OOS")</f>
        <v/>
      </c>
      <c r="R35" s="147">
        <f>IF(Q35=0,"",$A35 &amp; IF(Q35&gt;0," tăng "," giảm ") &amp; TEXT(ABS(Q35)/1000,"0") &amp; "K = " &amp; TEXT(E35/1000,"#.##0") &amp; "K")</f>
        <v/>
      </c>
      <c r="S35" s="150">
        <f>IFERROR(F35-W10Q2FY26!F35,"OOS")</f>
        <v/>
      </c>
      <c r="T35" s="147">
        <f>IF(S35=0,"",$A35 &amp; IF(S35&gt;0," tăng "," giảm ") &amp; TEXT(ABS(S35)/1000,"0") &amp; "K = " &amp; TEXT(F35/1000,"#.##0") &amp; "K")</f>
        <v/>
      </c>
      <c r="U35" s="150">
        <f>IFERROR(G35-W10Q2FY26!G35,"OOS")</f>
        <v/>
      </c>
      <c r="V35" s="147">
        <f>IF(U35=0,"",$A35 &amp; IF(U35&gt;0," tăng "," giảm ") &amp; TEXT(ABS(U35)/1000,"0") &amp; "K = " &amp; TEXT(G35/1000,"#.##0") &amp; "K")</f>
        <v/>
      </c>
    </row>
    <row r="36">
      <c r="A36" t="inlineStr">
        <is>
          <t>AirPods Pro 3</t>
        </is>
      </c>
      <c r="B36" s="3" t="n"/>
      <c r="C36" s="136" t="n">
        <v>6390000</v>
      </c>
      <c r="D36" s="141" t="n">
        <v>6290000</v>
      </c>
      <c r="E36" s="135" t="n">
        <v>6290000</v>
      </c>
      <c r="F36" s="133" t="n">
        <v>6390000</v>
      </c>
      <c r="G36" s="124" t="n">
        <v>6390000</v>
      </c>
      <c r="H36" s="154" t="n"/>
      <c r="M36" s="149">
        <f>IFERROR(C36-W10Q2FY26!C36,"OOS")</f>
        <v/>
      </c>
      <c r="N36" s="147">
        <f>IF(M36=0,"",$A36 &amp; IF(M36&gt;0," tăng "," giảm ") &amp; TEXT(ABS(M36)/1000,"0") &amp; "K = " &amp; TEXT(C36/1000,"#.##0") &amp; "K")</f>
        <v/>
      </c>
      <c r="O36" s="150">
        <f>IFERROR(D36-W10Q2FY26!D36,"OOS")</f>
        <v/>
      </c>
      <c r="P36" s="147">
        <f>IF(O36=0,"",$A36 &amp; IF(O36&gt;0," tăng "," giảm ") &amp; TEXT(ABS(O36)/1000,"0") &amp; "K = " &amp; TEXT(D36/1000,"#.##0") &amp; "K")</f>
        <v/>
      </c>
      <c r="Q36" s="150">
        <f>IFERROR(E36-W10Q2FY26!E36,"OOS")</f>
        <v/>
      </c>
      <c r="R36" s="147">
        <f>IF(Q36=0,"",$A36 &amp; IF(Q36&gt;0," tăng "," giảm ") &amp; TEXT(ABS(Q36)/1000,"0") &amp; "K = " &amp; TEXT(E36/1000,"#.##0") &amp; "K")</f>
        <v/>
      </c>
      <c r="S36" s="150">
        <f>IFERROR(F36-W10Q2FY26!F36,"OOS")</f>
        <v/>
      </c>
      <c r="T36" s="147">
        <f>IF(S36=0,"",$A36 &amp; IF(S36&gt;0," tăng "," giảm ") &amp; TEXT(ABS(S36)/1000,"0") &amp; "K = " &amp; TEXT(F36/1000,"#.##0") &amp; "K")</f>
        <v/>
      </c>
      <c r="U36" s="150">
        <f>IFERROR(G36-W10Q2FY26!G36,"OOS")</f>
        <v/>
      </c>
      <c r="V36" s="147">
        <f>IF(U36=0,"",$A36 &amp; IF(U36&gt;0," tăng "," giảm ") &amp; TEXT(ABS(U36)/1000,"0") &amp; "K = " &amp; TEXT(G36/1000,"#.##0") &amp; "K")</f>
        <v/>
      </c>
    </row>
    <row r="37">
      <c r="A37" t="inlineStr">
        <is>
          <t>MacBook Air 13" M2 16/256GB</t>
        </is>
      </c>
      <c r="B37" s="25" t="n"/>
      <c r="C37" s="141" t="n">
        <v>19990000</v>
      </c>
      <c r="D37" s="141" t="n">
        <v>19990000</v>
      </c>
      <c r="E37" s="143" t="n"/>
      <c r="F37" s="134" t="n">
        <v>20190000</v>
      </c>
      <c r="G37" s="111" t="n">
        <v>18990000</v>
      </c>
      <c r="H37" s="154" t="n"/>
      <c r="M37" s="149">
        <f>IFERROR(C37-W10Q2FY26!C37,"OOS")</f>
        <v/>
      </c>
      <c r="N37" s="147">
        <f>IF(M37=0,"",$A37 &amp; IF(M37&gt;0," tăng "," giảm ") &amp; TEXT(ABS(M37)/1000,"0") &amp; "K = " &amp; TEXT(C37/1000,"#.##0") &amp; "K")</f>
        <v/>
      </c>
      <c r="O37" s="150">
        <f>IFERROR(D37-W10Q2FY26!D37,"OOS")</f>
        <v/>
      </c>
      <c r="P37" s="147">
        <f>IF(O37=0,"",$A37 &amp; IF(O37&gt;0," tăng "," giảm ") &amp; TEXT(ABS(O37)/1000,"0") &amp; "K = " &amp; TEXT(D37/1000,"#.##0") &amp; "K")</f>
        <v/>
      </c>
      <c r="Q37" s="150">
        <f>IFERROR(E37-W10Q2FY26!E37,"OOS")</f>
        <v/>
      </c>
      <c r="R37" s="147">
        <f>IF(Q37=0,"",$A37 &amp; IF(Q37&gt;0," tăng "," giảm ") &amp; TEXT(ABS(Q37)/1000,"0") &amp; "K = " &amp; TEXT(E37/1000,"#.##0") &amp; "K")</f>
        <v/>
      </c>
      <c r="S37" s="150">
        <f>IFERROR(F37-W10Q2FY26!F37,"OOS")</f>
        <v/>
      </c>
      <c r="T37" s="147">
        <f>IF(S37=0,"",$A37 &amp; IF(S37&gt;0," tăng "," giảm ") &amp; TEXT(ABS(S37)/1000,"0") &amp; "K = " &amp; TEXT(F37/1000,"#.##0") &amp; "K")</f>
        <v/>
      </c>
      <c r="U37" s="150">
        <f>IFERROR(G37-W10Q2FY26!G37,"OOS")</f>
        <v/>
      </c>
      <c r="V37" s="147">
        <f>IF(U37=0,"",$A37 &amp; IF(U37&gt;0," tăng "," giảm ") &amp; TEXT(ABS(U37)/1000,"0") &amp; "K = " &amp; TEXT(G37/1000,"#.##0") &amp; "K")</f>
        <v/>
      </c>
    </row>
    <row r="38">
      <c r="A38" t="inlineStr">
        <is>
          <t>MacBook Air 13" M5 16/512GB</t>
        </is>
      </c>
      <c r="B38" s="25" t="n"/>
      <c r="C38" s="136" t="n">
        <v>29990000</v>
      </c>
      <c r="D38" s="136" t="n">
        <v>29990000</v>
      </c>
      <c r="E38" s="143" t="n"/>
      <c r="F38" s="111" t="n">
        <v>29990000</v>
      </c>
      <c r="G38" s="111" t="n">
        <v>29990000</v>
      </c>
      <c r="H38" s="154" t="n"/>
      <c r="M38" s="149">
        <f>IFERROR(C38-W10Q2FY26!C38,"OOS")</f>
        <v/>
      </c>
      <c r="N38" s="147">
        <f>IF(M38=0,"",$A38 &amp; IF(M38&gt;0," tăng "," giảm ") &amp; TEXT(ABS(M38)/1000,"0") &amp; "K = " &amp; TEXT(C38/1000,"#.##0") &amp; "K")</f>
        <v/>
      </c>
      <c r="O38" s="150">
        <f>IFERROR(D38-W10Q2FY26!D38,"OOS")</f>
        <v/>
      </c>
      <c r="P38" s="147">
        <f>IF(O38=0,"",$A38 &amp; IF(O38&gt;0," tăng "," giảm ") &amp; TEXT(ABS(O38)/1000,"0") &amp; "K = " &amp; TEXT(D38/1000,"#.##0") &amp; "K")</f>
        <v/>
      </c>
      <c r="Q38" s="150">
        <f>IFERROR(E38-W10Q2FY26!E38,"OOS")</f>
        <v/>
      </c>
      <c r="R38" s="147">
        <f>IF(Q38=0,"",$A38 &amp; IF(Q38&gt;0," tăng "," giảm ") &amp; TEXT(ABS(Q38)/1000,"0") &amp; "K = " &amp; TEXT(E38/1000,"#.##0") &amp; "K")</f>
        <v/>
      </c>
      <c r="S38" s="150">
        <f>IFERROR(F38-W10Q2FY26!F38,"OOS")</f>
        <v/>
      </c>
      <c r="T38" s="147">
        <f>IF(S38=0,"",$A38 &amp; IF(S38&gt;0," tăng "," giảm ") &amp; TEXT(ABS(S38)/1000,"0") &amp; "K = " &amp; TEXT(F38/1000,"#.##0") &amp; "K")</f>
        <v/>
      </c>
      <c r="U38" s="150">
        <f>IFERROR(G38-W10Q2FY26!G38,"OOS")</f>
        <v/>
      </c>
      <c r="V38" s="147">
        <f>IF(U38=0,"",$A38 &amp; IF(U38&gt;0," tăng "," giảm ") &amp; TEXT(ABS(U38)/1000,"0") &amp; "K = " &amp; TEXT(G38/1000,"#.##0") &amp; "K")</f>
        <v/>
      </c>
    </row>
    <row r="39">
      <c r="A39" t="inlineStr">
        <is>
          <t>MacBook NEO A18 Pro ( 8/256GB)</t>
        </is>
      </c>
      <c r="B39" s="25" t="n"/>
      <c r="C39" s="136" t="n">
        <v>16490000</v>
      </c>
      <c r="D39" s="136" t="n">
        <v>16490000</v>
      </c>
      <c r="E39" s="143" t="n"/>
      <c r="F39" s="111" t="n">
        <v>16490000</v>
      </c>
      <c r="G39" s="111" t="n">
        <v>16499000</v>
      </c>
      <c r="H39" s="154" t="n"/>
      <c r="M39" s="149">
        <f>IFERROR(C39-W10Q2FY26!C39,"OOS")</f>
        <v/>
      </c>
      <c r="N39" s="147">
        <f>IF(M39=0,"",$A39 &amp; IF(M39&gt;0," tăng "," giảm ") &amp; TEXT(ABS(M39)/1000,"0") &amp; "K = " &amp; TEXT(C39/1000,"#.##0") &amp; "K")</f>
        <v/>
      </c>
      <c r="O39" s="150">
        <f>IFERROR(D39-W10Q2FY26!D39,"OOS")</f>
        <v/>
      </c>
      <c r="P39" s="147">
        <f>IF(O39=0,"",$A39 &amp; IF(O39&gt;0," tăng "," giảm ") &amp; TEXT(ABS(O39)/1000,"0") &amp; "K = " &amp; TEXT(D39/1000,"#.##0") &amp; "K")</f>
        <v/>
      </c>
      <c r="Q39" s="150">
        <f>IFERROR(E39-W10Q2FY26!E39,"OOS")</f>
        <v/>
      </c>
      <c r="R39" s="147">
        <f>IF(Q39=0,"",$A39 &amp; IF(Q39&gt;0," tăng "," giảm ") &amp; TEXT(ABS(Q39)/1000,"0") &amp; "K = " &amp; TEXT(E39/1000,"#.##0") &amp; "K")</f>
        <v/>
      </c>
      <c r="S39" s="150">
        <f>IFERROR(F39-W10Q2FY26!F39,"OOS")</f>
        <v/>
      </c>
      <c r="T39" s="147">
        <f>IF(S39=0,"",$A39 &amp; IF(S39&gt;0," tăng "," giảm ") &amp; TEXT(ABS(S39)/1000,"0") &amp; "K = " &amp; TEXT(F39/1000,"#.##0") &amp; "K")</f>
        <v/>
      </c>
      <c r="U39" s="150">
        <f>IFERROR(G39-W10Q2FY26!G39,"OOS")</f>
        <v/>
      </c>
      <c r="V39" s="147">
        <f>IF(U39=0,"",$A39 &amp; IF(U39&gt;0," tăng "," giảm ") &amp; TEXT(ABS(U39)/1000,"0") &amp; "K = " &amp; TEXT(G39/1000,"#.##0") &amp; "K")</f>
        <v/>
      </c>
    </row>
    <row r="40">
      <c r="A40" t="inlineStr">
        <is>
          <t>MacBook Air 13" M4 16/256GB</t>
        </is>
      </c>
      <c r="B40" s="3" t="n"/>
      <c r="C40" s="141" t="n">
        <v>24590000</v>
      </c>
      <c r="D40" s="136" t="n">
        <v>25190000</v>
      </c>
      <c r="E40" s="143" t="n"/>
      <c r="F40" s="133" t="n">
        <v>25190000</v>
      </c>
      <c r="G40" s="112" t="n">
        <v>24690000</v>
      </c>
      <c r="H40" s="154" t="n"/>
      <c r="M40" s="149">
        <f>IFERROR(C40-W10Q2FY26!C40,"OOS")</f>
        <v/>
      </c>
      <c r="N40" s="147">
        <f>IF(M40=0,"",$A40 &amp; IF(M40&gt;0," tăng "," giảm ") &amp; TEXT(ABS(M40)/1000,"0") &amp; "K = " &amp; TEXT(C40/1000,"#.##0") &amp; "K")</f>
        <v/>
      </c>
      <c r="O40" s="150">
        <f>IFERROR(D40-W10Q2FY26!D40,"OOS")</f>
        <v/>
      </c>
      <c r="P40" s="147">
        <f>IF(O40=0,"",$A40 &amp; IF(O40&gt;0," tăng "," giảm ") &amp; TEXT(ABS(O40)/1000,"0") &amp; "K = " &amp; TEXT(D40/1000,"#.##0") &amp; "K")</f>
        <v/>
      </c>
      <c r="Q40" s="150">
        <f>IFERROR(E40-W10Q2FY26!E40,"OOS")</f>
        <v/>
      </c>
      <c r="R40" s="147">
        <f>IF(Q40=0,"",$A40 &amp; IF(Q40&gt;0," tăng "," giảm ") &amp; TEXT(ABS(Q40)/1000,"0") &amp; "K = " &amp; TEXT(E40/1000,"#.##0") &amp; "K")</f>
        <v/>
      </c>
      <c r="S40" s="150">
        <f>IFERROR(F40-W10Q2FY26!F40,"OOS")</f>
        <v/>
      </c>
      <c r="T40" s="147">
        <f>IF(S40=0,"",$A40 &amp; IF(S40&gt;0," tăng "," giảm ") &amp; TEXT(ABS(S40)/1000,"0") &amp; "K = " &amp; TEXT(F40/1000,"#.##0") &amp; "K")</f>
        <v/>
      </c>
      <c r="U40" s="150">
        <f>IFERROR(G40-W10Q2FY26!G40,"OOS")</f>
        <v/>
      </c>
      <c r="V40" s="147">
        <f>IF(U40=0,"",$A40 &amp; IF(U40&gt;0," tăng "," giảm ") &amp; TEXT(ABS(U40)/1000,"0") &amp; "K = " &amp; TEXT(G40/1000,"#.##0") &amp; "K")</f>
        <v/>
      </c>
    </row>
    <row r="41">
      <c r="A41" t="inlineStr">
        <is>
          <t>MacBook Air 15" M4 16/256GB</t>
        </is>
      </c>
      <c r="B41" s="25" t="n"/>
      <c r="C41" s="136" t="n">
        <v>29990000</v>
      </c>
      <c r="D41" s="136" t="n">
        <v>29990000</v>
      </c>
      <c r="E41" s="143" t="n"/>
      <c r="F41" s="133" t="n">
        <v>29990000</v>
      </c>
      <c r="G41" s="111" t="n">
        <v>28990000</v>
      </c>
      <c r="H41" s="154" t="n"/>
      <c r="M41" s="149">
        <f>IFERROR(C41-W10Q2FY26!C41,"OOS")</f>
        <v/>
      </c>
      <c r="N41" s="147">
        <f>IF(M41=0,"",$A41 &amp; IF(M41&gt;0," tăng "," giảm ") &amp; TEXT(ABS(M41)/1000,"0") &amp; "K = " &amp; TEXT(C41/1000,"#.##0") &amp; "K")</f>
        <v/>
      </c>
      <c r="O41" s="150">
        <f>IFERROR(D41-W10Q2FY26!D41,"OOS")</f>
        <v/>
      </c>
      <c r="P41" s="147">
        <f>IF(O41=0,"",$A41 &amp; IF(O41&gt;0," tăng "," giảm ") &amp; TEXT(ABS(O41)/1000,"0") &amp; "K = " &amp; TEXT(D41/1000,"#.##0") &amp; "K")</f>
        <v/>
      </c>
      <c r="Q41" s="150">
        <f>IFERROR(E41-W10Q2FY26!E41,"OOS")</f>
        <v/>
      </c>
      <c r="R41" s="147">
        <f>IF(Q41=0,"",$A41 &amp; IF(Q41&gt;0," tăng "," giảm ") &amp; TEXT(ABS(Q41)/1000,"0") &amp; "K = " &amp; TEXT(E41/1000,"#.##0") &amp; "K")</f>
        <v/>
      </c>
      <c r="S41" s="150">
        <f>IFERROR(F41-W10Q2FY26!F41,"OOS")</f>
        <v/>
      </c>
      <c r="T41" s="147">
        <f>IF(S41=0,"",$A41 &amp; IF(S41&gt;0," tăng "," giảm ") &amp; TEXT(ABS(S41)/1000,"0") &amp; "K = " &amp; TEXT(F41/1000,"#.##0") &amp; "K")</f>
        <v/>
      </c>
      <c r="U41" s="150">
        <f>IFERROR(G41-W10Q2FY26!G41,"OOS")</f>
        <v/>
      </c>
      <c r="V41" s="147">
        <f>IF(U41=0,"",$A41 &amp; IF(U41&gt;0," tăng "," giảm ") &amp; TEXT(ABS(U41)/1000,"0") &amp; "K = " &amp; TEXT(G41/1000,"#.##0") &amp; "K")</f>
        <v/>
      </c>
    </row>
    <row r="42">
      <c r="A42" t="inlineStr">
        <is>
          <t>MacBook Pro 14" M4 16/512GB</t>
        </is>
      </c>
      <c r="B42" s="25" t="n"/>
      <c r="C42" s="136" t="inlineStr">
        <is>
          <t>OOS</t>
        </is>
      </c>
      <c r="D42" s="136" t="inlineStr">
        <is>
          <t>OOS</t>
        </is>
      </c>
      <c r="E42" s="143" t="n"/>
      <c r="F42" s="133" t="n">
        <v>38590000</v>
      </c>
      <c r="G42" s="111" t="n">
        <v>38390000</v>
      </c>
      <c r="H42" s="154" t="n"/>
      <c r="M42" s="149">
        <f>IFERROR(C42-W10Q2FY26!C42,"OOS")</f>
        <v/>
      </c>
      <c r="N42" s="147">
        <f>IF(M42=0,"",$A42 &amp; IF(M42&gt;0," tăng "," giảm ") &amp; TEXT(ABS(M42)/1000,"0") &amp; "K = " &amp; TEXT(C42/1000,"#.##0") &amp; "K")</f>
        <v/>
      </c>
      <c r="O42" s="150">
        <f>IFERROR(D42-W10Q2FY26!D42,"OOS")</f>
        <v/>
      </c>
      <c r="P42" s="147">
        <f>IF(O42=0,"",$A42 &amp; IF(O42&gt;0," tăng "," giảm ") &amp; TEXT(ABS(O42)/1000,"0") &amp; "K = " &amp; TEXT(D42/1000,"#.##0") &amp; "K")</f>
        <v/>
      </c>
      <c r="Q42" s="150">
        <f>IFERROR(E42-W10Q2FY26!E42,"OOS")</f>
        <v/>
      </c>
      <c r="R42" s="147">
        <f>IF(Q42=0,"",$A42 &amp; IF(Q42&gt;0," tăng "," giảm ") &amp; TEXT(ABS(Q42)/1000,"0") &amp; "K = " &amp; TEXT(E42/1000,"#.##0") &amp; "K")</f>
        <v/>
      </c>
      <c r="S42" s="150">
        <f>IFERROR(F42-W10Q2FY26!F42,"OOS")</f>
        <v/>
      </c>
      <c r="T42" s="147">
        <f>IF(S42=0,"",$A42 &amp; IF(S42&gt;0," tăng "," giảm ") &amp; TEXT(ABS(S42)/1000,"0") &amp; "K = " &amp; TEXT(F42/1000,"#.##0") &amp; "K")</f>
        <v/>
      </c>
      <c r="U42" s="150">
        <f>IFERROR(G42-W10Q2FY26!G42,"OOS")</f>
        <v/>
      </c>
      <c r="V42" s="147">
        <f>IF(U42=0,"",$A42 &amp; IF(U42&gt;0," tăng "," giảm ") &amp; TEXT(ABS(U42)/1000,"0") &amp; "K = " &amp; TEXT(G42/1000,"#.##0") &amp; "K")</f>
        <v/>
      </c>
    </row>
    <row r="43">
      <c r="A43" t="inlineStr">
        <is>
          <t>MacBook Pro 14" M5 16/512GB</t>
        </is>
      </c>
      <c r="B43" s="25" t="n"/>
      <c r="C43" s="141" t="n">
        <v>41990000</v>
      </c>
      <c r="D43" s="141" t="n">
        <v>40990000</v>
      </c>
      <c r="E43" s="143" t="n"/>
      <c r="F43" s="134" t="n">
        <v>41490000</v>
      </c>
      <c r="G43" s="111" t="n">
        <v>41690000</v>
      </c>
      <c r="H43" s="154" t="n"/>
      <c r="M43" s="149">
        <f>IFERROR(C43-W10Q2FY26!C43,"OOS")</f>
        <v/>
      </c>
      <c r="N43" s="147">
        <f>IF(M43=0,"",$A43 &amp; IF(M43&gt;0," tăng "," giảm ") &amp; TEXT(ABS(M43)/1000,"0") &amp; "K = " &amp; TEXT(C43/1000,"#.##0") &amp; "K")</f>
        <v/>
      </c>
      <c r="O43" s="150">
        <f>IFERROR(D43-W10Q2FY26!D43,"OOS")</f>
        <v/>
      </c>
      <c r="P43" s="147">
        <f>IF(O43=0,"",$A43 &amp; IF(O43&gt;0," tăng "," giảm ") &amp; TEXT(ABS(O43)/1000,"0") &amp; "K = " &amp; TEXT(D43/1000,"#.##0") &amp; "K")</f>
        <v/>
      </c>
      <c r="Q43" s="150">
        <f>IFERROR(E43-W10Q2FY26!E43,"OOS")</f>
        <v/>
      </c>
      <c r="R43" s="147">
        <f>IF(Q43=0,"",$A43 &amp; IF(Q43&gt;0," tăng "," giảm ") &amp; TEXT(ABS(Q43)/1000,"0") &amp; "K = " &amp; TEXT(E43/1000,"#.##0") &amp; "K")</f>
        <v/>
      </c>
      <c r="S43" s="150">
        <f>IFERROR(F43-W10Q2FY26!F43,"OOS")</f>
        <v/>
      </c>
      <c r="T43" s="147">
        <f>IF(S43=0,"",$A43 &amp; IF(S43&gt;0," tăng "," giảm ") &amp; TEXT(ABS(S43)/1000,"0") &amp; "K = " &amp; TEXT(F43/1000,"#.##0") &amp; "K")</f>
        <v/>
      </c>
      <c r="U43" s="150">
        <f>IFERROR(G43-W10Q2FY26!G43,"OOS")</f>
        <v/>
      </c>
      <c r="V43" s="147">
        <f>IF(U43=0,"",$A43 &amp; IF(U43&gt;0," tăng "," giảm ") &amp; TEXT(ABS(U43)/1000,"0") &amp; "K = " &amp; TEXT(G43/1000,"#.##0") &amp; "K")</f>
        <v/>
      </c>
    </row>
    <row r="44">
      <c r="A44" t="inlineStr">
        <is>
          <t>MacBook Pro 16" M4 24/512GB</t>
        </is>
      </c>
      <c r="B44" s="25" t="n"/>
      <c r="C44" s="136" t="inlineStr">
        <is>
          <t>OOS</t>
        </is>
      </c>
      <c r="D44" s="136" t="n">
        <v>63990000</v>
      </c>
      <c r="E44" s="143" t="n"/>
      <c r="F44" s="134" t="n">
        <v>62990000</v>
      </c>
      <c r="G44" s="111" t="n">
        <v>63990000</v>
      </c>
      <c r="H44" s="154" t="n"/>
      <c r="M44" s="149">
        <f>IFERROR(C44-W10Q2FY26!C44,"OOS")</f>
        <v/>
      </c>
      <c r="N44" s="147">
        <f>IF(M44=0,"",$A44 &amp; IF(M44&gt;0," tăng "," giảm ") &amp; TEXT(ABS(M44)/1000,"0") &amp; "K = " &amp; TEXT(C44/1000,"#.##0") &amp; "K")</f>
        <v/>
      </c>
      <c r="O44" s="150">
        <f>IFERROR(D44-W10Q2FY26!D44,"OOS")</f>
        <v/>
      </c>
      <c r="P44" s="147">
        <f>IF(O44=0,"",$A44 &amp; IF(O44&gt;0," tăng "," giảm ") &amp; TEXT(ABS(O44)/1000,"0") &amp; "K = " &amp; TEXT(D44/1000,"#.##0") &amp; "K")</f>
        <v/>
      </c>
      <c r="Q44" s="150">
        <f>IFERROR(E44-W10Q2FY26!E44,"OOS")</f>
        <v/>
      </c>
      <c r="R44" s="147">
        <f>IF(Q44=0,"",$A44 &amp; IF(Q44&gt;0," tăng "," giảm ") &amp; TEXT(ABS(Q44)/1000,"0") &amp; "K = " &amp; TEXT(E44/1000,"#.##0") &amp; "K")</f>
        <v/>
      </c>
      <c r="S44" s="150">
        <f>IFERROR(F44-W10Q2FY26!F44,"OOS")</f>
        <v/>
      </c>
      <c r="T44" s="147">
        <f>IF(S44=0,"",$A44 &amp; IF(S44&gt;0," tăng "," giảm ") &amp; TEXT(ABS(S44)/1000,"0") &amp; "K = " &amp; TEXT(F44/1000,"#.##0") &amp; "K")</f>
        <v/>
      </c>
      <c r="U44" s="150">
        <f>IFERROR(G44-W10Q2FY26!G44,"OOS")</f>
        <v/>
      </c>
      <c r="V44" s="147">
        <f>IF(U44=0,"",$A44 &amp; IF(U44&gt;0," tăng "," giảm ") &amp; TEXT(ABS(U44)/1000,"0") &amp; "K = " &amp; TEXT(G44/1000,"#.##0") &amp; "K")</f>
        <v/>
      </c>
    </row>
    <row r="45">
      <c r="C45" s="125" t="n"/>
      <c r="D45" s="125" t="n"/>
    </row>
    <row r="46">
      <c r="C46" s="125" t="n"/>
      <c r="D46" s="125" t="n"/>
    </row>
    <row r="47">
      <c r="C47" s="125" t="n"/>
      <c r="D47" s="125" t="n"/>
    </row>
    <row r="48">
      <c r="C48" s="125" t="n"/>
      <c r="D48" s="125" t="n"/>
    </row>
    <row r="49">
      <c r="C49" s="125" t="n"/>
      <c r="D49" s="125" t="n"/>
    </row>
    <row r="50">
      <c r="C50" s="125" t="n"/>
      <c r="D50" s="125" t="n"/>
    </row>
    <row r="51">
      <c r="C51" s="125" t="n"/>
      <c r="D51" s="125" t="n"/>
    </row>
    <row r="52">
      <c r="C52" s="125" t="n"/>
      <c r="D52" s="125" t="n"/>
    </row>
    <row r="53">
      <c r="C53" s="125" t="n"/>
      <c r="D53" s="125" t="n"/>
    </row>
    <row r="54">
      <c r="C54" s="125" t="n"/>
      <c r="D54" s="125" t="n"/>
    </row>
    <row r="55">
      <c r="C55" s="125" t="n"/>
      <c r="D55" s="125" t="n"/>
    </row>
    <row r="56">
      <c r="C56" s="125" t="n"/>
      <c r="D56" s="125" t="n"/>
    </row>
    <row r="57">
      <c r="C57" s="125" t="n"/>
      <c r="D57" s="125" t="n"/>
    </row>
    <row r="58">
      <c r="C58" s="125" t="n"/>
      <c r="D58" s="125" t="n"/>
    </row>
    <row r="59">
      <c r="C59" s="125" t="n"/>
      <c r="D59" s="125" t="n"/>
    </row>
    <row r="60">
      <c r="C60" s="125" t="n"/>
      <c r="D60" s="125" t="n"/>
    </row>
    <row r="61">
      <c r="C61" s="125" t="n"/>
      <c r="D61" s="125" t="n"/>
    </row>
    <row r="62">
      <c r="C62" s="125" t="n"/>
      <c r="D62" s="125" t="n"/>
    </row>
    <row r="63">
      <c r="C63" s="125" t="n"/>
      <c r="D63" s="125" t="n"/>
    </row>
    <row r="64">
      <c r="C64" s="125" t="n"/>
      <c r="D64" s="125" t="n"/>
    </row>
    <row r="65">
      <c r="C65" s="125" t="n"/>
      <c r="D65" s="125" t="n"/>
    </row>
    <row r="66">
      <c r="C66" s="125" t="n"/>
      <c r="D66" s="125" t="n"/>
    </row>
    <row r="67">
      <c r="C67" s="125" t="n"/>
      <c r="D67" s="125" t="n"/>
    </row>
    <row r="68">
      <c r="C68" s="125" t="n"/>
      <c r="D68" s="125" t="n"/>
    </row>
    <row r="69">
      <c r="C69" s="125" t="n"/>
      <c r="D69" s="125" t="n"/>
    </row>
    <row r="70">
      <c r="C70" s="125" t="n"/>
      <c r="D70" s="125" t="n"/>
    </row>
    <row r="71">
      <c r="C71" s="125" t="n"/>
      <c r="D71" s="125" t="n"/>
    </row>
    <row r="72">
      <c r="C72" s="125" t="n"/>
      <c r="D72" s="125" t="n"/>
    </row>
    <row r="73">
      <c r="C73" s="125" t="n"/>
      <c r="D73" s="125" t="n"/>
    </row>
    <row r="74">
      <c r="C74" s="125" t="n"/>
      <c r="D74" s="125" t="n"/>
    </row>
    <row r="75">
      <c r="C75" s="125" t="n"/>
      <c r="D75" s="125" t="n"/>
    </row>
    <row r="76">
      <c r="C76" s="125" t="n"/>
      <c r="D76" s="125" t="n"/>
    </row>
    <row r="77">
      <c r="C77" s="125" t="n"/>
      <c r="D77" s="125" t="n"/>
    </row>
    <row r="78">
      <c r="C78" s="125" t="n"/>
      <c r="D78" s="125" t="n"/>
    </row>
    <row r="79">
      <c r="C79" s="125" t="n"/>
      <c r="D79" s="125" t="n"/>
    </row>
    <row r="80">
      <c r="C80" s="125" t="n"/>
      <c r="D80" s="125" t="n"/>
    </row>
    <row r="81">
      <c r="C81" s="125" t="n"/>
      <c r="D81" s="125" t="n"/>
    </row>
    <row r="82">
      <c r="C82" s="125" t="n"/>
      <c r="D82" s="125" t="n"/>
    </row>
    <row r="83">
      <c r="C83" s="125" t="n"/>
      <c r="D83" s="125" t="n"/>
    </row>
    <row r="84">
      <c r="C84" s="125" t="n"/>
      <c r="D84" s="125" t="n"/>
    </row>
    <row r="85">
      <c r="C85" s="125" t="n"/>
      <c r="D85" s="125" t="n"/>
    </row>
    <row r="86">
      <c r="C86" s="125" t="n"/>
      <c r="D86" s="125" t="n"/>
    </row>
    <row r="87">
      <c r="C87" s="125" t="n"/>
      <c r="D87" s="125" t="n"/>
    </row>
    <row r="88">
      <c r="C88" s="125" t="n"/>
      <c r="D88" s="125" t="n"/>
    </row>
    <row r="89">
      <c r="C89" s="125" t="n"/>
      <c r="D89" s="125" t="n"/>
    </row>
    <row r="90">
      <c r="C90" s="125" t="n"/>
      <c r="D90" s="125" t="n"/>
    </row>
    <row r="91">
      <c r="C91" s="125" t="n"/>
      <c r="D91" s="125" t="n"/>
    </row>
    <row r="92">
      <c r="C92" s="125" t="n"/>
      <c r="D92" s="125" t="n"/>
    </row>
    <row r="93">
      <c r="C93" s="125" t="n"/>
      <c r="D93" s="125" t="n"/>
    </row>
    <row r="94">
      <c r="C94" s="125" t="n"/>
      <c r="D94" s="125" t="n"/>
    </row>
    <row r="95">
      <c r="C95" s="125" t="n"/>
      <c r="D95" s="125" t="n"/>
    </row>
    <row r="96">
      <c r="C96" s="125" t="n"/>
      <c r="D96" s="125" t="n"/>
    </row>
    <row r="97">
      <c r="C97" s="125" t="n"/>
      <c r="D97" s="125" t="n"/>
    </row>
    <row r="98">
      <c r="C98" s="125" t="n"/>
      <c r="D98" s="125" t="n"/>
    </row>
    <row r="99">
      <c r="C99" s="125" t="n"/>
      <c r="D99" s="125" t="n"/>
    </row>
    <row r="100">
      <c r="C100" s="125" t="n"/>
      <c r="D100" s="125" t="n"/>
    </row>
    <row r="101">
      <c r="C101" s="125" t="n"/>
      <c r="D101" s="125" t="n"/>
    </row>
    <row r="102">
      <c r="C102" s="125" t="n"/>
      <c r="D102" s="125" t="n"/>
    </row>
    <row r="103">
      <c r="C103" s="125" t="n"/>
      <c r="D103" s="125" t="n"/>
    </row>
    <row r="104">
      <c r="C104" s="125" t="n"/>
      <c r="D104" s="125" t="n"/>
    </row>
    <row r="105">
      <c r="C105" s="125" t="n"/>
      <c r="D105" s="125" t="n"/>
    </row>
    <row r="106">
      <c r="C106" s="125" t="n"/>
      <c r="D106" s="125" t="n"/>
    </row>
    <row r="107">
      <c r="C107" s="125" t="n"/>
      <c r="D107" s="125" t="n"/>
    </row>
    <row r="108">
      <c r="C108" s="125" t="n"/>
      <c r="D108" s="125" t="n"/>
    </row>
    <row r="109">
      <c r="C109" s="125" t="n"/>
      <c r="D109" s="125" t="n"/>
    </row>
    <row r="110">
      <c r="C110" s="125" t="n"/>
      <c r="D110" s="125" t="n"/>
    </row>
    <row r="111">
      <c r="C111" s="125" t="n"/>
      <c r="D111" s="125" t="n"/>
    </row>
    <row r="112">
      <c r="C112" s="125" t="n"/>
      <c r="D112" s="125" t="n"/>
    </row>
    <row r="113">
      <c r="C113" s="125" t="n"/>
      <c r="D113" s="125" t="n"/>
    </row>
    <row r="114">
      <c r="C114" s="125" t="n"/>
      <c r="D114" s="125" t="n"/>
    </row>
    <row r="115">
      <c r="C115" s="125" t="n"/>
      <c r="D115" s="125" t="n"/>
    </row>
    <row r="116">
      <c r="C116" s="125" t="n"/>
      <c r="D116" s="125" t="n"/>
    </row>
    <row r="117">
      <c r="C117" s="125" t="n"/>
      <c r="D117" s="125" t="n"/>
    </row>
    <row r="118">
      <c r="C118" s="125" t="n"/>
      <c r="D118" s="125" t="n"/>
    </row>
    <row r="119">
      <c r="C119" s="125" t="n"/>
      <c r="D119" s="125" t="n"/>
    </row>
    <row r="120">
      <c r="C120" s="125" t="n"/>
      <c r="D120" s="125" t="n"/>
    </row>
    <row r="121">
      <c r="C121" s="125" t="n"/>
      <c r="D121" s="125" t="n"/>
    </row>
    <row r="122">
      <c r="C122" s="125" t="n"/>
      <c r="D122" s="125" t="n"/>
    </row>
    <row r="123">
      <c r="C123" s="125" t="n"/>
      <c r="D123" s="125" t="n"/>
    </row>
    <row r="124">
      <c r="C124" s="125" t="n"/>
      <c r="D124" s="125" t="n"/>
    </row>
    <row r="125">
      <c r="C125" s="125" t="n"/>
      <c r="D125" s="125" t="n"/>
    </row>
    <row r="126">
      <c r="C126" s="125" t="n"/>
      <c r="D126" s="125" t="n"/>
    </row>
    <row r="127">
      <c r="C127" s="125" t="n"/>
      <c r="D127" s="125" t="n"/>
    </row>
    <row r="128">
      <c r="C128" s="125" t="n"/>
      <c r="D128" s="125" t="n"/>
    </row>
    <row r="129">
      <c r="C129" s="125" t="n"/>
      <c r="D129" s="125" t="n"/>
    </row>
    <row r="130">
      <c r="C130" s="125" t="n"/>
      <c r="D130" s="125" t="n"/>
    </row>
    <row r="131">
      <c r="C131" s="125" t="n"/>
      <c r="D131" s="125" t="n"/>
    </row>
    <row r="132">
      <c r="C132" s="125" t="n"/>
      <c r="D132" s="125" t="n"/>
    </row>
    <row r="133">
      <c r="C133" s="125" t="n"/>
      <c r="D133" s="125" t="n"/>
    </row>
    <row r="134">
      <c r="C134" s="125" t="n"/>
      <c r="D134" s="125" t="n"/>
    </row>
    <row r="135">
      <c r="C135" s="125" t="n"/>
      <c r="D135" s="125" t="n"/>
    </row>
    <row r="136">
      <c r="C136" s="125" t="n"/>
      <c r="D136" s="125" t="n"/>
    </row>
    <row r="137">
      <c r="C137" s="125" t="n"/>
      <c r="D137" s="125" t="n"/>
    </row>
    <row r="138">
      <c r="C138" s="125" t="n"/>
      <c r="D138" s="125" t="n"/>
    </row>
    <row r="139">
      <c r="C139" s="125" t="n"/>
      <c r="D139" s="125" t="n"/>
    </row>
    <row r="140">
      <c r="C140" s="125" t="n"/>
      <c r="D140" s="125" t="n"/>
    </row>
    <row r="141">
      <c r="C141" s="125" t="n"/>
      <c r="D141" s="125" t="n"/>
    </row>
    <row r="142">
      <c r="C142" s="125" t="n"/>
      <c r="D142" s="125" t="n"/>
    </row>
    <row r="143">
      <c r="C143" s="125" t="n"/>
      <c r="D143" s="125" t="n"/>
    </row>
    <row r="144">
      <c r="C144" s="125" t="n"/>
      <c r="D144" s="125" t="n"/>
    </row>
    <row r="145">
      <c r="C145" s="125" t="n"/>
      <c r="D145" s="125" t="n"/>
    </row>
    <row r="146">
      <c r="C146" s="125" t="n"/>
      <c r="D146" s="125" t="n"/>
    </row>
    <row r="147">
      <c r="C147" s="125" t="n"/>
      <c r="D147" s="125" t="n"/>
    </row>
    <row r="148">
      <c r="C148" s="125" t="n"/>
      <c r="D148" s="125" t="n"/>
    </row>
    <row r="149">
      <c r="C149" s="125" t="n"/>
      <c r="D149" s="125" t="n"/>
    </row>
    <row r="150">
      <c r="C150" s="125" t="n"/>
      <c r="D150" s="125" t="n"/>
    </row>
    <row r="151">
      <c r="C151" s="125" t="n"/>
      <c r="D151" s="125" t="n"/>
    </row>
    <row r="152">
      <c r="C152" s="125" t="n"/>
      <c r="D152" s="125" t="n"/>
    </row>
    <row r="153">
      <c r="C153" s="125" t="n"/>
      <c r="D153" s="125" t="n"/>
    </row>
    <row r="154">
      <c r="C154" s="125" t="n"/>
      <c r="D154" s="125" t="n"/>
    </row>
    <row r="155">
      <c r="C155" s="125" t="n"/>
      <c r="D155" s="125" t="n"/>
    </row>
    <row r="156">
      <c r="C156" s="125" t="n"/>
      <c r="D156" s="125" t="n"/>
    </row>
  </sheetData>
  <conditionalFormatting sqref="D33">
    <cfRule type="expression" priority="1" dxfId="3" stopIfTrue="1">
      <formula>$Q33=0</formula>
    </cfRule>
    <cfRule type="expression" priority="2" dxfId="2" stopIfTrue="1">
      <formula>AND($Q33&lt;&gt;0,$Q33&lt;&gt;"")</formula>
    </cfRule>
  </conditionalFormatting>
  <conditionalFormatting sqref="E3:E44">
    <cfRule type="expression" priority="15" dxfId="3" stopIfTrue="1">
      <formula>$Q3=0</formula>
    </cfRule>
    <cfRule type="expression" priority="16" dxfId="2" stopIfTrue="1">
      <formula>AND($Q3&lt;&gt;0,$Q3&lt;&gt;"")</formula>
    </cfRule>
  </conditionalFormatting>
  <conditionalFormatting sqref="N2:N44">
    <cfRule type="containsText" priority="3" operator="containsText" dxfId="1" text="Tăng">
      <formula>NOT(ISERROR(SEARCH("Tăng",N2)))</formula>
    </cfRule>
    <cfRule type="containsText" priority="4" operator="containsText" dxfId="0" text="giảm">
      <formula>NOT(ISERROR(SEARCH("giảm",N2)))</formula>
    </cfRule>
  </conditionalFormatting>
  <conditionalFormatting sqref="P2:P44">
    <cfRule type="containsText" priority="5" operator="containsText" dxfId="1" text="Tăng">
      <formula>NOT(ISERROR(SEARCH("Tăng",P2)))</formula>
    </cfRule>
    <cfRule type="containsText" priority="6" operator="containsText" dxfId="0" text="giảm">
      <formula>NOT(ISERROR(SEARCH("giảm",P2)))</formula>
    </cfRule>
  </conditionalFormatting>
  <conditionalFormatting sqref="R2:R44">
    <cfRule type="containsText" priority="7" operator="containsText" dxfId="1" text="Tăng">
      <formula>NOT(ISERROR(SEARCH("Tăng",R2)))</formula>
    </cfRule>
    <cfRule type="containsText" priority="8" operator="containsText" dxfId="0" text="giảm">
      <formula>NOT(ISERROR(SEARCH("giảm",R2)))</formula>
    </cfRule>
  </conditionalFormatting>
  <conditionalFormatting sqref="T2:T44">
    <cfRule type="containsText" priority="9" operator="containsText" dxfId="1" text="Tăng">
      <formula>NOT(ISERROR(SEARCH("Tăng",T2)))</formula>
    </cfRule>
    <cfRule type="containsText" priority="10" operator="containsText" dxfId="0" text="giảm">
      <formula>NOT(ISERROR(SEARCH("giảm",T2)))</formula>
    </cfRule>
  </conditionalFormatting>
  <conditionalFormatting sqref="V2:V44">
    <cfRule type="containsText" priority="11" operator="containsText" dxfId="1" text="Tăng">
      <formula>NOT(ISERROR(SEARCH("Tăng",V2)))</formula>
    </cfRule>
    <cfRule type="containsText" priority="12" operator="containsText" dxfId="0" text="giảm">
      <formula>NOT(ISERROR(SEARCH("giảm",V2)))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99.xml><?xml version="1.0" encoding="utf-8"?>
<worksheet xmlns="http://schemas.openxmlformats.org/spreadsheetml/2006/main">
  <sheetPr>
    <outlinePr summaryBelow="1" summaryRight="1"/>
    <pageSetUpPr/>
  </sheetPr>
  <dimension ref="A1:Y156"/>
  <sheetViews>
    <sheetView showGridLines="0" zoomScale="83" zoomScaleNormal="50" workbookViewId="0">
      <pane xSplit="2" ySplit="1" topLeftCell="C2" activePane="bottomRight" state="frozen"/>
      <selection pane="bottomRight" activeCell="C1" sqref="C1"/>
      <selection pane="bottomLeft" activeCell="A2" sqref="A2"/>
      <selection pane="topRight" activeCell="C1" sqref="C1"/>
    </sheetView>
  </sheetViews>
  <sheetFormatPr baseColWidth="8" defaultColWidth="11" defaultRowHeight="15.95"/>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875" bestFit="1" customWidth="1" style="35" min="7" max="7"/>
    <col hidden="1" width="11" customWidth="1" style="35" min="8" max="12"/>
    <col hidden="1" width="14.375" customWidth="1" style="35" min="13" max="13"/>
    <col hidden="1" width="42" customWidth="1" style="35" min="14" max="14"/>
    <col hidden="1" width="14.875" customWidth="1" style="35" min="15" max="15"/>
    <col hidden="1" width="51.5" customWidth="1" style="35" min="16" max="16"/>
    <col hidden="1" width="13.5" customWidth="1" style="35" min="17" max="17"/>
    <col hidden="1" width="46" customWidth="1" style="35" min="18" max="18"/>
    <col hidden="1" width="15.5" customWidth="1" style="35" min="19" max="19"/>
    <col hidden="1" width="38" customWidth="1" style="35" min="20" max="20"/>
    <col hidden="1" width="14.125" customWidth="1" style="35" min="21" max="21"/>
    <col width="54.8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7" t="n">
        <v>17990000</v>
      </c>
      <c r="D2" s="128" t="n">
        <v>17790000</v>
      </c>
      <c r="E2" s="129" t="n">
        <v>17990000</v>
      </c>
      <c r="F2" s="126" t="n">
        <v>17990000</v>
      </c>
      <c r="G2" s="156" t="n">
        <v>17790000</v>
      </c>
      <c r="H2" s="154" t="n"/>
      <c r="M2" s="149">
        <f>IFERROR(C2-W11Q2FY26!C2,"OOS")</f>
        <v/>
      </c>
      <c r="N2" s="147">
        <f>IF(M2=0,"",$A2 &amp; IF(M2&gt;0," tăng "," giảm ") &amp; TEXT(ABS(M2)/1000,"0") &amp; "K = " &amp; TEXT(C2/1000,"#.##0") &amp; "K")</f>
        <v/>
      </c>
      <c r="O2" s="150">
        <f>IFERROR(D2-W11Q2FY26!D2,"OOS")</f>
        <v/>
      </c>
      <c r="P2" s="147">
        <f>IF(O2=0,"",$A2 &amp; IF(O2&gt;0," tăng "," giảm ") &amp; TEXT(ABS(O2)/1000,"0") &amp; "K = " &amp; TEXT(D2/1000,"#.##0") &amp; "K")</f>
        <v/>
      </c>
      <c r="Q2" s="150">
        <f>IFERROR(E2-W11Q2FY26!E2,"OOS")</f>
        <v/>
      </c>
      <c r="R2" s="147">
        <f>IF(Q2=0,"",$A2 &amp; IF(Q2&gt;0," tăng "," giảm ") &amp; TEXT(ABS(Q2)/1000,"0") &amp; "K = " &amp; TEXT(E2/1000,"#.##0") &amp; "K")</f>
        <v/>
      </c>
      <c r="S2" s="150">
        <f>IFERROR(F2-W11Q2FY26!F2,"OOS")</f>
        <v/>
      </c>
      <c r="T2" s="147">
        <f>IF(S2=0,"",$A2 &amp; IF(S2&gt;0," tăng "," giảm ") &amp; TEXT(ABS(S2)/1000,"0") &amp; "K = " &amp; TEXT(F2/1000,"#.##0") &amp; "K")</f>
        <v/>
      </c>
      <c r="U2" s="150">
        <f>IFERROR(G2-W11Q2FY26!G2,"OOS")</f>
        <v/>
      </c>
      <c r="V2" s="147">
        <f>IF(U2=0,"",$A2 &amp; IF(U2&gt;0," tăng "," giảm ") &amp; TEXT(ABS(U2)/1000,"0") &amp; "K = " &amp; TEXT(G2/1000,"#.##0") &amp; "K")</f>
        <v/>
      </c>
    </row>
    <row r="3">
      <c r="A3" t="inlineStr">
        <is>
          <t>iPhone 17  256GB</t>
        </is>
      </c>
      <c r="B3" s="83" t="n"/>
      <c r="C3" s="130" t="n">
        <v>24890000</v>
      </c>
      <c r="D3" s="128" t="n">
        <v>24690000</v>
      </c>
      <c r="E3" s="131" t="n">
        <v>24190000</v>
      </c>
      <c r="F3" s="132" t="n">
        <v>24790000</v>
      </c>
      <c r="G3" s="112" t="n">
        <v>24190000</v>
      </c>
      <c r="H3" s="154" t="n"/>
      <c r="M3" s="149">
        <f>IFERROR(C3-W11Q2FY26!C3,"OOS")</f>
        <v/>
      </c>
      <c r="N3" s="147">
        <f>IF(M3=0,"",$A3 &amp; IF(M3&gt;0," tăng "," giảm ") &amp; TEXT(ABS(M3)/1000,"0") &amp; "K = " &amp; TEXT(C3/1000,"#.##0") &amp; "K")</f>
        <v/>
      </c>
      <c r="O3" s="150">
        <f>IFERROR(D3-W11Q2FY26!D3,"OOS")</f>
        <v/>
      </c>
      <c r="P3" s="147">
        <f>IF(O3=0,"",$A3 &amp; IF(O3&gt;0," tăng "," giảm ") &amp; TEXT(ABS(O3)/1000,"0") &amp; "K = " &amp; TEXT(D3/1000,"#.##0") &amp; "K")</f>
        <v/>
      </c>
      <c r="Q3" s="150">
        <f>IFERROR(E3-W11Q2FY26!E3,"OOS")</f>
        <v/>
      </c>
      <c r="R3" s="147">
        <f>IF(Q3=0,"",$A3 &amp; IF(Q3&gt;0," tăng "," giảm ") &amp; TEXT(ABS(Q3)/1000,"0") &amp; "K = " &amp; TEXT(E3/1000,"#.##0") &amp; "K")</f>
        <v/>
      </c>
      <c r="S3" s="150">
        <f>IFERROR(F3-W11Q2FY26!F3,"OOS")</f>
        <v/>
      </c>
      <c r="T3" s="147">
        <f>IF(S3=0,"",$A3 &amp; IF(S3&gt;0," tăng "," giảm ") &amp; TEXT(ABS(S3)/1000,"0") &amp; "K = " &amp; TEXT(F3/1000,"#.##0") &amp; "K")</f>
        <v/>
      </c>
      <c r="U3" s="150">
        <f>IFERROR(G3-W11Q2FY26!G3,"OOS")</f>
        <v/>
      </c>
      <c r="V3" s="147">
        <f>IF(U3=0,"",$A3 &amp; IF(U3&gt;0," tăng "," giảm ") &amp; TEXT(ABS(U3)/1000,"0") &amp; "K = " &amp; TEXT(G3/1000,"#.##0") &amp; "K")</f>
        <v/>
      </c>
    </row>
    <row r="4">
      <c r="A4" t="inlineStr">
        <is>
          <t>iPhone Air 256G</t>
        </is>
      </c>
      <c r="B4" s="83" t="n"/>
      <c r="C4" s="128" t="n">
        <v>24990000</v>
      </c>
      <c r="D4" s="128" t="n">
        <v>24990000</v>
      </c>
      <c r="E4" s="131" t="n">
        <v>24490000</v>
      </c>
      <c r="F4" s="133" t="n">
        <v>24990000</v>
      </c>
      <c r="G4" s="111" t="n">
        <v>24990000</v>
      </c>
      <c r="H4" s="154" t="n"/>
      <c r="M4" s="149">
        <f>IFERROR(C4-W11Q2FY26!C4,"OOS")</f>
        <v/>
      </c>
      <c r="N4" s="147">
        <f>IF(M4=0,"",$A4 &amp; IF(M4&gt;0," tăng "," giảm ") &amp; TEXT(ABS(M4)/1000,"0") &amp; "K = " &amp; TEXT(C4/1000,"#.##0") &amp; "K")</f>
        <v/>
      </c>
      <c r="O4" s="150">
        <f>IFERROR(D4-W11Q2FY26!D4,"OOS")</f>
        <v/>
      </c>
      <c r="P4" s="147">
        <f>IF(O4=0,"",$A4 &amp; IF(O4&gt;0," tăng "," giảm ") &amp; TEXT(ABS(O4)/1000,"0") &amp; "K = " &amp; TEXT(D4/1000,"#.##0") &amp; "K")</f>
        <v/>
      </c>
      <c r="Q4" s="150">
        <f>IFERROR(E4-W11Q2FY26!E4,"OOS")</f>
        <v/>
      </c>
      <c r="R4" s="147">
        <f>IF(Q4=0,"",$A4 &amp; IF(Q4&gt;0," tăng "," giảm ") &amp; TEXT(ABS(Q4)/1000,"0") &amp; "K = " &amp; TEXT(E4/1000,"#.##0") &amp; "K")</f>
        <v/>
      </c>
      <c r="S4" s="150">
        <f>IFERROR(F4-W11Q2FY26!F4,"OOS")</f>
        <v/>
      </c>
      <c r="T4" s="147">
        <f>IF(S4=0,"",$A4 &amp; IF(S4&gt;0," tăng "," giảm ") &amp; TEXT(ABS(S4)/1000,"0") &amp; "K = " &amp; TEXT(F4/1000,"#.##0") &amp; "K")</f>
        <v/>
      </c>
      <c r="U4" s="150">
        <f>IFERROR(G4-W11Q2FY26!G4,"OOS")</f>
        <v/>
      </c>
      <c r="V4" s="147">
        <f>IF(U4=0,"",$A4 &amp; IF(U4&gt;0," tăng "," giảm ") &amp; TEXT(ABS(U4)/1000,"0") &amp; "K = " &amp; TEXT(G4/1000,"#.##0") &amp; "K")</f>
        <v/>
      </c>
    </row>
    <row r="5">
      <c r="A5" t="inlineStr">
        <is>
          <t>iPhone 17 Pro 256GB</t>
        </is>
      </c>
      <c r="B5" s="83" t="n"/>
      <c r="C5" s="128" t="n">
        <v>34790000</v>
      </c>
      <c r="D5" s="128" t="n">
        <v>34490000</v>
      </c>
      <c r="E5" s="131" t="n">
        <v>33190000</v>
      </c>
      <c r="F5" s="134" t="n">
        <v>34490000</v>
      </c>
      <c r="G5" s="111" t="n">
        <v>34190000</v>
      </c>
      <c r="H5" s="154" t="n"/>
      <c r="M5" s="149">
        <f>IFERROR(C5-W11Q2FY26!C5,"OOS")</f>
        <v/>
      </c>
      <c r="N5" s="147">
        <f>IF(M5=0,"",$A5 &amp; IF(M5&gt;0," tăng "," giảm ") &amp; TEXT(ABS(M5)/1000,"0") &amp; "K = " &amp; TEXT(C5/1000,"#.##0") &amp; "K")</f>
        <v/>
      </c>
      <c r="O5" s="150">
        <f>IFERROR(D5-W11Q2FY26!D5,"OOS")</f>
        <v/>
      </c>
      <c r="P5" s="147">
        <f>IF(O5=0,"",$A5 &amp; IF(O5&gt;0," tăng "," giảm ") &amp; TEXT(ABS(O5)/1000,"0") &amp; "K = " &amp; TEXT(D5/1000,"#.##0") &amp; "K")</f>
        <v/>
      </c>
      <c r="Q5" s="150">
        <f>IFERROR(E5-W11Q2FY26!E5,"OOS")</f>
        <v/>
      </c>
      <c r="R5" s="147">
        <f>IF(Q5=0,"",$A5 &amp; IF(Q5&gt;0," tăng "," giảm ") &amp; TEXT(ABS(Q5)/1000,"0") &amp; "K = " &amp; TEXT(E5/1000,"#.##0") &amp; "K")</f>
        <v/>
      </c>
      <c r="S5" s="150">
        <f>IFERROR(F5-W11Q2FY26!F5,"OOS")</f>
        <v/>
      </c>
      <c r="T5" s="147">
        <f>IF(S5=0,"",$A5 &amp; IF(S5&gt;0," tăng "," giảm ") &amp; TEXT(ABS(S5)/1000,"0") &amp; "K = " &amp; TEXT(F5/1000,"#.##0") &amp; "K")</f>
        <v/>
      </c>
      <c r="U5" s="150">
        <f>IFERROR(G5-W11Q2FY26!G5,"OOS")</f>
        <v/>
      </c>
      <c r="V5" s="147">
        <f>IF(U5=0,"",$A5 &amp; IF(U5&gt;0," tăng "," giảm ") &amp; TEXT(ABS(U5)/1000,"0") &amp; "K = " &amp; TEXT(G5/1000,"#.##0") &amp; "K")</f>
        <v/>
      </c>
    </row>
    <row r="6">
      <c r="A6" t="inlineStr">
        <is>
          <t>iPhone 17 Pro Max 256GB</t>
        </is>
      </c>
      <c r="B6" s="83" t="n"/>
      <c r="C6" s="128" t="n">
        <v>37990000</v>
      </c>
      <c r="D6" s="130" t="n">
        <v>37790000</v>
      </c>
      <c r="E6" s="135" t="n">
        <v>36490000</v>
      </c>
      <c r="F6" s="133" t="n">
        <v>37990000</v>
      </c>
      <c r="G6" s="112" t="n">
        <v>37190000</v>
      </c>
      <c r="H6" s="154" t="n"/>
      <c r="M6" s="149">
        <f>IFERROR(C6-W11Q2FY26!C6,"OOS")</f>
        <v/>
      </c>
      <c r="N6" s="147">
        <f>IF(M6=0,"",$A6 &amp; IF(M6&gt;0," tăng "," giảm ") &amp; TEXT(ABS(M6)/1000,"0") &amp; "K = " &amp; TEXT(C6/1000,"#.##0") &amp; "K")</f>
        <v/>
      </c>
      <c r="O6" s="150">
        <f>IFERROR(D6-W11Q2FY26!D6,"OOS")</f>
        <v/>
      </c>
      <c r="P6" s="147">
        <f>IF(O6=0,"",$A6 &amp; IF(O6&gt;0," tăng "," giảm ") &amp; TEXT(ABS(O6)/1000,"0") &amp; "K = " &amp; TEXT(D6/1000,"#.##0") &amp; "K")</f>
        <v/>
      </c>
      <c r="Q6" s="150">
        <f>IFERROR(E6-W11Q2FY26!E6,"OOS")</f>
        <v/>
      </c>
      <c r="R6" s="147">
        <f>IF(Q6=0,"",$A6 &amp; IF(Q6&gt;0," tăng "," giảm ") &amp; TEXT(ABS(Q6)/1000,"0") &amp; "K = " &amp; TEXT(E6/1000,"#.##0") &amp; "K")</f>
        <v/>
      </c>
      <c r="S6" s="150">
        <f>IFERROR(F6-W11Q2FY26!F6,"OOS")</f>
        <v/>
      </c>
      <c r="T6" s="147">
        <f>IF(S6=0,"",$A6 &amp; IF(S6&gt;0," tăng "," giảm ") &amp; TEXT(ABS(S6)/1000,"0") &amp; "K = " &amp; TEXT(F6/1000,"#.##0") &amp; "K")</f>
        <v/>
      </c>
      <c r="U6" s="150">
        <f>IFERROR(G6-W11Q2FY26!G6,"OOS")</f>
        <v/>
      </c>
      <c r="V6" s="147">
        <f>IF(U6=0,"",$A6 &amp; IF(U6&gt;0," tăng "," giảm ") &amp; TEXT(ABS(U6)/1000,"0") &amp; "K = " &amp; TEXT(G6/1000,"#.##0") &amp; "K")</f>
        <v/>
      </c>
    </row>
    <row r="7">
      <c r="A7" t="inlineStr">
        <is>
          <t>iPhone 16e  128GB</t>
        </is>
      </c>
      <c r="B7" s="83" t="n"/>
      <c r="C7" s="128" t="n">
        <v>15990000</v>
      </c>
      <c r="D7" s="136" t="n">
        <v>15990000</v>
      </c>
      <c r="E7" s="135" t="n">
        <v>12490000</v>
      </c>
      <c r="F7" s="137" t="n">
        <v>12490000</v>
      </c>
      <c r="G7" s="111" t="n">
        <v>15190000</v>
      </c>
      <c r="H7" s="154" t="n"/>
      <c r="M7" s="149">
        <f>IFERROR(C7-W11Q2FY26!C7,"OOS")</f>
        <v/>
      </c>
      <c r="N7" s="147">
        <f>IF(M7=0,"",$A7 &amp; IF(M7&gt;0," tăng "," giảm ") &amp; TEXT(ABS(M7)/1000,"0") &amp; "K = " &amp; TEXT(C7/1000,"#.##0") &amp; "K")</f>
        <v/>
      </c>
      <c r="O7" s="150">
        <f>IFERROR(D7-W11Q2FY26!D7,"OOS")</f>
        <v/>
      </c>
      <c r="P7" s="147">
        <f>IF(O7=0,"",$A7 &amp; IF(O7&gt;0," tăng "," giảm ") &amp; TEXT(ABS(O7)/1000,"0") &amp; "K = " &amp; TEXT(D7/1000,"#.##0") &amp; "K")</f>
        <v/>
      </c>
      <c r="Q7" s="150">
        <f>IFERROR(E7-W11Q2FY26!E7,"OOS")</f>
        <v/>
      </c>
      <c r="R7" s="147">
        <f>IF(Q7=0,"",$A7 &amp; IF(Q7&gt;0," tăng "," giảm ") &amp; TEXT(ABS(Q7)/1000,"0") &amp; "K = " &amp; TEXT(E7/1000,"#.##0") &amp; "K")</f>
        <v/>
      </c>
      <c r="S7" s="150">
        <f>IFERROR(F7-W11Q2FY26!F7,"OOS")</f>
        <v/>
      </c>
      <c r="T7" s="147">
        <f>IF(S7=0,"",$A7 &amp; IF(S7&gt;0," tăng "," giảm ") &amp; TEXT(ABS(S7)/1000,"0") &amp; "K = " &amp; TEXT(F7/1000,"#.##0") &amp; "K")</f>
        <v/>
      </c>
      <c r="U7" s="150">
        <f>IFERROR(G7-W11Q2FY26!G7,"OOS")</f>
        <v/>
      </c>
      <c r="V7" s="147">
        <f>IF(U7=0,"",$A7 &amp; IF(U7&gt;0," tăng "," giảm ") &amp; TEXT(ABS(U7)/1000,"0") &amp; "K = " &amp; TEXT(G7/1000,"#.##0") &amp; "K")</f>
        <v/>
      </c>
    </row>
    <row r="8">
      <c r="A8" t="inlineStr">
        <is>
          <t>iPhone 16 128GB</t>
        </is>
      </c>
      <c r="B8" s="71" t="n"/>
      <c r="C8" s="139" t="n">
        <v>21090000</v>
      </c>
      <c r="D8" s="138" t="n">
        <v>20790000</v>
      </c>
      <c r="E8" s="140" t="n">
        <v>20090000</v>
      </c>
      <c r="F8" s="133" t="n">
        <v>20790000</v>
      </c>
      <c r="G8" s="111" t="n">
        <v>20790000</v>
      </c>
      <c r="H8" s="154" t="n"/>
      <c r="M8" s="149">
        <f>IFERROR(C8-W11Q2FY26!C8,"OOS")</f>
        <v/>
      </c>
      <c r="N8" s="147">
        <f>IF(M8=0,"",$A8 &amp; IF(M8&gt;0," tăng "," giảm ") &amp; TEXT(ABS(M8)/1000,"0") &amp; "K = " &amp; TEXT(C8/1000,"#.##0") &amp; "K")</f>
        <v/>
      </c>
      <c r="O8" s="150">
        <f>IFERROR(D8-W11Q2FY26!D8,"OOS")</f>
        <v/>
      </c>
      <c r="P8" s="147">
        <f>IF(O8=0,"",$A8 &amp; IF(O8&gt;0," tăng "," giảm ") &amp; TEXT(ABS(O8)/1000,"0") &amp; "K = " &amp; TEXT(D8/1000,"#.##0") &amp; "K")</f>
        <v/>
      </c>
      <c r="Q8" s="150">
        <f>IFERROR(E8-W11Q2FY26!E8,"OOS")</f>
        <v/>
      </c>
      <c r="R8" s="147">
        <f>IF(Q8=0,"",$A8 &amp; IF(Q8&gt;0," tăng "," giảm ") &amp; TEXT(ABS(Q8)/1000,"0") &amp; "K = " &amp; TEXT(E8/1000,"#.##0") &amp; "K")</f>
        <v/>
      </c>
      <c r="S8" s="150">
        <f>IFERROR(F8-W11Q2FY26!F8,"OOS")</f>
        <v/>
      </c>
      <c r="T8" s="147">
        <f>IF(S8=0,"",$A8 &amp; IF(S8&gt;0," tăng "," giảm ") &amp; TEXT(ABS(S8)/1000,"0") &amp; "K = " &amp; TEXT(F8/1000,"#.##0") &amp; "K")</f>
        <v/>
      </c>
      <c r="U8" s="150">
        <f>IFERROR(G8-W11Q2FY26!G8,"OOS")</f>
        <v/>
      </c>
      <c r="V8" s="147">
        <f>IF(U8=0,"",$A8 &amp; IF(U8&gt;0," tăng "," giảm ") &amp; TEXT(ABS(U8)/1000,"0") &amp; "K = " &amp; TEXT(G8/1000,"#.##0") &amp; "K")</f>
        <v/>
      </c>
    </row>
    <row r="9">
      <c r="A9" t="inlineStr">
        <is>
          <t>iPhone 16  Plus 128GB</t>
        </is>
      </c>
      <c r="B9" s="3" t="n"/>
      <c r="C9" s="136" t="n">
        <v>25090000</v>
      </c>
      <c r="D9" s="141" t="n">
        <v>24790000</v>
      </c>
      <c r="E9" s="140" t="n">
        <v>23790000</v>
      </c>
      <c r="F9" s="133" t="n">
        <v>24790000</v>
      </c>
      <c r="G9" s="111" t="n">
        <v>24590000</v>
      </c>
      <c r="H9" s="154" t="n"/>
      <c r="M9" s="149">
        <f>IFERROR(C9-W11Q2FY26!C9,"OOS")</f>
        <v/>
      </c>
      <c r="N9" s="147">
        <f>IF(M9=0,"",$A9 &amp; IF(M9&gt;0," tăng "," giảm ") &amp; TEXT(ABS(M9)/1000,"0") &amp; "K = " &amp; TEXT(C9/1000,"#.##0") &amp; "K")</f>
        <v/>
      </c>
      <c r="O9" s="150">
        <f>IFERROR(D9-W11Q2FY26!D9,"OOS")</f>
        <v/>
      </c>
      <c r="P9" s="147">
        <f>IF(O9=0,"",$A9 &amp; IF(O9&gt;0," tăng "," giảm ") &amp; TEXT(ABS(O9)/1000,"0") &amp; "K = " &amp; TEXT(D9/1000,"#.##0") &amp; "K")</f>
        <v/>
      </c>
      <c r="Q9" s="150">
        <f>IFERROR(E9-W11Q2FY26!E9,"OOS")</f>
        <v/>
      </c>
      <c r="R9" s="147">
        <f>IF(Q9=0,"",$A9 &amp; IF(Q9&gt;0," tăng "," giảm ") &amp; TEXT(ABS(Q9)/1000,"0") &amp; "K = " &amp; TEXT(E9/1000,"#.##0") &amp; "K")</f>
        <v/>
      </c>
      <c r="S9" s="150">
        <f>IFERROR(F9-W11Q2FY26!F9,"OOS")</f>
        <v/>
      </c>
      <c r="T9" s="147">
        <f>IF(S9=0,"",$A9 &amp; IF(S9&gt;0," tăng "," giảm ") &amp; TEXT(ABS(S9)/1000,"0") &amp; "K = " &amp; TEXT(F9/1000,"#.##0") &amp; "K")</f>
        <v/>
      </c>
      <c r="U9" s="150">
        <f>IFERROR(G9-W11Q2FY26!G9,"OOS")</f>
        <v/>
      </c>
      <c r="V9" s="147">
        <f>IF(U9=0,"",$A9 &amp; IF(U9&gt;0," tăng "," giảm ") &amp; TEXT(ABS(U9)/1000,"0") &amp; "K = " &amp; TEXT(G9/1000,"#.##0") &amp; "K")</f>
        <v/>
      </c>
    </row>
    <row r="10">
      <c r="A10" t="inlineStr">
        <is>
          <t>iPhone 16 Pro 128GB</t>
        </is>
      </c>
      <c r="B10" s="25" t="n"/>
      <c r="C10" s="136" t="inlineStr">
        <is>
          <t>OOS</t>
        </is>
      </c>
      <c r="D10" s="111" t="n">
        <v>25590000</v>
      </c>
      <c r="E10" s="113" t="inlineStr">
        <is>
          <t>OOS</t>
        </is>
      </c>
      <c r="F10" s="133" t="n">
        <v>26590000</v>
      </c>
      <c r="G10" s="111" t="n">
        <v>24990000</v>
      </c>
      <c r="H10" s="154" t="n"/>
      <c r="M10" s="149">
        <f>IFERROR(C10-W11Q2FY26!C10,"OOS")</f>
        <v/>
      </c>
      <c r="N10" s="147">
        <f>IF(M10=0,"",$A10 &amp; IF(M10&gt;0," tăng "," giảm ") &amp; TEXT(ABS(M10)/1000,"0") &amp; "K = " &amp; TEXT(C10/1000,"#.##0") &amp; "K")</f>
        <v/>
      </c>
      <c r="O10" s="150">
        <f>IFERROR(D10-W11Q2FY26!D10,"OOS")</f>
        <v/>
      </c>
      <c r="P10" s="147">
        <f>IF(O10=0,"",$A10 &amp; IF(O10&gt;0," tăng "," giảm ") &amp; TEXT(ABS(O10)/1000,"0") &amp; "K = " &amp; TEXT(D10/1000,"#.##0") &amp; "K")</f>
        <v/>
      </c>
      <c r="Q10" s="150">
        <f>IFERROR(E10-W11Q2FY26!E10,"OOS")</f>
        <v/>
      </c>
      <c r="R10" s="147">
        <f>IF(Q10=0,"",$A10 &amp; IF(Q10&gt;0," tăng "," giảm ") &amp; TEXT(ABS(Q10)/1000,"0") &amp; "K = " &amp; TEXT(E10/1000,"#.##0") &amp; "K")</f>
        <v/>
      </c>
      <c r="S10" s="150">
        <f>IFERROR(F10-W11Q2FY26!F10,"OOS")</f>
        <v/>
      </c>
      <c r="T10" s="147">
        <f>IF(S10=0,"",$A10 &amp; IF(S10&gt;0," tăng "," giảm ") &amp; TEXT(ABS(S10)/1000,"0") &amp; "K = " &amp; TEXT(F10/1000,"#.##0") &amp; "K")</f>
        <v/>
      </c>
      <c r="U10" s="150">
        <f>IFERROR(G10-W11Q2FY26!G10,"OOS")</f>
        <v/>
      </c>
      <c r="V10" s="147">
        <f>IF(U10=0,"",$A10 &amp; IF(U10&gt;0," tăng "," giảm ") &amp; TEXT(ABS(U10)/1000,"0") &amp; "K = " &amp; TEXT(G10/1000,"#.##0") &amp; "K")</f>
        <v/>
      </c>
    </row>
    <row r="11">
      <c r="A11" t="inlineStr">
        <is>
          <t>iPhone 16 Pro Max 256GB</t>
        </is>
      </c>
      <c r="B11" s="3" t="n"/>
      <c r="C11" s="136" t="n">
        <v>31590000</v>
      </c>
      <c r="D11" s="113" t="inlineStr">
        <is>
          <t>OOS</t>
        </is>
      </c>
      <c r="E11" s="113" t="inlineStr">
        <is>
          <t>OOS</t>
        </is>
      </c>
      <c r="F11" s="134" t="n">
        <v>31590000</v>
      </c>
      <c r="G11" s="111" t="n">
        <v>31190000</v>
      </c>
      <c r="H11" s="154" t="n"/>
      <c r="M11" s="149">
        <f>IFERROR(C11-W11Q2FY26!C11,"OOS")</f>
        <v/>
      </c>
      <c r="N11" s="147">
        <f>IF(M11=0,"",$A11 &amp; IF(M11&gt;0," tăng "," giảm ") &amp; TEXT(ABS(M11)/1000,"0") &amp; "K = " &amp; TEXT(C11/1000,"#.##0") &amp; "K")</f>
        <v/>
      </c>
      <c r="O11" s="150">
        <f>IFERROR(D11-W11Q2FY26!D11,"OOS")</f>
        <v/>
      </c>
      <c r="P11" s="147">
        <f>IF(O11=0,"",$A11 &amp; IF(O11&gt;0," tăng "," giảm ") &amp; TEXT(ABS(O11)/1000,"0") &amp; "K = " &amp; TEXT(D11/1000,"#.##0") &amp; "K")</f>
        <v/>
      </c>
      <c r="Q11" s="150">
        <f>IFERROR(E11-W11Q2FY26!E11,"OOS")</f>
        <v/>
      </c>
      <c r="R11" s="147">
        <f>IF(Q11=0,"",$A11 &amp; IF(Q11&gt;0," tăng "," giảm ") &amp; TEXT(ABS(Q11)/1000,"0") &amp; "K = " &amp; TEXT(E11/1000,"#.##0") &amp; "K")</f>
        <v/>
      </c>
      <c r="S11" s="150">
        <f>IFERROR(F11-W11Q2FY26!F11,"OOS")</f>
        <v/>
      </c>
      <c r="T11" s="147">
        <f>IF(S11=0,"",$A11 &amp; IF(S11&gt;0," tăng "," giảm ") &amp; TEXT(ABS(S11)/1000,"0") &amp; "K = " &amp; TEXT(F11/1000,"#.##0") &amp; "K")</f>
        <v/>
      </c>
      <c r="U11" s="150">
        <f>IFERROR(G11-W11Q2FY26!G11,"OOS")</f>
        <v/>
      </c>
      <c r="V11" s="147">
        <f>IF(U11=0,"",$A11 &amp; IF(U11&gt;0," tăng "," giảm ") &amp; TEXT(ABS(U11)/1000,"0") &amp; "K = " &amp; TEXT(G11/1000,"#.##0") &amp; "K")</f>
        <v/>
      </c>
    </row>
    <row r="12">
      <c r="A12" t="inlineStr">
        <is>
          <t>iPhone 15  128GB</t>
        </is>
      </c>
      <c r="B12" s="25" t="n"/>
      <c r="C12" s="136" t="n">
        <v>17990000</v>
      </c>
      <c r="D12" s="136" t="n">
        <v>17990000</v>
      </c>
      <c r="E12" s="155" t="n">
        <v>17490000</v>
      </c>
      <c r="F12" s="134" t="n">
        <v>17990000</v>
      </c>
      <c r="G12" s="111" t="n">
        <v>17490000</v>
      </c>
      <c r="H12" s="154" t="n"/>
      <c r="M12" s="149">
        <f>IFERROR(C12-W11Q2FY26!C12,"OOS")</f>
        <v/>
      </c>
      <c r="N12" s="147">
        <f>IF(M12=0,"",$A12 &amp; IF(M12&gt;0," tăng "," giảm ") &amp; TEXT(ABS(M12)/1000,"0") &amp; "K = " &amp; TEXT(C12/1000,"#.##0") &amp; "K")</f>
        <v/>
      </c>
      <c r="O12" s="150">
        <f>IFERROR(D12-W11Q2FY26!D12,"OOS")</f>
        <v/>
      </c>
      <c r="P12" s="147">
        <f>IF(O12=0,"",$A12 &amp; IF(O12&gt;0," tăng "," giảm ") &amp; TEXT(ABS(O12)/1000,"0") &amp; "K = " &amp; TEXT(D12/1000,"#.##0") &amp; "K")</f>
        <v/>
      </c>
      <c r="Q12" s="150">
        <f>IFERROR(E12-W11Q2FY26!E12,"OOS")</f>
        <v/>
      </c>
      <c r="R12" s="147">
        <f>IF(Q12=0,"",$A12 &amp; IF(Q12&gt;0," tăng "," giảm ") &amp; TEXT(ABS(Q12)/1000,"0") &amp; "K = " &amp; TEXT(E12/1000,"#.##0") &amp; "K")</f>
        <v/>
      </c>
      <c r="S12" s="150">
        <f>IFERROR(F12-W11Q2FY26!F12,"OOS")</f>
        <v/>
      </c>
      <c r="T12" s="147">
        <f>IF(S12=0,"",$A12 &amp; IF(S12&gt;0," tăng "," giảm ") &amp; TEXT(ABS(S12)/1000,"0") &amp; "K = " &amp; TEXT(F12/1000,"#.##0") &amp; "K")</f>
        <v/>
      </c>
      <c r="U12" s="150">
        <f>IFERROR(G12-W11Q2FY26!G12,"OOS")</f>
        <v/>
      </c>
      <c r="V12" s="147">
        <f>IF(U12=0,"",$A12 &amp; IF(U12&gt;0," tăng "," giảm ") &amp; TEXT(ABS(U12)/1000,"0") &amp; "K = " &amp; TEXT(G12/1000,"#.##0") &amp; "K")</f>
        <v/>
      </c>
    </row>
    <row r="13">
      <c r="A13" t="inlineStr">
        <is>
          <t>iPhone 15  Plus 128GB</t>
        </is>
      </c>
      <c r="B13" s="25" t="n"/>
      <c r="C13" s="136" t="n">
        <v>18990000</v>
      </c>
      <c r="D13" s="136" t="inlineStr">
        <is>
          <t>OOS</t>
        </is>
      </c>
      <c r="E13" s="131" t="inlineStr">
        <is>
          <t>OOS</t>
        </is>
      </c>
      <c r="F13" s="133" t="n">
        <v>17690000</v>
      </c>
      <c r="G13" s="111" t="inlineStr">
        <is>
          <t>OOS</t>
        </is>
      </c>
      <c r="H13" s="154" t="n"/>
      <c r="M13" s="149">
        <f>IFERROR(C13-W11Q2FY26!C13,"OOS")</f>
        <v/>
      </c>
      <c r="N13" s="147">
        <f>IF(M13=0,"",$A13 &amp; IF(M13&gt;0," tăng "," giảm ") &amp; TEXT(ABS(M13)/1000,"0") &amp; "K = " &amp; TEXT(C13/1000,"#.##0") &amp; "K")</f>
        <v/>
      </c>
      <c r="O13" s="150">
        <f>IFERROR(D13-W11Q2FY26!D13,"OOS")</f>
        <v/>
      </c>
      <c r="P13" s="147">
        <f>IF(O13=0,"",$A13 &amp; IF(O13&gt;0," tăng "," giảm ") &amp; TEXT(ABS(O13)/1000,"0") &amp; "K = " &amp; TEXT(D13/1000,"#.##0") &amp; "K")</f>
        <v/>
      </c>
      <c r="Q13" s="150">
        <f>IFERROR(E13-W11Q2FY26!E13,"OOS")</f>
        <v/>
      </c>
      <c r="R13" s="147">
        <f>IF(Q13=0,"",$A13 &amp; IF(Q13&gt;0," tăng "," giảm ") &amp; TEXT(ABS(Q13)/1000,"0") &amp; "K = " &amp; TEXT(E13/1000,"#.##0") &amp; "K")</f>
        <v/>
      </c>
      <c r="S13" s="150">
        <f>IFERROR(F13-W11Q2FY26!F13,"OOS")</f>
        <v/>
      </c>
      <c r="T13" s="147">
        <f>IF(S13=0,"",$A13 &amp; IF(S13&gt;0," tăng "," giảm ") &amp; TEXT(ABS(S13)/1000,"0") &amp; "K = " &amp; TEXT(F13/1000,"#.##0") &amp; "K")</f>
        <v/>
      </c>
      <c r="U13" s="150">
        <f>IFERROR(G13-W11Q2FY26!G13,"OOS")</f>
        <v/>
      </c>
      <c r="V13" s="147">
        <f>IF(U13=0,"",$A13 &amp; IF(U13&gt;0," tăng "," giảm ") &amp; TEXT(ABS(U13)/1000,"0") &amp; "K = " &amp; TEXT(G13/1000,"#.##0") &amp; "K")</f>
        <v/>
      </c>
    </row>
    <row r="14">
      <c r="A14" t="inlineStr">
        <is>
          <t>iPhone 14 128GB</t>
        </is>
      </c>
      <c r="B14" s="25" t="n"/>
      <c r="C14" s="136" t="n">
        <v>13990000</v>
      </c>
      <c r="D14" s="136" t="n">
        <v>13890000</v>
      </c>
      <c r="E14" s="131" t="n">
        <v>13590000</v>
      </c>
      <c r="F14" s="134" t="n">
        <v>13990000</v>
      </c>
      <c r="G14" s="112" t="n">
        <v>12990000</v>
      </c>
      <c r="H14" s="154" t="n"/>
      <c r="M14" s="149">
        <f>IFERROR(C14-W11Q2FY26!C14,"OOS")</f>
        <v/>
      </c>
      <c r="N14" s="147">
        <f>IF(M14=0,"",$A14 &amp; IF(M14&gt;0," tăng "," giảm ") &amp; TEXT(ABS(M14)/1000,"0") &amp; "K = " &amp; TEXT(C14/1000,"#.##0") &amp; "K")</f>
        <v/>
      </c>
      <c r="O14" s="150">
        <f>IFERROR(D14-W11Q2FY26!D14,"OOS")</f>
        <v/>
      </c>
      <c r="P14" s="147">
        <f>IF(O14=0,"",$A14 &amp; IF(O14&gt;0," tăng "," giảm ") &amp; TEXT(ABS(O14)/1000,"0") &amp; "K = " &amp; TEXT(D14/1000,"#.##0") &amp; "K")</f>
        <v/>
      </c>
      <c r="Q14" s="150">
        <f>IFERROR(E14-W11Q2FY26!E14,"OOS")</f>
        <v/>
      </c>
      <c r="R14" s="147">
        <f>IF(Q14=0,"",$A14 &amp; IF(Q14&gt;0," tăng "," giảm ") &amp; TEXT(ABS(Q14)/1000,"0") &amp; "K = " &amp; TEXT(E14/1000,"#.##0") &amp; "K")</f>
        <v/>
      </c>
      <c r="S14" s="150">
        <f>IFERROR(F14-W11Q2FY26!F14,"OOS")</f>
        <v/>
      </c>
      <c r="T14" s="147">
        <f>IF(S14=0,"",$A14 &amp; IF(S14&gt;0," tăng "," giảm ") &amp; TEXT(ABS(S14)/1000,"0") &amp; "K = " &amp; TEXT(F14/1000,"#.##0") &amp; "K")</f>
        <v/>
      </c>
      <c r="U14" s="150">
        <f>IFERROR(G14-W11Q2FY26!G14,"OOS")</f>
        <v/>
      </c>
      <c r="V14" s="147">
        <f>IF(U14=0,"",$A14 &amp; IF(U14&gt;0," tăng "," giảm ") &amp; TEXT(ABS(U14)/1000,"0") &amp; "K = " &amp; TEXT(G14/1000,"#.##0") &amp; "K")</f>
        <v/>
      </c>
    </row>
    <row r="15">
      <c r="A15" t="inlineStr">
        <is>
          <t>iPhone 13  128GB</t>
        </is>
      </c>
      <c r="B15" s="3" t="n"/>
      <c r="C15" s="136" t="n">
        <v>11990000</v>
      </c>
      <c r="D15" s="141" t="n">
        <v>11990000</v>
      </c>
      <c r="E15" s="140" t="n">
        <v>11990000</v>
      </c>
      <c r="F15" s="134" t="n">
        <v>12290000</v>
      </c>
      <c r="G15" s="111" t="n">
        <v>11890000</v>
      </c>
      <c r="H15" s="154" t="n"/>
      <c r="M15" s="149">
        <f>IFERROR(C15-W11Q2FY26!C15,"OOS")</f>
        <v/>
      </c>
      <c r="N15" s="147">
        <f>IF(M15=0,"",$A15 &amp; IF(M15&gt;0," tăng "," giảm ") &amp; TEXT(ABS(M15)/1000,"0") &amp; "K = " &amp; TEXT(C15/1000,"#.##0") &amp; "K")</f>
        <v/>
      </c>
      <c r="O15" s="150">
        <f>IFERROR(D15-W11Q2FY26!D15,"OOS")</f>
        <v/>
      </c>
      <c r="P15" s="147">
        <f>IF(O15=0,"",$A15 &amp; IF(O15&gt;0," tăng "," giảm ") &amp; TEXT(ABS(O15)/1000,"0") &amp; "K = " &amp; TEXT(D15/1000,"#.##0") &amp; "K")</f>
        <v/>
      </c>
      <c r="Q15" s="150">
        <f>IFERROR(E15-W11Q2FY26!E15,"OOS")</f>
        <v/>
      </c>
      <c r="R15" s="147">
        <f>IF(Q15=0,"",$A15 &amp; IF(Q15&gt;0," tăng "," giảm ") &amp; TEXT(ABS(Q15)/1000,"0") &amp; "K = " &amp; TEXT(E15/1000,"#.##0") &amp; "K")</f>
        <v/>
      </c>
      <c r="S15" s="150">
        <f>IFERROR(F15-W11Q2FY26!F15,"OOS")</f>
        <v/>
      </c>
      <c r="T15" s="147">
        <f>IF(S15=0,"",$A15 &amp; IF(S15&gt;0," tăng "," giảm ") &amp; TEXT(ABS(S15)/1000,"0") &amp; "K = " &amp; TEXT(F15/1000,"#.##0") &amp; "K")</f>
        <v/>
      </c>
      <c r="U15" s="150">
        <f>IFERROR(G15-W11Q2FY26!G15,"OOS")</f>
        <v/>
      </c>
      <c r="V15" s="147">
        <f>IF(U15=0,"",$A15 &amp; IF(U15&gt;0," tăng "," giảm ") &amp; TEXT(ABS(U15)/1000,"0") &amp; "K = " &amp; TEXT(G15/1000,"#.##0") &amp; "K")</f>
        <v/>
      </c>
    </row>
    <row r="16">
      <c r="A16" t="inlineStr">
        <is>
          <t>iPad Mini 7 128GB Wifi</t>
        </is>
      </c>
      <c r="B16" s="25" t="n"/>
      <c r="C16" s="141" t="n">
        <v>13590000</v>
      </c>
      <c r="D16" s="136" t="n">
        <v>13490000</v>
      </c>
      <c r="E16" s="140" t="n">
        <v>13290000</v>
      </c>
      <c r="F16" s="134" t="n">
        <v>11990000</v>
      </c>
      <c r="G16" s="111" t="n">
        <v>10790000</v>
      </c>
      <c r="H16" s="154" t="n"/>
      <c r="M16" s="149">
        <f>IFERROR(C16-W11Q2FY26!C16,"OOS")</f>
        <v/>
      </c>
      <c r="N16" s="147">
        <f>IF(M16=0,"",$A16 &amp; IF(M16&gt;0," tăng "," giảm ") &amp; TEXT(ABS(M16)/1000,"0") &amp; "K = " &amp; TEXT(C16/1000,"#.##0") &amp; "K")</f>
        <v/>
      </c>
      <c r="O16" s="150">
        <f>IFERROR(D16-W11Q2FY26!D16,"OOS")</f>
        <v/>
      </c>
      <c r="P16" s="147">
        <f>IF(O16=0,"",$A16 &amp; IF(O16&gt;0," tăng "," giảm ") &amp; TEXT(ABS(O16)/1000,"0") &amp; "K = " &amp; TEXT(D16/1000,"#.##0") &amp; "K")</f>
        <v/>
      </c>
      <c r="Q16" s="150">
        <f>IFERROR(E16-W11Q2FY26!E16,"OOS")</f>
        <v/>
      </c>
      <c r="R16" s="147">
        <f>IF(Q16=0,"",$A16 &amp; IF(Q16&gt;0," tăng "," giảm ") &amp; TEXT(ABS(Q16)/1000,"0") &amp; "K = " &amp; TEXT(E16/1000,"#.##0") &amp; "K")</f>
        <v/>
      </c>
      <c r="S16" s="150">
        <f>IFERROR(F16-W11Q2FY26!F16,"OOS")</f>
        <v/>
      </c>
      <c r="T16" s="147">
        <f>IF(S16=0,"",$A16 &amp; IF(S16&gt;0," tăng "," giảm ") &amp; TEXT(ABS(S16)/1000,"0") &amp; "K = " &amp; TEXT(F16/1000,"#.##0") &amp; "K")</f>
        <v/>
      </c>
      <c r="U16" s="150">
        <f>IFERROR(G16-W11Q2FY26!G16,"OOS")</f>
        <v/>
      </c>
      <c r="V16" s="147">
        <f>IF(U16=0,"",$A16 &amp; IF(U16&gt;0," tăng "," giảm ") &amp; TEXT(ABS(U16)/1000,"0") &amp; "K = " &amp; TEXT(G16/1000,"#.##0") &amp; "K")</f>
        <v/>
      </c>
    </row>
    <row r="17">
      <c r="A17" t="inlineStr">
        <is>
          <t>iPad Gen 11th  128GB Wifi</t>
        </is>
      </c>
      <c r="B17" s="3" t="n"/>
      <c r="C17" s="141" t="n">
        <v>9490000</v>
      </c>
      <c r="D17" s="141" t="n">
        <v>9490000</v>
      </c>
      <c r="E17" s="155" t="n">
        <v>9190000</v>
      </c>
      <c r="F17" s="133" t="n">
        <v>9490000</v>
      </c>
      <c r="G17" s="111" t="n">
        <v>8990000</v>
      </c>
      <c r="H17" s="154" t="n"/>
      <c r="M17" s="149">
        <f>IFERROR(C17-W11Q2FY26!C17,"OOS")</f>
        <v/>
      </c>
      <c r="N17" s="147">
        <f>IF(M17=0,"",$A17 &amp; IF(M17&gt;0," tăng "," giảm ") &amp; TEXT(ABS(M17)/1000,"0") &amp; "K = " &amp; TEXT(C17/1000,"#.##0") &amp; "K")</f>
        <v/>
      </c>
      <c r="O17" s="150">
        <f>IFERROR(D17-W11Q2FY26!D17,"OOS")</f>
        <v/>
      </c>
      <c r="P17" s="147">
        <f>IF(O17=0,"",$A17 &amp; IF(O17&gt;0," tăng "," giảm ") &amp; TEXT(ABS(O17)/1000,"0") &amp; "K = " &amp; TEXT(D17/1000,"#.##0") &amp; "K")</f>
        <v/>
      </c>
      <c r="Q17" s="150">
        <f>IFERROR(E17-W11Q2FY26!E17,"OOS")</f>
        <v/>
      </c>
      <c r="R17" s="147">
        <f>IF(Q17=0,"",$A17 &amp; IF(Q17&gt;0," tăng "," giảm ") &amp; TEXT(ABS(Q17)/1000,"0") &amp; "K = " &amp; TEXT(E17/1000,"#.##0") &amp; "K")</f>
        <v/>
      </c>
      <c r="S17" s="150">
        <f>IFERROR(F17-W11Q2FY26!F17,"OOS")</f>
        <v/>
      </c>
      <c r="T17" s="147">
        <f>IF(S17=0,"",$A17 &amp; IF(S17&gt;0," tăng "," giảm ") &amp; TEXT(ABS(S17)/1000,"0") &amp; "K = " &amp; TEXT(F17/1000,"#.##0") &amp; "K")</f>
        <v/>
      </c>
      <c r="U17" s="150">
        <f>IFERROR(G17-W11Q2FY26!G17,"OOS")</f>
        <v/>
      </c>
      <c r="V17" s="147">
        <f>IF(U17=0,"",$A17 &amp; IF(U17&gt;0," tăng "," giảm ") &amp; TEXT(ABS(U17)/1000,"0") &amp; "K = " &amp; TEXT(G17/1000,"#.##0") &amp; "K")</f>
        <v/>
      </c>
      <c r="W17" t="inlineStr">
        <is>
          <t xml:space="preserve">MW </t>
        </is>
      </c>
      <c r="X17" t="inlineStr">
        <is>
          <t>Hải</t>
        </is>
      </c>
      <c r="Y17" t="b">
        <v>1</v>
      </c>
    </row>
    <row r="18">
      <c r="A18" t="inlineStr">
        <is>
          <t>iPad Air M3  11" 128 GB Wifi</t>
        </is>
      </c>
      <c r="B18" s="3" t="n"/>
      <c r="C18" s="141" t="n"/>
      <c r="D18" s="136" t="n"/>
      <c r="E18" s="155" t="n"/>
      <c r="F18" s="134" t="n"/>
      <c r="G18" s="111" t="n"/>
      <c r="H18" s="154" t="n"/>
      <c r="M18" s="149">
        <f>IFERROR(C18-W11Q2FY26!C18,"OOS")</f>
        <v/>
      </c>
      <c r="N18" s="147">
        <f>IF(M18=0,"",$A18 &amp; IF(M18&gt;0," tăng "," giảm ") &amp; TEXT(ABS(M18)/1000,"0") &amp; "K = " &amp; TEXT(C18/1000,"#.##0") &amp; "K")</f>
        <v/>
      </c>
      <c r="O18" s="150">
        <f>IFERROR(D18-W11Q2FY26!D18,"OOS")</f>
        <v/>
      </c>
      <c r="P18" s="147">
        <f>IF(O18=0,"",$A18 &amp; IF(O18&gt;0," tăng "," giảm ") &amp; TEXT(ABS(O18)/1000,"0") &amp; "K = " &amp; TEXT(D18/1000,"#.##0") &amp; "K")</f>
        <v/>
      </c>
      <c r="Q18" s="150">
        <f>IFERROR(E18-W11Q2FY26!E18,"OOS")</f>
        <v/>
      </c>
      <c r="R18" s="147">
        <f>IF(Q18=0,"",$A18 &amp; IF(Q18&gt;0," tăng "," giảm ") &amp; TEXT(ABS(Q18)/1000,"0") &amp; "K = " &amp; TEXT(E18/1000,"#.##0") &amp; "K")</f>
        <v/>
      </c>
      <c r="S18" s="150">
        <f>IFERROR(F18-W11Q2FY26!F18,"OOS")</f>
        <v/>
      </c>
      <c r="T18" s="147">
        <f>IF(S18=0,"",$A18 &amp; IF(S18&gt;0," tăng "," giảm ") &amp; TEXT(ABS(S18)/1000,"0") &amp; "K = " &amp; TEXT(F18/1000,"#.##0") &amp; "K")</f>
        <v/>
      </c>
      <c r="U18" s="150">
        <f>IFERROR(G18-W11Q2FY26!G18,"OOS")</f>
        <v/>
      </c>
      <c r="V18" s="147">
        <f>IF(U18=0,"",$A18 &amp; IF(U18&gt;0," tăng "," giảm ") &amp; TEXT(ABS(U18)/1000,"0") &amp; "K = " &amp; TEXT(G18/1000,"#.##0") &amp; "K")</f>
        <v/>
      </c>
      <c r="W18" t="inlineStr">
        <is>
          <t>FPT</t>
        </is>
      </c>
      <c r="X18" t="inlineStr">
        <is>
          <t>Trang</t>
        </is>
      </c>
      <c r="Y18" t="b">
        <v>1</v>
      </c>
    </row>
    <row r="19">
      <c r="A19" t="inlineStr">
        <is>
          <t>iPad Air M3  13" 128 GB Wifi</t>
        </is>
      </c>
      <c r="B19" s="25" t="n"/>
      <c r="C19" s="136" t="n"/>
      <c r="D19" s="141" t="n"/>
      <c r="E19" s="155" t="n"/>
      <c r="F19" s="133" t="n"/>
      <c r="G19" s="111" t="n"/>
      <c r="H19" s="154" t="n"/>
      <c r="M19" s="149">
        <f>IFERROR(C19-W11Q2FY26!C19,"OOS")</f>
        <v/>
      </c>
      <c r="N19" s="147">
        <f>IF(M19=0,"",$A19 &amp; IF(M19&gt;0," tăng "," giảm ") &amp; TEXT(ABS(M19)/1000,"0") &amp; "K = " &amp; TEXT(C19/1000,"#.##0") &amp; "K")</f>
        <v/>
      </c>
      <c r="O19" s="150">
        <f>IFERROR(D19-W11Q2FY26!D19,"OOS")</f>
        <v/>
      </c>
      <c r="P19" s="147">
        <f>IF(O19=0,"",$A19 &amp; IF(O19&gt;0," tăng "," giảm ") &amp; TEXT(ABS(O19)/1000,"0") &amp; "K = " &amp; TEXT(D19/1000,"#.##0") &amp; "K")</f>
        <v/>
      </c>
      <c r="Q19" s="150">
        <f>IFERROR(E19-W11Q2FY26!E19,"OOS")</f>
        <v/>
      </c>
      <c r="R19" s="147">
        <f>IF(Q19=0,"",$A19 &amp; IF(Q19&gt;0," tăng "," giảm ") &amp; TEXT(ABS(Q19)/1000,"0") &amp; "K = " &amp; TEXT(E19/1000,"#.##0") &amp; "K")</f>
        <v/>
      </c>
      <c r="S19" s="150">
        <f>IFERROR(F19-W11Q2FY26!F19,"OOS")</f>
        <v/>
      </c>
      <c r="T19" s="147">
        <f>IF(S19=0,"",$A19 &amp; IF(S19&gt;0," tăng "," giảm ") &amp; TEXT(ABS(S19)/1000,"0") &amp; "K = " &amp; TEXT(F19/1000,"#.##0") &amp; "K")</f>
        <v/>
      </c>
      <c r="U19" s="150">
        <f>IFERROR(G19-W11Q2FY26!G19,"OOS")</f>
        <v/>
      </c>
      <c r="V19" s="147">
        <f>IF(U19=0,"",$A19 &amp; IF(U19&gt;0," tăng "," giảm ") &amp; TEXT(ABS(U19)/1000,"0") &amp; "K = " &amp; TEXT(G19/1000,"#.##0") &amp; "K")</f>
        <v/>
      </c>
      <c r="W19" t="inlineStr">
        <is>
          <t>Viettel</t>
        </is>
      </c>
      <c r="X19" t="inlineStr">
        <is>
          <t>Nghĩa</t>
        </is>
      </c>
      <c r="Y19" t="b">
        <v>1</v>
      </c>
    </row>
    <row r="20">
      <c r="A20" t="inlineStr">
        <is>
          <t>iPad Pro  M4  11" 256 GB Wifi</t>
        </is>
      </c>
      <c r="B20" s="25" t="n"/>
      <c r="C20" s="113" t="inlineStr">
        <is>
          <t>OOS</t>
        </is>
      </c>
      <c r="D20" s="113" t="inlineStr">
        <is>
          <t>OOS</t>
        </is>
      </c>
      <c r="E20" s="113" t="inlineStr">
        <is>
          <t>OOS</t>
        </is>
      </c>
      <c r="F20" s="133" t="inlineStr">
        <is>
          <t>OOS</t>
        </is>
      </c>
      <c r="G20" s="111" t="inlineStr">
        <is>
          <t>OOS</t>
        </is>
      </c>
      <c r="H20" s="154" t="n"/>
      <c r="M20" s="149">
        <f>IFERROR(C20-W11Q2FY26!C20,"OOS")</f>
        <v/>
      </c>
      <c r="N20" s="147">
        <f>IF(M20=0,"",$A20 &amp; IF(M20&gt;0," tăng "," giảm ") &amp; TEXT(ABS(M20)/1000,"0") &amp; "K = " &amp; TEXT(C20/1000,"#.##0") &amp; "K")</f>
        <v/>
      </c>
      <c r="O20" s="150">
        <f>IFERROR(D20-W11Q2FY26!D20,"OOS")</f>
        <v/>
      </c>
      <c r="P20" s="147">
        <f>IF(O20=0,"",$A20 &amp; IF(O20&gt;0," tăng "," giảm ") &amp; TEXT(ABS(O20)/1000,"0") &amp; "K = " &amp; TEXT(D20/1000,"#.##0") &amp; "K")</f>
        <v/>
      </c>
      <c r="Q20" s="150">
        <f>IFERROR(E20-W11Q2FY26!E20,"OOS")</f>
        <v/>
      </c>
      <c r="R20" s="147">
        <f>IF(Q20=0,"",$A20 &amp; IF(Q20&gt;0," tăng "," giảm ") &amp; TEXT(ABS(Q20)/1000,"0") &amp; "K = " &amp; TEXT(E20/1000,"#.##0") &amp; "K")</f>
        <v/>
      </c>
      <c r="S20" s="150">
        <f>IFERROR(F20-W11Q2FY26!F20,"OOS")</f>
        <v/>
      </c>
      <c r="T20" s="147">
        <f>IF(S20=0,"",$A20 &amp; IF(S20&gt;0," tăng "," giảm ") &amp; TEXT(ABS(S20)/1000,"0") &amp; "K = " &amp; TEXT(F20/1000,"#.##0") &amp; "K")</f>
        <v/>
      </c>
      <c r="U20" s="150">
        <f>IFERROR(G20-W11Q2FY26!G20,"OOS")</f>
        <v/>
      </c>
      <c r="V20" s="147">
        <f>IF(U20=0,"",$A20 &amp; IF(U20&gt;0," tăng "," giảm ") &amp; TEXT(ABS(U20)/1000,"0") &amp; "K = " &amp; TEXT(G20/1000,"#.##0") &amp; "K")</f>
        <v/>
      </c>
      <c r="W20" t="inlineStr">
        <is>
          <t>CPS</t>
        </is>
      </c>
      <c r="X20" t="inlineStr">
        <is>
          <t>Duy</t>
        </is>
      </c>
      <c r="Y20" t="b">
        <v>1</v>
      </c>
    </row>
    <row r="21">
      <c r="A21" t="inlineStr">
        <is>
          <t>iPad Pro  M4  13" 256 GB Wifi</t>
        </is>
      </c>
      <c r="B21" s="3" t="n"/>
      <c r="C21" s="113" t="inlineStr">
        <is>
          <t>OOS</t>
        </is>
      </c>
      <c r="D21" s="113" t="inlineStr">
        <is>
          <t>OOS</t>
        </is>
      </c>
      <c r="E21" s="113" t="inlineStr">
        <is>
          <t>OOS</t>
        </is>
      </c>
      <c r="F21" s="113" t="inlineStr">
        <is>
          <t>OOS</t>
        </is>
      </c>
      <c r="G21" s="113" t="inlineStr">
        <is>
          <t>OOS</t>
        </is>
      </c>
      <c r="H21" s="154" t="n"/>
      <c r="M21" s="149">
        <f>IFERROR(C21-W11Q2FY26!C21,"OOS")</f>
        <v/>
      </c>
      <c r="N21" s="147">
        <f>IF(M21=0,"",$A21 &amp; IF(M21&gt;0," tăng "," giảm ") &amp; TEXT(ABS(M21)/1000,"0") &amp; "K = " &amp; TEXT(C21/1000,"#.##0") &amp; "K")</f>
        <v/>
      </c>
      <c r="O21" s="150">
        <f>IFERROR(D21-W11Q2FY26!D21,"OOS")</f>
        <v/>
      </c>
      <c r="P21" s="147">
        <f>IF(O21=0,"",$A21 &amp; IF(O21&gt;0," tăng "," giảm ") &amp; TEXT(ABS(O21)/1000,"0") &amp; "K = " &amp; TEXT(D21/1000,"#.##0") &amp; "K")</f>
        <v/>
      </c>
      <c r="Q21" s="150">
        <f>IFERROR(E21-W11Q2FY26!E21,"OOS")</f>
        <v/>
      </c>
      <c r="R21" s="147">
        <f>IF(Q21=0,"",$A21 &amp; IF(Q21&gt;0," tăng "," giảm ") &amp; TEXT(ABS(Q21)/1000,"0") &amp; "K = " &amp; TEXT(E21/1000,"#.##0") &amp; "K")</f>
        <v/>
      </c>
      <c r="S21" s="150">
        <f>IFERROR(F21-W11Q2FY26!F21,"OOS")</f>
        <v/>
      </c>
      <c r="T21" s="147">
        <f>IF(S21=0,"",$A21 &amp; IF(S21&gt;0," tăng "," giảm ") &amp; TEXT(ABS(S21)/1000,"0") &amp; "K = " &amp; TEXT(F21/1000,"#.##0") &amp; "K")</f>
        <v/>
      </c>
      <c r="U21" s="150">
        <f>IFERROR(G21-W11Q2FY26!G21,"OOS")</f>
        <v/>
      </c>
      <c r="V21" s="147">
        <f>IF(U21=0,"",$A21 &amp; IF(U21&gt;0," tăng "," giảm ") &amp; TEXT(ABS(U21)/1000,"0") &amp; "K = " &amp; TEXT(G21/1000,"#.##0") &amp; "K")</f>
        <v/>
      </c>
      <c r="W21" t="inlineStr">
        <is>
          <t>ShopDunk</t>
        </is>
      </c>
      <c r="X21" t="inlineStr">
        <is>
          <t>Đạt</t>
        </is>
      </c>
      <c r="Y21" t="b">
        <v>1</v>
      </c>
    </row>
    <row r="22">
      <c r="A22" t="inlineStr">
        <is>
          <t>iPad Pro M5 11” 256GB Wifi</t>
        </is>
      </c>
      <c r="B22" s="3" t="n"/>
      <c r="C22" s="136" t="n">
        <v>29290000</v>
      </c>
      <c r="D22" s="136" t="n">
        <v>28990000</v>
      </c>
      <c r="E22" s="124" t="n">
        <v>28990000</v>
      </c>
      <c r="F22" s="134" t="n">
        <v>29390000</v>
      </c>
      <c r="G22" s="113" t="n">
        <v>28990000</v>
      </c>
      <c r="H22" s="154" t="n"/>
      <c r="M22" s="149">
        <f>IFERROR(C22-W11Q2FY26!C22,"OOS")</f>
        <v/>
      </c>
      <c r="N22" s="147">
        <f>IF(M22=0,"",$A22 &amp; IF(M22&gt;0," tăng "," giảm ") &amp; TEXT(ABS(M22)/1000,"0") &amp; "K = " &amp; TEXT(C22/1000,"#.##0") &amp; "K")</f>
        <v/>
      </c>
      <c r="O22" s="150">
        <f>IFERROR(D22-W11Q2FY26!D22,"OOS")</f>
        <v/>
      </c>
      <c r="P22" s="147">
        <f>IF(O22=0,"",$A22 &amp; IF(O22&gt;0," tăng "," giảm ") &amp; TEXT(ABS(O22)/1000,"0") &amp; "K = " &amp; TEXT(D22/1000,"#.##0") &amp; "K")</f>
        <v/>
      </c>
      <c r="Q22" s="150">
        <f>IFERROR(E22-W11Q2FY26!E22,"OOS")</f>
        <v/>
      </c>
      <c r="R22" s="147">
        <f>IF(Q22=0,"",$A22 &amp; IF(Q22&gt;0," tăng "," giảm ") &amp; TEXT(ABS(Q22)/1000,"0") &amp; "K = " &amp; TEXT(E22/1000,"#.##0") &amp; "K")</f>
        <v/>
      </c>
      <c r="S22" s="150">
        <f>IFERROR(F22-W11Q2FY26!F22,"OOS")</f>
        <v/>
      </c>
      <c r="T22" s="147">
        <f>IF(S22=0,"",$A22 &amp; IF(S22&gt;0," tăng "," giảm ") &amp; TEXT(ABS(S22)/1000,"0") &amp; "K = " &amp; TEXT(F22/1000,"#.##0") &amp; "K")</f>
        <v/>
      </c>
      <c r="U22" s="150">
        <f>IFERROR(G22-W11Q2FY26!G22,"OOS")</f>
        <v/>
      </c>
      <c r="V22" s="147">
        <f>IF(U22=0,"",$A22 &amp; IF(U22&gt;0," tăng "," giảm ") &amp; TEXT(ABS(U22)/1000,"0") &amp; "K = " &amp; TEXT(G22/1000,"#.##0") &amp; "K")</f>
        <v/>
      </c>
    </row>
    <row r="23">
      <c r="A23" t="inlineStr">
        <is>
          <t>iPad Pro M5 13” 256GB Wifi</t>
        </is>
      </c>
      <c r="B23" s="3" t="n"/>
      <c r="C23" s="136" t="n">
        <v>39290000</v>
      </c>
      <c r="D23" s="142" t="n">
        <v>38990000</v>
      </c>
      <c r="E23" s="113" t="n">
        <v>38990000</v>
      </c>
      <c r="F23" s="133" t="n">
        <v>38990000</v>
      </c>
      <c r="G23" s="113" t="n">
        <v>38990000</v>
      </c>
      <c r="H23" s="154" t="n"/>
      <c r="M23" s="149">
        <f>IFERROR(C23-W11Q2FY26!C23,"OOS")</f>
        <v/>
      </c>
      <c r="N23" s="147">
        <f>IF(M23=0,"",$A23 &amp; IF(M23&gt;0," tăng "," giảm ") &amp; TEXT(ABS(M23)/1000,"0") &amp; "K = " &amp; TEXT(C23/1000,"#.##0") &amp; "K")</f>
        <v/>
      </c>
      <c r="O23" s="150">
        <f>IFERROR(D23-W11Q2FY26!D23,"OOS")</f>
        <v/>
      </c>
      <c r="P23" s="147">
        <f>IF(O23=0,"",$A23 &amp; IF(O23&gt;0," tăng "," giảm ") &amp; TEXT(ABS(O23)/1000,"0") &amp; "K = " &amp; TEXT(D23/1000,"#.##0") &amp; "K")</f>
        <v/>
      </c>
      <c r="Q23" s="150">
        <f>IFERROR(E23-W11Q2FY26!E23,"OOS")</f>
        <v/>
      </c>
      <c r="R23" s="147">
        <f>IF(Q23=0,"",$A23 &amp; IF(Q23&gt;0," tăng "," giảm ") &amp; TEXT(ABS(Q23)/1000,"0") &amp; "K = " &amp; TEXT(E23/1000,"#.##0") &amp; "K")</f>
        <v/>
      </c>
      <c r="S23" s="150">
        <f>IFERROR(F23-W11Q2FY26!F23,"OOS")</f>
        <v/>
      </c>
      <c r="T23" s="147">
        <f>IF(S23=0,"",$A23 &amp; IF(S23&gt;0," tăng "," giảm ") &amp; TEXT(ABS(S23)/1000,"0") &amp; "K = " &amp; TEXT(F23/1000,"#.##0") &amp; "K")</f>
        <v/>
      </c>
      <c r="U23" s="150">
        <f>IFERROR(G23-W11Q2FY26!G23,"OOS")</f>
        <v/>
      </c>
      <c r="V23" s="147">
        <f>IF(U23=0,"",$A23 &amp; IF(U23&gt;0," tăng "," giảm ") &amp; TEXT(ABS(U23)/1000,"0") &amp; "K = " &amp; TEXT(G23/1000,"#.##0") &amp; "K")</f>
        <v/>
      </c>
    </row>
    <row r="24">
      <c r="A24" t="inlineStr">
        <is>
          <t>AW SE 3 (40mm GPS)</t>
        </is>
      </c>
      <c r="B24" s="25" t="n"/>
      <c r="C24" s="141" t="n">
        <v>6790000</v>
      </c>
      <c r="D24" s="141" t="n">
        <v>6790000</v>
      </c>
      <c r="E24" s="140" t="n">
        <v>6490000</v>
      </c>
      <c r="F24" s="134" t="n">
        <v>6790000</v>
      </c>
      <c r="G24" s="124" t="n">
        <v>6590000</v>
      </c>
      <c r="H24" s="154" t="n"/>
      <c r="M24" s="149">
        <f>IFERROR(C24-W11Q2FY26!C24,"OOS")</f>
        <v/>
      </c>
      <c r="N24" s="147">
        <f>IF(M24=0,"",$A24 &amp; IF(M24&gt;0," tăng "," giảm ") &amp; TEXT(ABS(M24)/1000,"0") &amp; "K = " &amp; TEXT(C24/1000,"#.##0") &amp; "K")</f>
        <v/>
      </c>
      <c r="O24" s="150">
        <f>IFERROR(D24-W11Q2FY26!D24,"OOS")</f>
        <v/>
      </c>
      <c r="P24" s="147">
        <f>IF(O24=0,"",$A24 &amp; IF(O24&gt;0," tăng "," giảm ") &amp; TEXT(ABS(O24)/1000,"0") &amp; "K = " &amp; TEXT(D24/1000,"#.##0") &amp; "K")</f>
        <v/>
      </c>
      <c r="Q24" s="150">
        <f>IFERROR(E24-W11Q2FY26!E24,"OOS")</f>
        <v/>
      </c>
      <c r="R24" s="147">
        <f>IF(Q24=0,"",$A24 &amp; IF(Q24&gt;0," tăng "," giảm ") &amp; TEXT(ABS(Q24)/1000,"0") &amp; "K = " &amp; TEXT(E24/1000,"#.##0") &amp; "K")</f>
        <v/>
      </c>
      <c r="S24" s="150">
        <f>IFERROR(F24-W11Q2FY26!F24,"OOS")</f>
        <v/>
      </c>
      <c r="T24" s="147">
        <f>IF(S24=0,"",$A24 &amp; IF(S24&gt;0," tăng "," giảm ") &amp; TEXT(ABS(S24)/1000,"0") &amp; "K = " &amp; TEXT(F24/1000,"#.##0") &amp; "K")</f>
        <v/>
      </c>
      <c r="U24" s="150">
        <f>IFERROR(G24-W11Q2FY26!G24,"OOS")</f>
        <v/>
      </c>
      <c r="V24" s="147">
        <f>IF(U24=0,"",$A24 &amp; IF(U24&gt;0," tăng "," giảm ") &amp; TEXT(ABS(U24)/1000,"0") &amp; "K = " &amp; TEXT(G24/1000,"#.##0") &amp; "K")</f>
        <v/>
      </c>
    </row>
    <row r="25">
      <c r="A25" t="inlineStr">
        <is>
          <t>AW SE 3 (40mm LTE)</t>
        </is>
      </c>
      <c r="B25" s="25" t="n"/>
      <c r="C25" s="141" t="n">
        <v>8390000</v>
      </c>
      <c r="D25" s="141" t="n">
        <v>8290000</v>
      </c>
      <c r="E25" s="155" t="n">
        <v>7990000</v>
      </c>
      <c r="F25" s="134" t="n">
        <v>8390000</v>
      </c>
      <c r="G25" s="124" t="n">
        <v>8190000</v>
      </c>
      <c r="H25" s="154" t="n"/>
      <c r="M25" s="149">
        <f>IFERROR(C25-W11Q2FY26!C25,"OOS")</f>
        <v/>
      </c>
      <c r="N25" s="147">
        <f>IF(M25=0,"",$A25 &amp; IF(M25&gt;0," tăng "," giảm ") &amp; TEXT(ABS(M25)/1000,"0") &amp; "K = " &amp; TEXT(C25/1000,"#.##0") &amp; "K")</f>
        <v/>
      </c>
      <c r="O25" s="150">
        <f>IFERROR(D25-W11Q2FY26!D25,"OOS")</f>
        <v/>
      </c>
      <c r="P25" s="147">
        <f>IF(O25=0,"",$A25 &amp; IF(O25&gt;0," tăng "," giảm ") &amp; TEXT(ABS(O25)/1000,"0") &amp; "K = " &amp; TEXT(D25/1000,"#.##0") &amp; "K")</f>
        <v/>
      </c>
      <c r="Q25" s="150">
        <f>IFERROR(E25-W11Q2FY26!E25,"OOS")</f>
        <v/>
      </c>
      <c r="R25" s="147">
        <f>IF(Q25=0,"",$A25 &amp; IF(Q25&gt;0," tăng "," giảm ") &amp; TEXT(ABS(Q25)/1000,"0") &amp; "K = " &amp; TEXT(E25/1000,"#.##0") &amp; "K")</f>
        <v/>
      </c>
      <c r="S25" s="150">
        <f>IFERROR(F25-W11Q2FY26!F25,"OOS")</f>
        <v/>
      </c>
      <c r="T25" s="147">
        <f>IF(S25=0,"",$A25 &amp; IF(S25&gt;0," tăng "," giảm ") &amp; TEXT(ABS(S25)/1000,"0") &amp; "K = " &amp; TEXT(F25/1000,"#.##0") &amp; "K")</f>
        <v/>
      </c>
      <c r="U25" s="150">
        <f>IFERROR(G25-W11Q2FY26!G25,"OOS")</f>
        <v/>
      </c>
      <c r="V25" s="147">
        <f>IF(U25=0,"",$A25 &amp; IF(U25&gt;0," tăng "," giảm ") &amp; TEXT(ABS(U25)/1000,"0") &amp; "K = " &amp; TEXT(G25/1000,"#.##0") &amp; "K")</f>
        <v/>
      </c>
    </row>
    <row r="26">
      <c r="A26" t="inlineStr">
        <is>
          <t>AW SE 3 (44mm GPS)</t>
        </is>
      </c>
      <c r="B26" s="25" t="n"/>
      <c r="C26" s="141" t="n">
        <v>7690000</v>
      </c>
      <c r="D26" s="136" t="n">
        <v>6990000</v>
      </c>
      <c r="E26" s="140" t="n">
        <v>7390000</v>
      </c>
      <c r="F26" s="134" t="n">
        <v>7690000</v>
      </c>
      <c r="G26" s="124" t="n">
        <v>7490000</v>
      </c>
      <c r="H26" s="154" t="n"/>
      <c r="M26" s="149">
        <f>IFERROR(C26-W11Q2FY26!C26,"OOS")</f>
        <v/>
      </c>
      <c r="N26" s="147">
        <f>IF(M26=0,"",$A26 &amp; IF(M26&gt;0," tăng "," giảm ") &amp; TEXT(ABS(M26)/1000,"0") &amp; "K = " &amp; TEXT(C26/1000,"#.##0") &amp; "K")</f>
        <v/>
      </c>
      <c r="O26" s="150">
        <f>IFERROR(D26-W11Q2FY26!D26,"OOS")</f>
        <v/>
      </c>
      <c r="P26" s="147">
        <f>IF(O26=0,"",$A26 &amp; IF(O26&gt;0," tăng "," giảm ") &amp; TEXT(ABS(O26)/1000,"0") &amp; "K = " &amp; TEXT(D26/1000,"#.##0") &amp; "K")</f>
        <v/>
      </c>
      <c r="Q26" s="150">
        <f>IFERROR(E26-W11Q2FY26!E26,"OOS")</f>
        <v/>
      </c>
      <c r="R26" s="147">
        <f>IF(Q26=0,"",$A26 &amp; IF(Q26&gt;0," tăng "," giảm ") &amp; TEXT(ABS(Q26)/1000,"0") &amp; "K = " &amp; TEXT(E26/1000,"#.##0") &amp; "K")</f>
        <v/>
      </c>
      <c r="S26" s="150">
        <f>IFERROR(F26-W11Q2FY26!F26,"OOS")</f>
        <v/>
      </c>
      <c r="T26" s="147">
        <f>IF(S26=0,"",$A26 &amp; IF(S26&gt;0," tăng "," giảm ") &amp; TEXT(ABS(S26)/1000,"0") &amp; "K = " &amp; TEXT(F26/1000,"#.##0") &amp; "K")</f>
        <v/>
      </c>
      <c r="U26" s="150">
        <f>IFERROR(G26-W11Q2FY26!G26,"OOS")</f>
        <v/>
      </c>
      <c r="V26" s="147">
        <f>IF(U26=0,"",$A26 &amp; IF(U26&gt;0," tăng "," giảm ") &amp; TEXT(ABS(U26)/1000,"0") &amp; "K = " &amp; TEXT(G26/1000,"#.##0") &amp; "K")</f>
        <v/>
      </c>
    </row>
    <row r="27">
      <c r="A27" t="inlineStr">
        <is>
          <t>AW SE 3 (44mm LTE)</t>
        </is>
      </c>
      <c r="B27" s="25" t="n"/>
      <c r="C27" s="141" t="n">
        <v>9190000</v>
      </c>
      <c r="D27" s="141" t="n">
        <v>9190000</v>
      </c>
      <c r="E27" s="140" t="n">
        <v>8990000</v>
      </c>
      <c r="F27" s="134" t="n">
        <v>9190000</v>
      </c>
      <c r="G27" s="124" t="n">
        <v>8790000</v>
      </c>
      <c r="H27" s="154" t="n"/>
      <c r="M27" s="149">
        <f>IFERROR(C27-W11Q2FY26!C27,"OOS")</f>
        <v/>
      </c>
      <c r="N27" s="147">
        <f>IF(M27=0,"",$A27 &amp; IF(M27&gt;0," tăng "," giảm ") &amp; TEXT(ABS(M27)/1000,"0") &amp; "K = " &amp; TEXT(C27/1000,"#.##0") &amp; "K")</f>
        <v/>
      </c>
      <c r="O27" s="150">
        <f>IFERROR(D27-W11Q2FY26!D27,"OOS")</f>
        <v/>
      </c>
      <c r="P27" s="147">
        <f>IF(O27=0,"",$A27 &amp; IF(O27&gt;0," tăng "," giảm ") &amp; TEXT(ABS(O27)/1000,"0") &amp; "K = " &amp; TEXT(D27/1000,"#.##0") &amp; "K")</f>
        <v/>
      </c>
      <c r="Q27" s="150">
        <f>IFERROR(E27-W11Q2FY26!E27,"OOS")</f>
        <v/>
      </c>
      <c r="R27" s="147">
        <f>IF(Q27=0,"",$A27 &amp; IF(Q27&gt;0," tăng "," giảm ") &amp; TEXT(ABS(Q27)/1000,"0") &amp; "K = " &amp; TEXT(E27/1000,"#.##0") &amp; "K")</f>
        <v/>
      </c>
      <c r="S27" s="150">
        <f>IFERROR(F27-W11Q2FY26!F27,"OOS")</f>
        <v/>
      </c>
      <c r="T27" s="147">
        <f>IF(S27=0,"",$A27 &amp; IF(S27&gt;0," tăng "," giảm ") &amp; TEXT(ABS(S27)/1000,"0") &amp; "K = " &amp; TEXT(F27/1000,"#.##0") &amp; "K")</f>
        <v/>
      </c>
      <c r="U27" s="150">
        <f>IFERROR(G27-W11Q2FY26!G27,"OOS")</f>
        <v/>
      </c>
      <c r="V27" s="147">
        <f>IF(U27=0,"",$A27 &amp; IF(U27&gt;0," tăng "," giảm ") &amp; TEXT(ABS(U27)/1000,"0") &amp; "K = " &amp; TEXT(G27/1000,"#.##0") &amp; "K")</f>
        <v/>
      </c>
    </row>
    <row r="28">
      <c r="A28" t="inlineStr">
        <is>
          <t>AW S11 (42mm GPS)</t>
        </is>
      </c>
      <c r="B28" s="3" t="n"/>
      <c r="C28" s="141" t="n">
        <v>11190000</v>
      </c>
      <c r="D28" s="141" t="n">
        <v>11190000</v>
      </c>
      <c r="E28" s="140" t="n">
        <v>10690000</v>
      </c>
      <c r="F28" s="134" t="n">
        <v>11190000</v>
      </c>
      <c r="G28" s="124" t="n">
        <v>10990000</v>
      </c>
      <c r="H28" s="154" t="n"/>
      <c r="M28" s="149">
        <f>IFERROR(C28-W11Q2FY26!C28,"OOS")</f>
        <v/>
      </c>
      <c r="N28" s="147">
        <f>IF(M28=0,"",$A28 &amp; IF(M28&gt;0," tăng "," giảm ") &amp; TEXT(ABS(M28)/1000,"0") &amp; "K = " &amp; TEXT(C28/1000,"#.##0") &amp; "K")</f>
        <v/>
      </c>
      <c r="O28" s="150">
        <f>IFERROR(D28-W11Q2FY26!D28,"OOS")</f>
        <v/>
      </c>
      <c r="P28" s="147">
        <f>IF(O28=0,"",$A28 &amp; IF(O28&gt;0," tăng "," giảm ") &amp; TEXT(ABS(O28)/1000,"0") &amp; "K = " &amp; TEXT(D28/1000,"#.##0") &amp; "K")</f>
        <v/>
      </c>
      <c r="Q28" s="150">
        <f>IFERROR(E28-W11Q2FY26!E28,"OOS")</f>
        <v/>
      </c>
      <c r="R28" s="147">
        <f>IF(Q28=0,"",$A28 &amp; IF(Q28&gt;0," tăng "," giảm ") &amp; TEXT(ABS(Q28)/1000,"0") &amp; "K = " &amp; TEXT(E28/1000,"#.##0") &amp; "K")</f>
        <v/>
      </c>
      <c r="S28" s="150">
        <f>IFERROR(F28-W11Q2FY26!F28,"OOS")</f>
        <v/>
      </c>
      <c r="T28" s="147">
        <f>IF(S28=0,"",$A28 &amp; IF(S28&gt;0," tăng "," giảm ") &amp; TEXT(ABS(S28)/1000,"0") &amp; "K = " &amp; TEXT(F28/1000,"#.##0") &amp; "K")</f>
        <v/>
      </c>
      <c r="U28" s="150">
        <f>IFERROR(G28-W11Q2FY26!G28,"OOS")</f>
        <v/>
      </c>
      <c r="V28" s="147">
        <f>IF(U28=0,"",$A28 &amp; IF(U28&gt;0," tăng "," giảm ") &amp; TEXT(ABS(U28)/1000,"0") &amp; "K = " &amp; TEXT(G28/1000,"#.##0") &amp; "K")</f>
        <v/>
      </c>
    </row>
    <row r="29">
      <c r="A29" t="inlineStr">
        <is>
          <t>AW S11 (42mm CEL)</t>
        </is>
      </c>
      <c r="B29" s="3" t="n"/>
      <c r="C29" s="141" t="n">
        <v>14090000</v>
      </c>
      <c r="D29" s="141" t="n">
        <v>14090000</v>
      </c>
      <c r="E29" s="140" t="n">
        <v>13990000</v>
      </c>
      <c r="F29" s="134" t="n">
        <v>14090000</v>
      </c>
      <c r="G29" s="124" t="n">
        <v>13990000</v>
      </c>
      <c r="H29" s="154" t="n"/>
      <c r="M29" s="149">
        <f>IFERROR(C29-W11Q2FY26!C29,"OOS")</f>
        <v/>
      </c>
      <c r="N29" s="147">
        <f>IF(M29=0,"",$A29 &amp; IF(M29&gt;0," tăng "," giảm ") &amp; TEXT(ABS(M29)/1000,"0") &amp; "K = " &amp; TEXT(C29/1000,"#.##0") &amp; "K")</f>
        <v/>
      </c>
      <c r="O29" s="150">
        <f>IFERROR(D29-W11Q2FY26!D29,"OOS")</f>
        <v/>
      </c>
      <c r="P29" s="147">
        <f>IF(O29=0,"",$A29 &amp; IF(O29&gt;0," tăng "," giảm ") &amp; TEXT(ABS(O29)/1000,"0") &amp; "K = " &amp; TEXT(D29/1000,"#.##0") &amp; "K")</f>
        <v/>
      </c>
      <c r="Q29" s="150">
        <f>IFERROR(E29-W11Q2FY26!E29,"OOS")</f>
        <v/>
      </c>
      <c r="R29" s="147">
        <f>IF(Q29=0,"",$A29 &amp; IF(Q29&gt;0," tăng "," giảm ") &amp; TEXT(ABS(Q29)/1000,"0") &amp; "K = " &amp; TEXT(E29/1000,"#.##0") &amp; "K")</f>
        <v/>
      </c>
      <c r="S29" s="150">
        <f>IFERROR(F29-W11Q2FY26!F29,"OOS")</f>
        <v/>
      </c>
      <c r="T29" s="147">
        <f>IF(S29=0,"",$A29 &amp; IF(S29&gt;0," tăng "," giảm ") &amp; TEXT(ABS(S29)/1000,"0") &amp; "K = " &amp; TEXT(F29/1000,"#.##0") &amp; "K")</f>
        <v/>
      </c>
      <c r="U29" s="150">
        <f>IFERROR(G29-W11Q2FY26!G29,"OOS")</f>
        <v/>
      </c>
      <c r="V29" s="147">
        <f>IF(U29=0,"",$A29 &amp; IF(U29&gt;0," tăng "," giảm ") &amp; TEXT(ABS(U29)/1000,"0") &amp; "K = " &amp; TEXT(G29/1000,"#.##0") &amp; "K")</f>
        <v/>
      </c>
    </row>
    <row r="30">
      <c r="A30" t="inlineStr">
        <is>
          <t>AW S11 (46mm GPS)</t>
        </is>
      </c>
      <c r="B30" s="3" t="n"/>
      <c r="C30" s="141" t="n">
        <v>11990000</v>
      </c>
      <c r="D30" s="136" t="n">
        <v>11990000</v>
      </c>
      <c r="E30" s="140" t="n">
        <v>11490000</v>
      </c>
      <c r="F30" s="134" t="n">
        <v>11990000</v>
      </c>
      <c r="G30" s="112" t="n">
        <v>11890000</v>
      </c>
      <c r="H30" s="154" t="n"/>
      <c r="M30" s="149">
        <f>IFERROR(C30-W11Q2FY26!C30,"OOS")</f>
        <v/>
      </c>
      <c r="N30" s="147">
        <f>IF(M30=0,"",$A30 &amp; IF(M30&gt;0," tăng "," giảm ") &amp; TEXT(ABS(M30)/1000,"0") &amp; "K = " &amp; TEXT(C30/1000,"#.##0") &amp; "K")</f>
        <v/>
      </c>
      <c r="O30" s="150">
        <f>IFERROR(D30-W11Q2FY26!D30,"OOS")</f>
        <v/>
      </c>
      <c r="P30" s="147">
        <f>IF(O30=0,"",$A30 &amp; IF(O30&gt;0," tăng "," giảm ") &amp; TEXT(ABS(O30)/1000,"0") &amp; "K = " &amp; TEXT(D30/1000,"#.##0") &amp; "K")</f>
        <v/>
      </c>
      <c r="Q30" s="150">
        <f>IFERROR(E30-W11Q2FY26!E30,"OOS")</f>
        <v/>
      </c>
      <c r="R30" s="147">
        <f>IF(Q30=0,"",$A30 &amp; IF(Q30&gt;0," tăng "," giảm ") &amp; TEXT(ABS(Q30)/1000,"0") &amp; "K = " &amp; TEXT(E30/1000,"#.##0") &amp; "K")</f>
        <v/>
      </c>
      <c r="S30" s="150">
        <f>IFERROR(F30-W11Q2FY26!F30,"OOS")</f>
        <v/>
      </c>
      <c r="T30" s="147">
        <f>IF(S30=0,"",$A30 &amp; IF(S30&gt;0," tăng "," giảm ") &amp; TEXT(ABS(S30)/1000,"0") &amp; "K = " &amp; TEXT(F30/1000,"#.##0") &amp; "K")</f>
        <v/>
      </c>
      <c r="U30" s="150">
        <f>IFERROR(G30-W11Q2FY26!G30,"OOS")</f>
        <v/>
      </c>
      <c r="V30" s="147">
        <f>IF(U30=0,"",$A30 &amp; IF(U30&gt;0," tăng "," giảm ") &amp; TEXT(ABS(U30)/1000,"0") &amp; "K = " &amp; TEXT(G30/1000,"#.##0") &amp; "K")</f>
        <v/>
      </c>
    </row>
    <row r="31">
      <c r="A31" t="inlineStr">
        <is>
          <t>AW S11 (46mm CEL)</t>
        </is>
      </c>
      <c r="B31" s="3" t="n"/>
      <c r="C31" s="136" t="inlineStr">
        <is>
          <t>OOS</t>
        </is>
      </c>
      <c r="D31" s="141" t="n">
        <v>14990000</v>
      </c>
      <c r="E31" s="140" t="n">
        <v>14490000</v>
      </c>
      <c r="F31" s="134" t="n">
        <v>14990000</v>
      </c>
      <c r="G31" s="112" t="n">
        <v>14890000</v>
      </c>
      <c r="H31" s="154" t="n"/>
      <c r="M31" s="149">
        <f>IFERROR(C31-W11Q2FY26!C31,"OOS")</f>
        <v/>
      </c>
      <c r="N31" s="147">
        <f>IF(M31=0,"",$A31 &amp; IF(M31&gt;0," tăng "," giảm ") &amp; TEXT(ABS(M31)/1000,"0") &amp; "K = " &amp; TEXT(C31/1000,"#.##0") &amp; "K")</f>
        <v/>
      </c>
      <c r="O31" s="150">
        <f>IFERROR(D31-W11Q2FY26!D31,"OOS")</f>
        <v/>
      </c>
      <c r="P31" s="147">
        <f>IF(O31=0,"",$A31 &amp; IF(O31&gt;0," tăng "," giảm ") &amp; TEXT(ABS(O31)/1000,"0") &amp; "K = " &amp; TEXT(D31/1000,"#.##0") &amp; "K")</f>
        <v/>
      </c>
      <c r="Q31" s="150">
        <f>IFERROR(E31-W11Q2FY26!E31,"OOS")</f>
        <v/>
      </c>
      <c r="R31" s="147">
        <f>IF(Q31=0,"",$A31 &amp; IF(Q31&gt;0," tăng "," giảm ") &amp; TEXT(ABS(Q31)/1000,"0") &amp; "K = " &amp; TEXT(E31/1000,"#.##0") &amp; "K")</f>
        <v/>
      </c>
      <c r="S31" s="150">
        <f>IFERROR(F31-W11Q2FY26!F31,"OOS")</f>
        <v/>
      </c>
      <c r="T31" s="147">
        <f>IF(S31=0,"",$A31 &amp; IF(S31&gt;0," tăng "," giảm ") &amp; TEXT(ABS(S31)/1000,"0") &amp; "K = " &amp; TEXT(F31/1000,"#.##0") &amp; "K")</f>
        <v/>
      </c>
      <c r="U31" s="150">
        <f>IFERROR(G31-W11Q2FY26!G31,"OOS")</f>
        <v/>
      </c>
      <c r="V31" s="147">
        <f>IF(U31=0,"",$A31 &amp; IF(U31&gt;0," tăng "," giảm ") &amp; TEXT(ABS(U31)/1000,"0") &amp; "K = " &amp; TEXT(G31/1000,"#.##0") &amp; "K")</f>
        <v/>
      </c>
    </row>
    <row r="32">
      <c r="A32" t="inlineStr">
        <is>
          <t>AW Ultra 3 (49mm)</t>
        </is>
      </c>
      <c r="B32" s="25" t="n"/>
      <c r="C32" s="136" t="n">
        <v>23490000</v>
      </c>
      <c r="D32" s="136" t="n">
        <v>22990000</v>
      </c>
      <c r="E32" s="113" t="n">
        <v>22490000</v>
      </c>
      <c r="F32" s="133" t="n">
        <v>23190000</v>
      </c>
      <c r="G32" s="111" t="n">
        <v>22990000</v>
      </c>
      <c r="H32" s="154" t="n"/>
      <c r="M32" s="149">
        <f>IFERROR(C32-W11Q2FY26!C32,"OOS")</f>
        <v/>
      </c>
      <c r="N32" s="147">
        <f>IF(M32=0,"",$A32 &amp; IF(M32&gt;0," tăng "," giảm ") &amp; TEXT(ABS(M32)/1000,"0") &amp; "K = " &amp; TEXT(C32/1000,"#.##0") &amp; "K")</f>
        <v/>
      </c>
      <c r="O32" s="150">
        <f>IFERROR(D32-W11Q2FY26!D32,"OOS")</f>
        <v/>
      </c>
      <c r="P32" s="147">
        <f>IF(O32=0,"",$A32 &amp; IF(O32&gt;0," tăng "," giảm ") &amp; TEXT(ABS(O32)/1000,"0") &amp; "K = " &amp; TEXT(D32/1000,"#.##0") &amp; "K")</f>
        <v/>
      </c>
      <c r="Q32" s="150">
        <f>IFERROR(E32-W11Q2FY26!E32,"OOS")</f>
        <v/>
      </c>
      <c r="R32" s="147">
        <f>IF(Q32=0,"",$A32 &amp; IF(Q32&gt;0," tăng "," giảm ") &amp; TEXT(ABS(Q32)/1000,"0") &amp; "K = " &amp; TEXT(E32/1000,"#.##0") &amp; "K")</f>
        <v/>
      </c>
      <c r="S32" s="150">
        <f>IFERROR(F32-W11Q2FY26!F32,"OOS")</f>
        <v/>
      </c>
      <c r="T32" s="147">
        <f>IF(S32=0,"",$A32 &amp; IF(S32&gt;0," tăng "," giảm ") &amp; TEXT(ABS(S32)/1000,"0") &amp; "K = " &amp; TEXT(F32/1000,"#.##0") &amp; "K")</f>
        <v/>
      </c>
      <c r="U32" s="150">
        <f>IFERROR(G32-W11Q2FY26!G32,"OOS")</f>
        <v/>
      </c>
      <c r="V32" s="147">
        <f>IF(U32=0,"",$A32 &amp; IF(U32&gt;0," tăng "," giảm ") &amp; TEXT(ABS(U32)/1000,"0") &amp; "K = " &amp; TEXT(G32/1000,"#.##0") &amp; "K")</f>
        <v/>
      </c>
    </row>
    <row r="33">
      <c r="A33" t="inlineStr">
        <is>
          <t>AirPods Pro 2 - 2023 (C-Type)</t>
        </is>
      </c>
      <c r="B33" s="3" t="n"/>
      <c r="C33" s="141" t="n">
        <v>5190000</v>
      </c>
      <c r="D33" s="136" t="inlineStr">
        <is>
          <t>OOS</t>
        </is>
      </c>
      <c r="E33" s="131" t="inlineStr">
        <is>
          <t>OOS</t>
        </is>
      </c>
      <c r="F33" s="134" t="n">
        <v>5190000</v>
      </c>
      <c r="G33" s="111" t="n">
        <v>5590000</v>
      </c>
      <c r="H33" s="154" t="n"/>
      <c r="M33" s="149">
        <f>IFERROR(C33-W11Q2FY26!C33,"OOS")</f>
        <v/>
      </c>
      <c r="N33" s="147">
        <f>IF(M33=0,"",$A33 &amp; IF(M33&gt;0," tăng "," giảm ") &amp; TEXT(ABS(M33)/1000,"0") &amp; "K = " &amp; TEXT(C33/1000,"#.##0") &amp; "K")</f>
        <v/>
      </c>
      <c r="O33" s="150">
        <f>IFERROR(D33-W11Q2FY26!D33,"OOS")</f>
        <v/>
      </c>
      <c r="P33" s="147">
        <f>IF(O33=0,"",$A33 &amp; IF(O33&gt;0," tăng "," giảm ") &amp; TEXT(ABS(O33)/1000,"0") &amp; "K = " &amp; TEXT(D33/1000,"#.##0") &amp; "K")</f>
        <v/>
      </c>
      <c r="Q33" s="150">
        <f>IFERROR(E33-W11Q2FY26!E33,"OOS")</f>
        <v/>
      </c>
      <c r="R33" s="147">
        <f>IF(Q33=0,"",$A33 &amp; IF(Q33&gt;0," tăng "," giảm ") &amp; TEXT(ABS(Q33)/1000,"0") &amp; "K = " &amp; TEXT(E33/1000,"#.##0") &amp; "K")</f>
        <v/>
      </c>
      <c r="S33" s="150">
        <f>IFERROR(F33-W11Q2FY26!F33,"OOS")</f>
        <v/>
      </c>
      <c r="T33" s="147">
        <f>IF(S33=0,"",$A33 &amp; IF(S33&gt;0," tăng "," giảm ") &amp; TEXT(ABS(S33)/1000,"0") &amp; "K = " &amp; TEXT(F33/1000,"#.##0") &amp; "K")</f>
        <v/>
      </c>
      <c r="U33" s="150">
        <f>IFERROR(G33-W11Q2FY26!G33,"OOS")</f>
        <v/>
      </c>
      <c r="V33" s="147">
        <f>IF(U33=0,"",$A33 &amp; IF(U33&gt;0," tăng "," giảm ") &amp; TEXT(ABS(U33)/1000,"0") &amp; "K = " &amp; TEXT(G33/1000,"#.##0") &amp; "K")</f>
        <v/>
      </c>
    </row>
    <row r="34">
      <c r="A34" t="inlineStr">
        <is>
          <t>AirPods 4 ANC</t>
        </is>
      </c>
      <c r="B34" s="3" t="n"/>
      <c r="C34" s="141" t="n">
        <v>4690000</v>
      </c>
      <c r="D34" s="141" t="n">
        <v>4590000</v>
      </c>
      <c r="E34" s="155" t="n">
        <v>4290000</v>
      </c>
      <c r="F34" s="134" t="n">
        <v>4650000</v>
      </c>
      <c r="G34" s="112" t="n">
        <v>4390000</v>
      </c>
      <c r="H34" s="154" t="n"/>
      <c r="M34" s="149">
        <f>IFERROR(C34-W11Q2FY26!C34,"OOS")</f>
        <v/>
      </c>
      <c r="N34" s="147">
        <f>IF(M34=0,"",$A34 &amp; IF(M34&gt;0," tăng "," giảm ") &amp; TEXT(ABS(M34)/1000,"0") &amp; "K = " &amp; TEXT(C34/1000,"#.##0") &amp; "K")</f>
        <v/>
      </c>
      <c r="O34" s="150">
        <f>IFERROR(D34-W11Q2FY26!D34,"OOS")</f>
        <v/>
      </c>
      <c r="P34" s="147">
        <f>IF(O34=0,"",$A34 &amp; IF(O34&gt;0," tăng "," giảm ") &amp; TEXT(ABS(O34)/1000,"0") &amp; "K = " &amp; TEXT(D34/1000,"#.##0") &amp; "K")</f>
        <v/>
      </c>
      <c r="Q34" s="150">
        <f>IFERROR(E34-W11Q2FY26!E34,"OOS")</f>
        <v/>
      </c>
      <c r="R34" s="147">
        <f>IF(Q34=0,"",$A34 &amp; IF(Q34&gt;0," tăng "," giảm ") &amp; TEXT(ABS(Q34)/1000,"0") &amp; "K = " &amp; TEXT(E34/1000,"#.##0") &amp; "K")</f>
        <v/>
      </c>
      <c r="S34" s="150">
        <f>IFERROR(F34-W11Q2FY26!F34,"OOS")</f>
        <v/>
      </c>
      <c r="T34" s="147">
        <f>IF(S34=0,"",$A34 &amp; IF(S34&gt;0," tăng "," giảm ") &amp; TEXT(ABS(S34)/1000,"0") &amp; "K = " &amp; TEXT(F34/1000,"#.##0") &amp; "K")</f>
        <v/>
      </c>
      <c r="U34" s="150">
        <f>IFERROR(G34-W11Q2FY26!G34,"OOS")</f>
        <v/>
      </c>
      <c r="V34" s="147">
        <f>IF(U34=0,"",$A34 &amp; IF(U34&gt;0," tăng "," giảm ") &amp; TEXT(ABS(U34)/1000,"0") &amp; "K = " &amp; TEXT(G34/1000,"#.##0") &amp; "K")</f>
        <v/>
      </c>
    </row>
    <row r="35">
      <c r="A35" t="inlineStr">
        <is>
          <t>AirPods 4 with charging case</t>
        </is>
      </c>
      <c r="B35" s="3" t="n"/>
      <c r="C35" s="141" t="n">
        <v>3490000</v>
      </c>
      <c r="D35" s="141" t="n">
        <v>3490000</v>
      </c>
      <c r="E35" s="155" t="n">
        <v>3290000</v>
      </c>
      <c r="F35" s="134" t="n">
        <v>3490000</v>
      </c>
      <c r="G35" s="124" t="n">
        <v>3290000</v>
      </c>
      <c r="H35" s="154" t="n"/>
      <c r="M35" s="149">
        <f>IFERROR(C35-W11Q2FY26!C35,"OOS")</f>
        <v/>
      </c>
      <c r="N35" s="147">
        <f>IF(M35=0,"",$A35 &amp; IF(M35&gt;0," tăng "," giảm ") &amp; TEXT(ABS(M35)/1000,"0") &amp; "K = " &amp; TEXT(C35/1000,"#.##0") &amp; "K")</f>
        <v/>
      </c>
      <c r="O35" s="150">
        <f>IFERROR(D35-W11Q2FY26!D35,"OOS")</f>
        <v/>
      </c>
      <c r="P35" s="147">
        <f>IF(O35=0,"",$A35 &amp; IF(O35&gt;0," tăng "," giảm ") &amp; TEXT(ABS(O35)/1000,"0") &amp; "K = " &amp; TEXT(D35/1000,"#.##0") &amp; "K")</f>
        <v/>
      </c>
      <c r="Q35" s="150">
        <f>IFERROR(E35-W11Q2FY26!E35,"OOS")</f>
        <v/>
      </c>
      <c r="R35" s="147">
        <f>IF(Q35=0,"",$A35 &amp; IF(Q35&gt;0," tăng "," giảm ") &amp; TEXT(ABS(Q35)/1000,"0") &amp; "K = " &amp; TEXT(E35/1000,"#.##0") &amp; "K")</f>
        <v/>
      </c>
      <c r="S35" s="150">
        <f>IFERROR(F35-W11Q2FY26!F35,"OOS")</f>
        <v/>
      </c>
      <c r="T35" s="147">
        <f>IF(S35=0,"",$A35 &amp; IF(S35&gt;0," tăng "," giảm ") &amp; TEXT(ABS(S35)/1000,"0") &amp; "K = " &amp; TEXT(F35/1000,"#.##0") &amp; "K")</f>
        <v/>
      </c>
      <c r="U35" s="150">
        <f>IFERROR(G35-W11Q2FY26!G35,"OOS")</f>
        <v/>
      </c>
      <c r="V35" s="147">
        <f>IF(U35=0,"",$A35 &amp; IF(U35&gt;0," tăng "," giảm ") &amp; TEXT(ABS(U35)/1000,"0") &amp; "K = " &amp; TEXT(G35/1000,"#.##0") &amp; "K")</f>
        <v/>
      </c>
    </row>
    <row r="36">
      <c r="A36" t="inlineStr">
        <is>
          <t>AirPods Pro 3</t>
        </is>
      </c>
      <c r="B36" s="3" t="n"/>
      <c r="C36" s="141" t="n">
        <v>6590000</v>
      </c>
      <c r="D36" s="141" t="n">
        <v>6590000</v>
      </c>
      <c r="E36" s="135" t="n">
        <v>6290000</v>
      </c>
      <c r="F36" s="134" t="n">
        <v>6590000</v>
      </c>
      <c r="G36" s="113" t="n">
        <v>6390000</v>
      </c>
      <c r="H36" s="154" t="n"/>
      <c r="M36" s="149">
        <f>IFERROR(C36-W11Q2FY26!C36,"OOS")</f>
        <v/>
      </c>
      <c r="N36" s="147">
        <f>IF(M36=0,"",$A36 &amp; IF(M36&gt;0," tăng "," giảm ") &amp; TEXT(ABS(M36)/1000,"0") &amp; "K = " &amp; TEXT(C36/1000,"#.##0") &amp; "K")</f>
        <v/>
      </c>
      <c r="O36" s="150">
        <f>IFERROR(D36-W11Q2FY26!D36,"OOS")</f>
        <v/>
      </c>
      <c r="P36" s="147">
        <f>IF(O36=0,"",$A36 &amp; IF(O36&gt;0," tăng "," giảm ") &amp; TEXT(ABS(O36)/1000,"0") &amp; "K = " &amp; TEXT(D36/1000,"#.##0") &amp; "K")</f>
        <v/>
      </c>
      <c r="Q36" s="150">
        <f>IFERROR(E36-W11Q2FY26!E36,"OOS")</f>
        <v/>
      </c>
      <c r="R36" s="147">
        <f>IF(Q36=0,"",$A36 &amp; IF(Q36&gt;0," tăng "," giảm ") &amp; TEXT(ABS(Q36)/1000,"0") &amp; "K = " &amp; TEXT(E36/1000,"#.##0") &amp; "K")</f>
        <v/>
      </c>
      <c r="S36" s="150">
        <f>IFERROR(F36-W11Q2FY26!F36,"OOS")</f>
        <v/>
      </c>
      <c r="T36" s="147">
        <f>IF(S36=0,"",$A36 &amp; IF(S36&gt;0," tăng "," giảm ") &amp; TEXT(ABS(S36)/1000,"0") &amp; "K = " &amp; TEXT(F36/1000,"#.##0") &amp; "K")</f>
        <v/>
      </c>
      <c r="U36" s="150">
        <f>IFERROR(G36-W11Q2FY26!G36,"OOS")</f>
        <v/>
      </c>
      <c r="V36" s="147">
        <f>IF(U36=0,"",$A36 &amp; IF(U36&gt;0," tăng "," giảm ") &amp; TEXT(ABS(U36)/1000,"0") &amp; "K = " &amp; TEXT(G36/1000,"#.##0") &amp; "K")</f>
        <v/>
      </c>
    </row>
    <row r="37">
      <c r="A37" t="inlineStr">
        <is>
          <t>MacBook Air 13" M2 16/256GB</t>
        </is>
      </c>
      <c r="B37" s="25" t="n"/>
      <c r="C37" s="136" t="n">
        <v>19990000</v>
      </c>
      <c r="D37" s="136" t="n">
        <v>19990000</v>
      </c>
      <c r="E37" s="143" t="n"/>
      <c r="F37" s="134" t="n">
        <v>19990000</v>
      </c>
      <c r="G37" s="111" t="n">
        <v>18990000</v>
      </c>
      <c r="H37" s="154" t="n"/>
      <c r="M37" s="149">
        <f>IFERROR(C37-W11Q2FY26!C37,"OOS")</f>
        <v/>
      </c>
      <c r="N37" s="147">
        <f>IF(M37=0,"",$A37 &amp; IF(M37&gt;0," tăng "," giảm ") &amp; TEXT(ABS(M37)/1000,"0") &amp; "K = " &amp; TEXT(C37/1000,"#.##0") &amp; "K")</f>
        <v/>
      </c>
      <c r="O37" s="150">
        <f>IFERROR(D37-W11Q2FY26!D37,"OOS")</f>
        <v/>
      </c>
      <c r="P37" s="147">
        <f>IF(O37=0,"",$A37 &amp; IF(O37&gt;0," tăng "," giảm ") &amp; TEXT(ABS(O37)/1000,"0") &amp; "K = " &amp; TEXT(D37/1000,"#.##0") &amp; "K")</f>
        <v/>
      </c>
      <c r="Q37" s="150">
        <f>IFERROR(E37-W11Q2FY26!E37,"OOS")</f>
        <v/>
      </c>
      <c r="R37" s="147">
        <f>IF(Q37=0,"",$A37 &amp; IF(Q37&gt;0," tăng "," giảm ") &amp; TEXT(ABS(Q37)/1000,"0") &amp; "K = " &amp; TEXT(E37/1000,"#.##0") &amp; "K")</f>
        <v/>
      </c>
      <c r="S37" s="150">
        <f>IFERROR(F37-W11Q2FY26!F37,"OOS")</f>
        <v/>
      </c>
      <c r="T37" s="147">
        <f>IF(S37=0,"",$A37 &amp; IF(S37&gt;0," tăng "," giảm ") &amp; TEXT(ABS(S37)/1000,"0") &amp; "K = " &amp; TEXT(F37/1000,"#.##0") &amp; "K")</f>
        <v/>
      </c>
      <c r="U37" s="150">
        <f>IFERROR(G37-W11Q2FY26!G37,"OOS")</f>
        <v/>
      </c>
      <c r="V37" s="147">
        <f>IF(U37=0,"",$A37 &amp; IF(U37&gt;0," tăng "," giảm ") &amp; TEXT(ABS(U37)/1000,"0") &amp; "K = " &amp; TEXT(G37/1000,"#.##0") &amp; "K")</f>
        <v/>
      </c>
    </row>
    <row r="38">
      <c r="A38" t="inlineStr">
        <is>
          <t>MacBook Air 13" M5 16/512GB</t>
        </is>
      </c>
      <c r="B38" s="25" t="n"/>
      <c r="C38" s="136" t="n">
        <v>29990000</v>
      </c>
      <c r="D38" s="136" t="n">
        <v>29990000</v>
      </c>
      <c r="E38" s="143" t="n"/>
      <c r="F38" s="111" t="n">
        <v>29990000</v>
      </c>
      <c r="G38" s="111" t="n">
        <v>29990000</v>
      </c>
      <c r="H38" s="154" t="n"/>
      <c r="M38" s="149">
        <f>IFERROR(C38-W11Q2FY26!C38,"OOS")</f>
        <v/>
      </c>
      <c r="N38" s="147">
        <f>IF(M38=0,"",$A38 &amp; IF(M38&gt;0," tăng "," giảm ") &amp; TEXT(ABS(M38)/1000,"0") &amp; "K = " &amp; TEXT(C38/1000,"#.##0") &amp; "K")</f>
        <v/>
      </c>
      <c r="O38" s="150">
        <f>IFERROR(D38-W11Q2FY26!D38,"OOS")</f>
        <v/>
      </c>
      <c r="P38" s="147">
        <f>IF(O38=0,"",$A38 &amp; IF(O38&gt;0," tăng "," giảm ") &amp; TEXT(ABS(O38)/1000,"0") &amp; "K = " &amp; TEXT(D38/1000,"#.##0") &amp; "K")</f>
        <v/>
      </c>
      <c r="Q38" s="150">
        <f>IFERROR(E38-W11Q2FY26!E38,"OOS")</f>
        <v/>
      </c>
      <c r="R38" s="147">
        <f>IF(Q38=0,"",$A38 &amp; IF(Q38&gt;0," tăng "," giảm ") &amp; TEXT(ABS(Q38)/1000,"0") &amp; "K = " &amp; TEXT(E38/1000,"#.##0") &amp; "K")</f>
        <v/>
      </c>
      <c r="S38" s="150">
        <f>IFERROR(F38-W11Q2FY26!F38,"OOS")</f>
        <v/>
      </c>
      <c r="T38" s="147">
        <f>IF(S38=0,"",$A38 &amp; IF(S38&gt;0," tăng "," giảm ") &amp; TEXT(ABS(S38)/1000,"0") &amp; "K = " &amp; TEXT(F38/1000,"#.##0") &amp; "K")</f>
        <v/>
      </c>
      <c r="U38" s="150">
        <f>IFERROR(G38-W11Q2FY26!G38,"OOS")</f>
        <v/>
      </c>
      <c r="V38" s="147">
        <f>IF(U38=0,"",$A38 &amp; IF(U38&gt;0," tăng "," giảm ") &amp; TEXT(ABS(U38)/1000,"0") &amp; "K = " &amp; TEXT(G38/1000,"#.##0") &amp; "K")</f>
        <v/>
      </c>
    </row>
    <row r="39">
      <c r="A39" t="inlineStr">
        <is>
          <t>MacBook NEO A18 Pro ( 8/256GB)</t>
        </is>
      </c>
      <c r="B39" s="25" t="n"/>
      <c r="C39" s="136" t="n">
        <v>16490000</v>
      </c>
      <c r="D39" s="136" t="n">
        <v>16490000</v>
      </c>
      <c r="E39" s="143" t="n"/>
      <c r="F39" s="111" t="n">
        <v>16490000</v>
      </c>
      <c r="G39" s="111" t="n">
        <v>16499000</v>
      </c>
      <c r="H39" s="154" t="n"/>
      <c r="M39" s="149">
        <f>IFERROR(C39-W11Q2FY26!C39,"OOS")</f>
        <v/>
      </c>
      <c r="N39" s="147">
        <f>IF(M39=0,"",$A39 &amp; IF(M39&gt;0," tăng "," giảm ") &amp; TEXT(ABS(M39)/1000,"0") &amp; "K = " &amp; TEXT(C39/1000,"#.##0") &amp; "K")</f>
        <v/>
      </c>
      <c r="O39" s="150">
        <f>IFERROR(D39-W11Q2FY26!D39,"OOS")</f>
        <v/>
      </c>
      <c r="P39" s="147">
        <f>IF(O39=0,"",$A39 &amp; IF(O39&gt;0," tăng "," giảm ") &amp; TEXT(ABS(O39)/1000,"0") &amp; "K = " &amp; TEXT(D39/1000,"#.##0") &amp; "K")</f>
        <v/>
      </c>
      <c r="Q39" s="150">
        <f>IFERROR(E39-W11Q2FY26!E39,"OOS")</f>
        <v/>
      </c>
      <c r="R39" s="147">
        <f>IF(Q39=0,"",$A39 &amp; IF(Q39&gt;0," tăng "," giảm ") &amp; TEXT(ABS(Q39)/1000,"0") &amp; "K = " &amp; TEXT(E39/1000,"#.##0") &amp; "K")</f>
        <v/>
      </c>
      <c r="S39" s="150">
        <f>IFERROR(F39-W11Q2FY26!F39,"OOS")</f>
        <v/>
      </c>
      <c r="T39" s="147">
        <f>IF(S39=0,"",$A39 &amp; IF(S39&gt;0," tăng "," giảm ") &amp; TEXT(ABS(S39)/1000,"0") &amp; "K = " &amp; TEXT(F39/1000,"#.##0") &amp; "K")</f>
        <v/>
      </c>
      <c r="U39" s="150">
        <f>IFERROR(G39-W11Q2FY26!G39,"OOS")</f>
        <v/>
      </c>
      <c r="V39" s="147">
        <f>IF(U39=0,"",$A39 &amp; IF(U39&gt;0," tăng "," giảm ") &amp; TEXT(ABS(U39)/1000,"0") &amp; "K = " &amp; TEXT(G39/1000,"#.##0") &amp; "K")</f>
        <v/>
      </c>
    </row>
    <row r="40">
      <c r="A40" t="inlineStr">
        <is>
          <t>MacBook Air 13" M4 16/256GB</t>
        </is>
      </c>
      <c r="B40" s="3" t="n"/>
      <c r="C40" s="141" t="n">
        <v>24990000</v>
      </c>
      <c r="D40" s="141" t="n">
        <v>24590000</v>
      </c>
      <c r="E40" s="143" t="n"/>
      <c r="F40" s="134" t="n">
        <v>24990000</v>
      </c>
      <c r="G40" s="112" t="n">
        <v>24590000</v>
      </c>
      <c r="H40" s="154" t="n"/>
      <c r="M40" s="149">
        <f>IFERROR(C40-W11Q2FY26!C40,"OOS")</f>
        <v/>
      </c>
      <c r="N40" s="147">
        <f>IF(M40=0,"",$A40 &amp; IF(M40&gt;0," tăng "," giảm ") &amp; TEXT(ABS(M40)/1000,"0") &amp; "K = " &amp; TEXT(C40/1000,"#.##0") &amp; "K")</f>
        <v/>
      </c>
      <c r="O40" s="150">
        <f>IFERROR(D40-W11Q2FY26!D40,"OOS")</f>
        <v/>
      </c>
      <c r="P40" s="147">
        <f>IF(O40=0,"",$A40 &amp; IF(O40&gt;0," tăng "," giảm ") &amp; TEXT(ABS(O40)/1000,"0") &amp; "K = " &amp; TEXT(D40/1000,"#.##0") &amp; "K")</f>
        <v/>
      </c>
      <c r="Q40" s="150">
        <f>IFERROR(E40-W11Q2FY26!E40,"OOS")</f>
        <v/>
      </c>
      <c r="R40" s="147">
        <f>IF(Q40=0,"",$A40 &amp; IF(Q40&gt;0," tăng "," giảm ") &amp; TEXT(ABS(Q40)/1000,"0") &amp; "K = " &amp; TEXT(E40/1000,"#.##0") &amp; "K")</f>
        <v/>
      </c>
      <c r="S40" s="150">
        <f>IFERROR(F40-W11Q2FY26!F40,"OOS")</f>
        <v/>
      </c>
      <c r="T40" s="147">
        <f>IF(S40=0,"",$A40 &amp; IF(S40&gt;0," tăng "," giảm ") &amp; TEXT(ABS(S40)/1000,"0") &amp; "K = " &amp; TEXT(F40/1000,"#.##0") &amp; "K")</f>
        <v/>
      </c>
      <c r="U40" s="150">
        <f>IFERROR(G40-W11Q2FY26!G40,"OOS")</f>
        <v/>
      </c>
      <c r="V40" s="147">
        <f>IF(U40=0,"",$A40 &amp; IF(U40&gt;0," tăng "," giảm ") &amp; TEXT(ABS(U40)/1000,"0") &amp; "K = " &amp; TEXT(G40/1000,"#.##0") &amp; "K")</f>
        <v/>
      </c>
    </row>
    <row r="41">
      <c r="A41" t="inlineStr">
        <is>
          <t>MacBook Air 15" M4 16/256GB</t>
        </is>
      </c>
      <c r="B41" s="25" t="n"/>
      <c r="C41" s="136" t="n">
        <v>29990000</v>
      </c>
      <c r="D41" s="136" t="n">
        <v>29990000</v>
      </c>
      <c r="E41" s="143" t="n"/>
      <c r="F41" s="133" t="n">
        <v>29990000</v>
      </c>
      <c r="G41" s="111" t="n">
        <v>28990000</v>
      </c>
      <c r="H41" s="154" t="n"/>
      <c r="M41" s="149">
        <f>IFERROR(C41-W11Q2FY26!C41,"OOS")</f>
        <v/>
      </c>
      <c r="N41" s="147">
        <f>IF(M41=0,"",$A41 &amp; IF(M41&gt;0," tăng "," giảm ") &amp; TEXT(ABS(M41)/1000,"0") &amp; "K = " &amp; TEXT(C41/1000,"#.##0") &amp; "K")</f>
        <v/>
      </c>
      <c r="O41" s="150">
        <f>IFERROR(D41-W11Q2FY26!D41,"OOS")</f>
        <v/>
      </c>
      <c r="P41" s="147">
        <f>IF(O41=0,"",$A41 &amp; IF(O41&gt;0," tăng "," giảm ") &amp; TEXT(ABS(O41)/1000,"0") &amp; "K = " &amp; TEXT(D41/1000,"#.##0") &amp; "K")</f>
        <v/>
      </c>
      <c r="Q41" s="150">
        <f>IFERROR(E41-W11Q2FY26!E41,"OOS")</f>
        <v/>
      </c>
      <c r="R41" s="147">
        <f>IF(Q41=0,"",$A41 &amp; IF(Q41&gt;0," tăng "," giảm ") &amp; TEXT(ABS(Q41)/1000,"0") &amp; "K = " &amp; TEXT(E41/1000,"#.##0") &amp; "K")</f>
        <v/>
      </c>
      <c r="S41" s="150">
        <f>IFERROR(F41-W11Q2FY26!F41,"OOS")</f>
        <v/>
      </c>
      <c r="T41" s="147">
        <f>IF(S41=0,"",$A41 &amp; IF(S41&gt;0," tăng "," giảm ") &amp; TEXT(ABS(S41)/1000,"0") &amp; "K = " &amp; TEXT(F41/1000,"#.##0") &amp; "K")</f>
        <v/>
      </c>
      <c r="U41" s="150">
        <f>IFERROR(G41-W11Q2FY26!G41,"OOS")</f>
        <v/>
      </c>
      <c r="V41" s="147">
        <f>IF(U41=0,"",$A41 &amp; IF(U41&gt;0," tăng "," giảm ") &amp; TEXT(ABS(U41)/1000,"0") &amp; "K = " &amp; TEXT(G41/1000,"#.##0") &amp; "K")</f>
        <v/>
      </c>
    </row>
    <row r="42">
      <c r="A42" t="inlineStr">
        <is>
          <t>MacBook Pro 14" M4 16/512GB</t>
        </is>
      </c>
      <c r="B42" s="25" t="n"/>
      <c r="C42" s="136" t="inlineStr">
        <is>
          <t>OOS</t>
        </is>
      </c>
      <c r="D42" s="136" t="inlineStr">
        <is>
          <t>OOS</t>
        </is>
      </c>
      <c r="E42" s="143" t="n"/>
      <c r="F42" s="133" t="n">
        <v>38590000</v>
      </c>
      <c r="G42" s="111" t="n">
        <v>38390000</v>
      </c>
      <c r="H42" s="154" t="n"/>
      <c r="M42" s="149">
        <f>IFERROR(C42-W11Q2FY26!C42,"OOS")</f>
        <v/>
      </c>
      <c r="N42" s="147">
        <f>IF(M42=0,"",$A42 &amp; IF(M42&gt;0," tăng "," giảm ") &amp; TEXT(ABS(M42)/1000,"0") &amp; "K = " &amp; TEXT(C42/1000,"#.##0") &amp; "K")</f>
        <v/>
      </c>
      <c r="O42" s="150">
        <f>IFERROR(D42-W11Q2FY26!D42,"OOS")</f>
        <v/>
      </c>
      <c r="P42" s="147">
        <f>IF(O42=0,"",$A42 &amp; IF(O42&gt;0," tăng "," giảm ") &amp; TEXT(ABS(O42)/1000,"0") &amp; "K = " &amp; TEXT(D42/1000,"#.##0") &amp; "K")</f>
        <v/>
      </c>
      <c r="Q42" s="150">
        <f>IFERROR(E42-W11Q2FY26!E42,"OOS")</f>
        <v/>
      </c>
      <c r="R42" s="147">
        <f>IF(Q42=0,"",$A42 &amp; IF(Q42&gt;0," tăng "," giảm ") &amp; TEXT(ABS(Q42)/1000,"0") &amp; "K = " &amp; TEXT(E42/1000,"#.##0") &amp; "K")</f>
        <v/>
      </c>
      <c r="S42" s="150">
        <f>IFERROR(F42-W11Q2FY26!F42,"OOS")</f>
        <v/>
      </c>
      <c r="T42" s="147">
        <f>IF(S42=0,"",$A42 &amp; IF(S42&gt;0," tăng "," giảm ") &amp; TEXT(ABS(S42)/1000,"0") &amp; "K = " &amp; TEXT(F42/1000,"#.##0") &amp; "K")</f>
        <v/>
      </c>
      <c r="U42" s="150">
        <f>IFERROR(G42-W11Q2FY26!G42,"OOS")</f>
        <v/>
      </c>
      <c r="V42" s="147">
        <f>IF(U42=0,"",$A42 &amp; IF(U42&gt;0," tăng "," giảm ") &amp; TEXT(ABS(U42)/1000,"0") &amp; "K = " &amp; TEXT(G42/1000,"#.##0") &amp; "K")</f>
        <v/>
      </c>
    </row>
    <row r="43">
      <c r="A43" t="inlineStr">
        <is>
          <t>MacBook Pro 14" M5 16/512GB</t>
        </is>
      </c>
      <c r="B43" s="25" t="n"/>
      <c r="C43" s="136" t="n">
        <v>41990000</v>
      </c>
      <c r="D43" s="141" t="n">
        <v>41490000</v>
      </c>
      <c r="E43" s="143" t="n"/>
      <c r="F43" s="133" t="n">
        <v>41490000</v>
      </c>
      <c r="G43" s="112" t="n">
        <v>40690000</v>
      </c>
      <c r="H43" s="154" t="n"/>
      <c r="M43" s="149">
        <f>IFERROR(C43-W11Q2FY26!C43,"OOS")</f>
        <v/>
      </c>
      <c r="N43" s="147">
        <f>IF(M43=0,"",$A43 &amp; IF(M43&gt;0," tăng "," giảm ") &amp; TEXT(ABS(M43)/1000,"0") &amp; "K = " &amp; TEXT(C43/1000,"#.##0") &amp; "K")</f>
        <v/>
      </c>
      <c r="O43" s="150">
        <f>IFERROR(D43-W11Q2FY26!D43,"OOS")</f>
        <v/>
      </c>
      <c r="P43" s="147">
        <f>IF(O43=0,"",$A43 &amp; IF(O43&gt;0," tăng "," giảm ") &amp; TEXT(ABS(O43)/1000,"0") &amp; "K = " &amp; TEXT(D43/1000,"#.##0") &amp; "K")</f>
        <v/>
      </c>
      <c r="Q43" s="150">
        <f>IFERROR(E43-W11Q2FY26!E43,"OOS")</f>
        <v/>
      </c>
      <c r="R43" s="147">
        <f>IF(Q43=0,"",$A43 &amp; IF(Q43&gt;0," tăng "," giảm ") &amp; TEXT(ABS(Q43)/1000,"0") &amp; "K = " &amp; TEXT(E43/1000,"#.##0") &amp; "K")</f>
        <v/>
      </c>
      <c r="S43" s="150">
        <f>IFERROR(F43-W11Q2FY26!F43,"OOS")</f>
        <v/>
      </c>
      <c r="T43" s="147">
        <f>IF(S43=0,"",$A43 &amp; IF(S43&gt;0," tăng "," giảm ") &amp; TEXT(ABS(S43)/1000,"0") &amp; "K = " &amp; TEXT(F43/1000,"#.##0") &amp; "K")</f>
        <v/>
      </c>
      <c r="U43" s="150">
        <f>IFERROR(G43-W11Q2FY26!G43,"OOS")</f>
        <v/>
      </c>
      <c r="V43" s="147">
        <f>IF(U43=0,"",$A43 &amp; IF(U43&gt;0," tăng "," giảm ") &amp; TEXT(ABS(U43)/1000,"0") &amp; "K = " &amp; TEXT(G43/1000,"#.##0") &amp; "K")</f>
        <v/>
      </c>
    </row>
    <row r="44">
      <c r="A44" t="inlineStr">
        <is>
          <t>MacBook Pro 16" M4 24/512GB</t>
        </is>
      </c>
      <c r="B44" s="25" t="n"/>
      <c r="C44" s="136" t="inlineStr">
        <is>
          <t>OOS</t>
        </is>
      </c>
      <c r="D44" s="141" t="n">
        <v>62990000</v>
      </c>
      <c r="E44" s="143" t="n"/>
      <c r="F44" s="133" t="n">
        <v>62990000</v>
      </c>
      <c r="G44" s="111" t="n">
        <v>63990000</v>
      </c>
      <c r="H44" s="154" t="n"/>
      <c r="M44" s="149">
        <f>IFERROR(C44-W11Q2FY26!C44,"OOS")</f>
        <v/>
      </c>
      <c r="N44" s="147">
        <f>IF(M44=0,"",$A44 &amp; IF(M44&gt;0," tăng "," giảm ") &amp; TEXT(ABS(M44)/1000,"0") &amp; "K = " &amp; TEXT(C44/1000,"#.##0") &amp; "K")</f>
        <v/>
      </c>
      <c r="O44" s="150">
        <f>IFERROR(D44-W11Q2FY26!D44,"OOS")</f>
        <v/>
      </c>
      <c r="P44" s="147">
        <f>IF(O44=0,"",$A44 &amp; IF(O44&gt;0," tăng "," giảm ") &amp; TEXT(ABS(O44)/1000,"0") &amp; "K = " &amp; TEXT(D44/1000,"#.##0") &amp; "K")</f>
        <v/>
      </c>
      <c r="Q44" s="150">
        <f>IFERROR(E44-W11Q2FY26!E44,"OOS")</f>
        <v/>
      </c>
      <c r="R44" s="147">
        <f>IF(Q44=0,"",$A44 &amp; IF(Q44&gt;0," tăng "," giảm ") &amp; TEXT(ABS(Q44)/1000,"0") &amp; "K = " &amp; TEXT(E44/1000,"#.##0") &amp; "K")</f>
        <v/>
      </c>
      <c r="S44" s="150">
        <f>IFERROR(F44-W11Q2FY26!F44,"OOS")</f>
        <v/>
      </c>
      <c r="T44" s="147">
        <f>IF(S44=0,"",$A44 &amp; IF(S44&gt;0," tăng "," giảm ") &amp; TEXT(ABS(S44)/1000,"0") &amp; "K = " &amp; TEXT(F44/1000,"#.##0") &amp; "K")</f>
        <v/>
      </c>
      <c r="U44" s="150">
        <f>IFERROR(G44-W11Q2FY26!G44,"OOS")</f>
        <v/>
      </c>
      <c r="V44" s="147">
        <f>IF(U44=0,"",$A44 &amp; IF(U44&gt;0," tăng "," giảm ") &amp; TEXT(ABS(U44)/1000,"0") &amp; "K = " &amp; TEXT(G44/1000,"#.##0") &amp; "K")</f>
        <v/>
      </c>
    </row>
    <row r="45">
      <c r="C45" s="125" t="n"/>
      <c r="D45" s="125" t="n"/>
    </row>
    <row r="46">
      <c r="C46" s="125" t="n"/>
      <c r="D46" s="125" t="n"/>
    </row>
    <row r="47">
      <c r="C47" s="125" t="n"/>
      <c r="D47" s="125" t="n"/>
    </row>
    <row r="48">
      <c r="C48" s="125" t="n"/>
      <c r="D48" s="125" t="n"/>
    </row>
    <row r="49">
      <c r="C49" s="125" t="n"/>
      <c r="D49" s="125" t="n"/>
    </row>
    <row r="50">
      <c r="C50" s="125" t="n"/>
      <c r="D50" s="125" t="n"/>
    </row>
    <row r="51">
      <c r="C51" s="125" t="n"/>
      <c r="D51" s="125" t="n"/>
    </row>
    <row r="52">
      <c r="C52" s="125" t="n"/>
      <c r="D52" s="125" t="n"/>
    </row>
    <row r="53">
      <c r="C53" s="125" t="n"/>
      <c r="D53" s="125" t="n"/>
    </row>
    <row r="54">
      <c r="C54" s="125" t="n"/>
      <c r="D54" s="125" t="n"/>
    </row>
    <row r="55">
      <c r="C55" s="125" t="n"/>
      <c r="D55" s="125" t="n"/>
    </row>
    <row r="56">
      <c r="C56" s="125" t="n"/>
      <c r="D56" s="125" t="n"/>
    </row>
    <row r="57">
      <c r="C57" s="125" t="n"/>
      <c r="D57" s="125" t="n"/>
    </row>
    <row r="58">
      <c r="C58" s="125" t="n"/>
      <c r="D58" s="125" t="n"/>
    </row>
    <row r="59">
      <c r="C59" s="125" t="n"/>
      <c r="D59" s="125" t="n"/>
    </row>
    <row r="60">
      <c r="C60" s="125" t="n"/>
      <c r="D60" s="125" t="n"/>
    </row>
    <row r="61">
      <c r="C61" s="125" t="n"/>
      <c r="D61" s="125" t="n"/>
    </row>
    <row r="62">
      <c r="C62" s="125" t="n"/>
      <c r="D62" s="125" t="n"/>
    </row>
    <row r="63">
      <c r="C63" s="125" t="n"/>
      <c r="D63" s="125" t="n"/>
    </row>
    <row r="64">
      <c r="C64" s="125" t="n"/>
      <c r="D64" s="125" t="n"/>
    </row>
    <row r="65">
      <c r="C65" s="125" t="n"/>
      <c r="D65" s="125" t="n"/>
    </row>
    <row r="66">
      <c r="C66" s="125" t="n"/>
      <c r="D66" s="125" t="n"/>
    </row>
    <row r="67">
      <c r="C67" s="125" t="n"/>
      <c r="D67" s="125" t="n"/>
    </row>
    <row r="68">
      <c r="C68" s="125" t="n"/>
      <c r="D68" s="125" t="n"/>
    </row>
    <row r="69">
      <c r="C69" s="125" t="n"/>
      <c r="D69" s="125" t="n"/>
    </row>
    <row r="70">
      <c r="C70" s="125" t="n"/>
      <c r="D70" s="125" t="n"/>
    </row>
    <row r="71">
      <c r="C71" s="125" t="n"/>
      <c r="D71" s="125" t="n"/>
    </row>
    <row r="72">
      <c r="C72" s="125" t="n"/>
      <c r="D72" s="125" t="n"/>
    </row>
    <row r="73">
      <c r="C73" s="125" t="n"/>
      <c r="D73" s="125" t="n"/>
    </row>
    <row r="74">
      <c r="C74" s="125" t="n"/>
      <c r="D74" s="125" t="n"/>
    </row>
    <row r="75">
      <c r="C75" s="125" t="n"/>
      <c r="D75" s="125" t="n"/>
    </row>
    <row r="76">
      <c r="C76" s="125" t="n"/>
      <c r="D76" s="125" t="n"/>
    </row>
    <row r="77">
      <c r="C77" s="125" t="n"/>
      <c r="D77" s="125" t="n"/>
    </row>
    <row r="78">
      <c r="C78" s="125" t="n"/>
      <c r="D78" s="125" t="n"/>
    </row>
    <row r="79">
      <c r="C79" s="125" t="n"/>
      <c r="D79" s="125" t="n"/>
    </row>
    <row r="80">
      <c r="C80" s="125" t="n"/>
      <c r="D80" s="125" t="n"/>
    </row>
    <row r="81">
      <c r="C81" s="125" t="n"/>
      <c r="D81" s="125" t="n"/>
    </row>
    <row r="82">
      <c r="C82" s="125" t="n"/>
      <c r="D82" s="125" t="n"/>
    </row>
    <row r="83">
      <c r="C83" s="125" t="n"/>
      <c r="D83" s="125" t="n"/>
    </row>
    <row r="84">
      <c r="C84" s="125" t="n"/>
      <c r="D84" s="125" t="n"/>
    </row>
    <row r="85">
      <c r="C85" s="125" t="n"/>
      <c r="D85" s="125" t="n"/>
    </row>
    <row r="86">
      <c r="C86" s="125" t="n"/>
      <c r="D86" s="125" t="n"/>
    </row>
    <row r="87">
      <c r="C87" s="125" t="n"/>
      <c r="D87" s="125" t="n"/>
    </row>
    <row r="88">
      <c r="C88" s="125" t="n"/>
      <c r="D88" s="125" t="n"/>
    </row>
    <row r="89">
      <c r="C89" s="125" t="n"/>
      <c r="D89" s="125" t="n"/>
    </row>
    <row r="90">
      <c r="C90" s="125" t="n"/>
      <c r="D90" s="125" t="n"/>
    </row>
    <row r="91">
      <c r="C91" s="125" t="n"/>
      <c r="D91" s="125" t="n"/>
    </row>
    <row r="92">
      <c r="C92" s="125" t="n"/>
      <c r="D92" s="125" t="n"/>
    </row>
    <row r="93">
      <c r="C93" s="125" t="n"/>
      <c r="D93" s="125" t="n"/>
    </row>
    <row r="94">
      <c r="C94" s="125" t="n"/>
      <c r="D94" s="125" t="n"/>
    </row>
    <row r="95">
      <c r="C95" s="125" t="n"/>
      <c r="D95" s="125" t="n"/>
    </row>
    <row r="96">
      <c r="C96" s="125" t="n"/>
      <c r="D96" s="125" t="n"/>
    </row>
    <row r="97">
      <c r="C97" s="125" t="n"/>
      <c r="D97" s="125" t="n"/>
    </row>
    <row r="98">
      <c r="C98" s="125" t="n"/>
      <c r="D98" s="125" t="n"/>
    </row>
    <row r="99">
      <c r="C99" s="125" t="n"/>
      <c r="D99" s="125" t="n"/>
    </row>
    <row r="100">
      <c r="C100" s="125" t="n"/>
      <c r="D100" s="125" t="n"/>
    </row>
    <row r="101">
      <c r="C101" s="125" t="n"/>
      <c r="D101" s="125" t="n"/>
    </row>
    <row r="102">
      <c r="C102" s="125" t="n"/>
      <c r="D102" s="125" t="n"/>
    </row>
    <row r="103">
      <c r="C103" s="125" t="n"/>
      <c r="D103" s="125" t="n"/>
    </row>
    <row r="104">
      <c r="C104" s="125" t="n"/>
      <c r="D104" s="125" t="n"/>
    </row>
    <row r="105">
      <c r="C105" s="125" t="n"/>
      <c r="D105" s="125" t="n"/>
    </row>
    <row r="106">
      <c r="C106" s="125" t="n"/>
      <c r="D106" s="125" t="n"/>
    </row>
    <row r="107">
      <c r="C107" s="125" t="n"/>
      <c r="D107" s="125" t="n"/>
    </row>
    <row r="108">
      <c r="C108" s="125" t="n"/>
      <c r="D108" s="125" t="n"/>
    </row>
    <row r="109">
      <c r="C109" s="125" t="n"/>
      <c r="D109" s="125" t="n"/>
    </row>
    <row r="110">
      <c r="C110" s="125" t="n"/>
      <c r="D110" s="125" t="n"/>
    </row>
    <row r="111">
      <c r="C111" s="125" t="n"/>
      <c r="D111" s="125" t="n"/>
    </row>
    <row r="112">
      <c r="C112" s="125" t="n"/>
      <c r="D112" s="125" t="n"/>
    </row>
    <row r="113">
      <c r="C113" s="125" t="n"/>
      <c r="D113" s="125" t="n"/>
    </row>
    <row r="114">
      <c r="C114" s="125" t="n"/>
      <c r="D114" s="125" t="n"/>
    </row>
    <row r="115">
      <c r="C115" s="125" t="n"/>
      <c r="D115" s="125" t="n"/>
    </row>
    <row r="116">
      <c r="C116" s="125" t="n"/>
      <c r="D116" s="125" t="n"/>
    </row>
    <row r="117">
      <c r="C117" s="125" t="n"/>
      <c r="D117" s="125" t="n"/>
    </row>
    <row r="118">
      <c r="C118" s="125" t="n"/>
      <c r="D118" s="125" t="n"/>
    </row>
    <row r="119">
      <c r="C119" s="125" t="n"/>
      <c r="D119" s="125" t="n"/>
    </row>
    <row r="120">
      <c r="C120" s="125" t="n"/>
      <c r="D120" s="125" t="n"/>
    </row>
    <row r="121">
      <c r="C121" s="125" t="n"/>
      <c r="D121" s="125" t="n"/>
    </row>
    <row r="122">
      <c r="C122" s="125" t="n"/>
      <c r="D122" s="125" t="n"/>
    </row>
    <row r="123">
      <c r="C123" s="125" t="n"/>
      <c r="D123" s="125" t="n"/>
    </row>
    <row r="124">
      <c r="C124" s="125" t="n"/>
      <c r="D124" s="125" t="n"/>
    </row>
    <row r="125">
      <c r="C125" s="125" t="n"/>
      <c r="D125" s="125" t="n"/>
    </row>
    <row r="126">
      <c r="C126" s="125" t="n"/>
      <c r="D126" s="125" t="n"/>
    </row>
    <row r="127">
      <c r="C127" s="125" t="n"/>
      <c r="D127" s="125" t="n"/>
    </row>
    <row r="128">
      <c r="C128" s="125" t="n"/>
      <c r="D128" s="125" t="n"/>
    </row>
    <row r="129">
      <c r="C129" s="125" t="n"/>
      <c r="D129" s="125" t="n"/>
    </row>
    <row r="130">
      <c r="C130" s="125" t="n"/>
      <c r="D130" s="125" t="n"/>
    </row>
    <row r="131">
      <c r="C131" s="125" t="n"/>
      <c r="D131" s="125" t="n"/>
    </row>
    <row r="132">
      <c r="C132" s="125" t="n"/>
      <c r="D132" s="125" t="n"/>
    </row>
    <row r="133">
      <c r="C133" s="125" t="n"/>
      <c r="D133" s="125" t="n"/>
    </row>
    <row r="134">
      <c r="C134" s="125" t="n"/>
      <c r="D134" s="125" t="n"/>
    </row>
    <row r="135">
      <c r="C135" s="125" t="n"/>
      <c r="D135" s="125" t="n"/>
    </row>
    <row r="136">
      <c r="C136" s="125" t="n"/>
      <c r="D136" s="125" t="n"/>
    </row>
    <row r="137">
      <c r="C137" s="125" t="n"/>
      <c r="D137" s="125" t="n"/>
    </row>
    <row r="138">
      <c r="C138" s="125" t="n"/>
      <c r="D138" s="125" t="n"/>
    </row>
    <row r="139">
      <c r="C139" s="125" t="n"/>
      <c r="D139" s="125" t="n"/>
    </row>
    <row r="140">
      <c r="C140" s="125" t="n"/>
      <c r="D140" s="125" t="n"/>
    </row>
    <row r="141">
      <c r="C141" s="125" t="n"/>
      <c r="D141" s="125" t="n"/>
    </row>
    <row r="142">
      <c r="C142" s="125" t="n"/>
      <c r="D142" s="125" t="n"/>
    </row>
    <row r="143">
      <c r="C143" s="125" t="n"/>
      <c r="D143" s="125" t="n"/>
    </row>
    <row r="144">
      <c r="C144" s="125" t="n"/>
      <c r="D144" s="125" t="n"/>
    </row>
    <row r="145">
      <c r="C145" s="125" t="n"/>
      <c r="D145" s="125" t="n"/>
    </row>
    <row r="146">
      <c r="C146" s="125" t="n"/>
      <c r="D146" s="125" t="n"/>
    </row>
    <row r="147">
      <c r="C147" s="125" t="n"/>
      <c r="D147" s="125" t="n"/>
    </row>
    <row r="148">
      <c r="C148" s="125" t="n"/>
      <c r="D148" s="125" t="n"/>
    </row>
    <row r="149">
      <c r="C149" s="125" t="n"/>
      <c r="D149" s="125" t="n"/>
    </row>
    <row r="150">
      <c r="C150" s="125" t="n"/>
      <c r="D150" s="125" t="n"/>
    </row>
    <row r="151">
      <c r="C151" s="125" t="n"/>
      <c r="D151" s="125" t="n"/>
    </row>
    <row r="152">
      <c r="C152" s="125" t="n"/>
      <c r="D152" s="125" t="n"/>
    </row>
    <row r="153">
      <c r="C153" s="125" t="n"/>
      <c r="D153" s="125" t="n"/>
    </row>
    <row r="154">
      <c r="C154" s="125" t="n"/>
      <c r="D154" s="125" t="n"/>
    </row>
    <row r="155">
      <c r="C155" s="125" t="n"/>
      <c r="D155" s="125" t="n"/>
    </row>
    <row r="156">
      <c r="C156" s="125" t="n"/>
      <c r="D156" s="125" t="n"/>
    </row>
  </sheetData>
  <conditionalFormatting sqref="E3:E44">
    <cfRule type="expression" priority="15" dxfId="3" stopIfTrue="1">
      <formula>$Q3=0</formula>
    </cfRule>
    <cfRule type="expression" priority="16" dxfId="2" stopIfTrue="1">
      <formula>AND($Q3&lt;&gt;0,$Q3&lt;&gt;"")</formula>
    </cfRule>
  </conditionalFormatting>
  <conditionalFormatting sqref="N2:N44">
    <cfRule type="containsText" priority="5" operator="containsText" dxfId="1" text="Tăng">
      <formula>NOT(ISERROR(SEARCH("Tăng",N2)))</formula>
    </cfRule>
    <cfRule type="containsText" priority="6" operator="containsText" dxfId="0" text="giảm">
      <formula>NOT(ISERROR(SEARCH("giảm",N2)))</formula>
    </cfRule>
  </conditionalFormatting>
  <conditionalFormatting sqref="P2:P44">
    <cfRule type="containsText" priority="7" operator="containsText" dxfId="1" text="Tăng">
      <formula>NOT(ISERROR(SEARCH("Tăng",P2)))</formula>
    </cfRule>
    <cfRule type="containsText" priority="8" operator="containsText" dxfId="0" text="giảm">
      <formula>NOT(ISERROR(SEARCH("giảm",P2)))</formula>
    </cfRule>
  </conditionalFormatting>
  <conditionalFormatting sqref="R2:R44">
    <cfRule type="containsText" priority="9" operator="containsText" dxfId="1" text="Tăng">
      <formula>NOT(ISERROR(SEARCH("Tăng",R2)))</formula>
    </cfRule>
    <cfRule type="containsText" priority="10" operator="containsText" dxfId="0" text="giảm">
      <formula>NOT(ISERROR(SEARCH("giảm",R2)))</formula>
    </cfRule>
  </conditionalFormatting>
  <conditionalFormatting sqref="T2:T44">
    <cfRule type="containsText" priority="11" operator="containsText" dxfId="1" text="Tăng">
      <formula>NOT(ISERROR(SEARCH("Tăng",T2)))</formula>
    </cfRule>
    <cfRule type="containsText" priority="12" operator="containsText" dxfId="0" text="giảm">
      <formula>NOT(ISERROR(SEARCH("giảm",T2)))</formula>
    </cfRule>
  </conditionalFormatting>
  <conditionalFormatting sqref="V2:V44">
    <cfRule type="containsText" priority="13" operator="containsText" dxfId="1" text="Tăng">
      <formula>NOT(ISERROR(SEARCH("Tăng",V2)))</formula>
    </cfRule>
    <cfRule type="containsText" priority="14" operator="containsText" dxfId="0" text="giảm">
      <formula>NOT(ISERROR(SEARCH("giảm",V2)))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0.xml><?xml version="1.0" encoding="utf-8"?>
<worksheet xmlns="http://schemas.openxmlformats.org/spreadsheetml/2006/main">
  <sheetPr>
    <outlinePr summaryBelow="1" summaryRight="1"/>
    <pageSetUpPr/>
  </sheetPr>
  <dimension ref="A1:Y154"/>
  <sheetViews>
    <sheetView showGridLines="0" zoomScale="83" zoomScaleNormal="50" workbookViewId="0">
      <pane xSplit="2" ySplit="1" topLeftCell="D2" activePane="bottomRight" state="frozen"/>
      <selection pane="bottomRight" activeCell="X39" sqref="X39"/>
      <selection pane="bottomLeft" activeCell="A2" sqref="A2"/>
      <selection pane="topRight" activeCell="C1" sqref="C1"/>
    </sheetView>
  </sheetViews>
  <sheetFormatPr baseColWidth="8" defaultColWidth="11" defaultRowHeight="15.95"/>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11"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7" t="n">
        <v>17990000</v>
      </c>
      <c r="D2" s="128" t="n">
        <v>17790000</v>
      </c>
      <c r="E2" s="129" t="n">
        <v>17990000</v>
      </c>
      <c r="F2" s="156" t="n">
        <v>17790000</v>
      </c>
      <c r="G2" s="111" t="n">
        <v>17790000</v>
      </c>
      <c r="H2" s="154" t="n"/>
      <c r="M2" s="149">
        <f>IFERROR(C2-W12Q2FY26!C2,"OOS")</f>
        <v/>
      </c>
      <c r="N2" s="147">
        <f>IF(M2=0,"",$A2 &amp; IF(M2&gt;0," tăng "," giảm ") &amp; TEXT(ABS(M2)/1000,"0") &amp; "K = " &amp; TEXT(C2/1000,"#.##0") &amp; "K")</f>
        <v/>
      </c>
      <c r="O2" s="150">
        <f>IFERROR(D2-W12Q2FY26!D2,"OOS")</f>
        <v/>
      </c>
      <c r="P2" s="147">
        <f>IF(O2=0,"",$A2 &amp; IF(O2&gt;0," tăng "," giảm ") &amp; TEXT(ABS(O2)/1000,"0") &amp; "K = " &amp; TEXT(D2/1000,"#.##0") &amp; "K")</f>
        <v/>
      </c>
      <c r="Q2" s="150">
        <f>IFERROR(E2-W12Q2FY26!E2,"OOS")</f>
        <v/>
      </c>
      <c r="R2" s="147">
        <f>IF(Q2=0,"",$A2 &amp; IF(Q2&gt;0," tăng "," giảm ") &amp; TEXT(ABS(Q2)/1000,"0") &amp; "K = " &amp; TEXT(E2/1000,"#.##0") &amp; "K")</f>
        <v/>
      </c>
      <c r="S2" s="150">
        <f>IFERROR(F2-W12Q2FY26!F2,"OOS")</f>
        <v/>
      </c>
      <c r="T2" s="147">
        <f>IF(S2=0,"",$A2 &amp; IF(S2&gt;0," tăng "," giảm ") &amp; TEXT(ABS(S2)/1000,"0") &amp; "K = " &amp; TEXT(F2/1000,"#.##0") &amp; "K")</f>
        <v/>
      </c>
      <c r="U2" s="150">
        <f>IFERROR(G2-W12Q2FY26!G2,"OOS")</f>
        <v/>
      </c>
      <c r="V2" s="147">
        <f>IF(U2=0,"",$A2 &amp; IF(U2&gt;0," tăng "," giảm ") &amp; TEXT(ABS(U2)/1000,"0") &amp; "K = " &amp; TEXT(G2/1000,"#.##0") &amp; "K")</f>
        <v/>
      </c>
    </row>
    <row r="3">
      <c r="A3" t="inlineStr">
        <is>
          <t>iPhone 17  256GB</t>
        </is>
      </c>
      <c r="B3" s="83" t="n"/>
      <c r="C3" s="130" t="n">
        <v>24990000</v>
      </c>
      <c r="D3" s="128" t="n">
        <v>24690000</v>
      </c>
      <c r="E3" s="131" t="n">
        <v>24190000</v>
      </c>
      <c r="F3" s="132" t="n">
        <v>24190000</v>
      </c>
      <c r="G3" s="111" t="n">
        <v>24190000</v>
      </c>
      <c r="H3" s="154" t="n"/>
      <c r="M3" s="149">
        <f>IFERROR(C3-W12Q2FY26!C3,"OOS")</f>
        <v/>
      </c>
      <c r="N3" s="147">
        <f>IF(M3=0,"",$A3 &amp; IF(M3&gt;0," tăng "," giảm ") &amp; TEXT(ABS(M3)/1000,"0") &amp; "K = " &amp; TEXT(C3/1000,"#.##0") &amp; "K")</f>
        <v/>
      </c>
      <c r="O3" s="150">
        <f>IFERROR(D3-W12Q2FY26!D3,"OOS")</f>
        <v/>
      </c>
      <c r="P3" s="147">
        <f>IF(O3=0,"",$A3 &amp; IF(O3&gt;0," tăng "," giảm ") &amp; TEXT(ABS(O3)/1000,"0") &amp; "K = " &amp; TEXT(D3/1000,"#.##0") &amp; "K")</f>
        <v/>
      </c>
      <c r="Q3" s="150">
        <f>IFERROR(E3-W12Q2FY26!E3,"OOS")</f>
        <v/>
      </c>
      <c r="R3" s="147">
        <f>IF(Q3=0,"",$A3 &amp; IF(Q3&gt;0," tăng "," giảm ") &amp; TEXT(ABS(Q3)/1000,"0") &amp; "K = " &amp; TEXT(E3/1000,"#.##0") &amp; "K")</f>
        <v/>
      </c>
      <c r="S3" s="150">
        <f>IFERROR(F3-W12Q2FY26!F3,"OOS")</f>
        <v/>
      </c>
      <c r="T3" s="147">
        <f>IF(S3=0,"",$A3 &amp; IF(S3&gt;0," tăng "," giảm ") &amp; TEXT(ABS(S3)/1000,"0") &amp; "K = " &amp; TEXT(F3/1000,"#.##0") &amp; "K")</f>
        <v/>
      </c>
      <c r="U3" s="150">
        <f>IFERROR(G3-W12Q2FY26!G3,"OOS")</f>
        <v/>
      </c>
      <c r="V3" s="147">
        <f>IF(U3=0,"",$A3 &amp; IF(U3&gt;0," tăng "," giảm ") &amp; TEXT(ABS(U3)/1000,"0") &amp; "K = " &amp; TEXT(G3/1000,"#.##0") &amp; "K")</f>
        <v/>
      </c>
    </row>
    <row r="4">
      <c r="A4" t="inlineStr">
        <is>
          <t>iPhone Air 256G</t>
        </is>
      </c>
      <c r="B4" s="83" t="n"/>
      <c r="C4" s="128" t="n">
        <v>24990000</v>
      </c>
      <c r="D4" s="128" t="n">
        <v>24990000</v>
      </c>
      <c r="E4" s="131" t="n">
        <v>24490000</v>
      </c>
      <c r="F4" s="133" t="n">
        <v>24990000</v>
      </c>
      <c r="G4" s="111" t="n">
        <v>24990000</v>
      </c>
      <c r="H4" s="154" t="n"/>
      <c r="M4" s="149">
        <f>IFERROR(C4-W12Q2FY26!C4,"OOS")</f>
        <v/>
      </c>
      <c r="N4" s="147">
        <f>IF(M4=0,"",$A4 &amp; IF(M4&gt;0," tăng "," giảm ") &amp; TEXT(ABS(M4)/1000,"0") &amp; "K = " &amp; TEXT(C4/1000,"#.##0") &amp; "K")</f>
        <v/>
      </c>
      <c r="O4" s="150">
        <f>IFERROR(D4-W12Q2FY26!D4,"OOS")</f>
        <v/>
      </c>
      <c r="P4" s="147">
        <f>IF(O4=0,"",$A4 &amp; IF(O4&gt;0," tăng "," giảm ") &amp; TEXT(ABS(O4)/1000,"0") &amp; "K = " &amp; TEXT(D4/1000,"#.##0") &amp; "K")</f>
        <v/>
      </c>
      <c r="Q4" s="150">
        <f>IFERROR(E4-W12Q2FY26!E4,"OOS")</f>
        <v/>
      </c>
      <c r="R4" s="147">
        <f>IF(Q4=0,"",$A4 &amp; IF(Q4&gt;0," tăng "," giảm ") &amp; TEXT(ABS(Q4)/1000,"0") &amp; "K = " &amp; TEXT(E4/1000,"#.##0") &amp; "K")</f>
        <v/>
      </c>
      <c r="S4" s="150">
        <f>IFERROR(F4-W12Q2FY26!F4,"OOS")</f>
        <v/>
      </c>
      <c r="T4" s="147">
        <f>IF(S4=0,"",$A4 &amp; IF(S4&gt;0," tăng "," giảm ") &amp; TEXT(ABS(S4)/1000,"0") &amp; "K = " &amp; TEXT(F4/1000,"#.##0") &amp; "K")</f>
        <v/>
      </c>
      <c r="U4" s="150">
        <f>IFERROR(G4-W12Q2FY26!G4,"OOS")</f>
        <v/>
      </c>
      <c r="V4" s="147">
        <f>IF(U4=0,"",$A4 &amp; IF(U4&gt;0," tăng "," giảm ") &amp; TEXT(ABS(U4)/1000,"0") &amp; "K = " &amp; TEXT(G4/1000,"#.##0") &amp; "K")</f>
        <v/>
      </c>
    </row>
    <row r="5">
      <c r="A5" t="inlineStr">
        <is>
          <t>iPhone 17 Pro 256GB</t>
        </is>
      </c>
      <c r="B5" s="83" t="n"/>
      <c r="C5" s="128" t="n">
        <v>34790000</v>
      </c>
      <c r="D5" s="128" t="n">
        <v>34490000</v>
      </c>
      <c r="E5" s="131" t="n">
        <v>33190000</v>
      </c>
      <c r="F5" s="134" t="n">
        <v>34790000</v>
      </c>
      <c r="G5" s="111" t="n">
        <v>34190000</v>
      </c>
      <c r="H5" s="154" t="n"/>
      <c r="M5" s="149">
        <f>IFERROR(C5-W12Q2FY26!C5,"OOS")</f>
        <v/>
      </c>
      <c r="N5" s="147">
        <f>IF(M5=0,"",$A5 &amp; IF(M5&gt;0," tăng "," giảm ") &amp; TEXT(ABS(M5)/1000,"0") &amp; "K = " &amp; TEXT(C5/1000,"#.##0") &amp; "K")</f>
        <v/>
      </c>
      <c r="O5" s="150">
        <f>IFERROR(D5-W12Q2FY26!D5,"OOS")</f>
        <v/>
      </c>
      <c r="P5" s="147">
        <f>IF(O5=0,"",$A5 &amp; IF(O5&gt;0," tăng "," giảm ") &amp; TEXT(ABS(O5)/1000,"0") &amp; "K = " &amp; TEXT(D5/1000,"#.##0") &amp; "K")</f>
        <v/>
      </c>
      <c r="Q5" s="150">
        <f>IFERROR(E5-W12Q2FY26!E5,"OOS")</f>
        <v/>
      </c>
      <c r="R5" s="147">
        <f>IF(Q5=0,"",$A5 &amp; IF(Q5&gt;0," tăng "," giảm ") &amp; TEXT(ABS(Q5)/1000,"0") &amp; "K = " &amp; TEXT(E5/1000,"#.##0") &amp; "K")</f>
        <v/>
      </c>
      <c r="S5" s="150">
        <f>IFERROR(F5-W12Q2FY26!F5,"OOS")</f>
        <v/>
      </c>
      <c r="T5" s="147">
        <f>IF(S5=0,"",$A5 &amp; IF(S5&gt;0," tăng "," giảm ") &amp; TEXT(ABS(S5)/1000,"0") &amp; "K = " &amp; TEXT(F5/1000,"#.##0") &amp; "K")</f>
        <v/>
      </c>
      <c r="U5" s="150">
        <f>IFERROR(G5-W12Q2FY26!G5,"OOS")</f>
        <v/>
      </c>
      <c r="V5" s="147">
        <f>IF(U5=0,"",$A5 &amp; IF(U5&gt;0," tăng "," giảm ") &amp; TEXT(ABS(U5)/1000,"0") &amp; "K = " &amp; TEXT(G5/1000,"#.##0") &amp; "K")</f>
        <v/>
      </c>
    </row>
    <row r="6">
      <c r="A6" t="inlineStr">
        <is>
          <t>iPhone 17 Pro Max 256GB</t>
        </is>
      </c>
      <c r="B6" s="83" t="n"/>
      <c r="C6" s="128" t="n">
        <v>37990000</v>
      </c>
      <c r="D6" s="128" t="n">
        <v>37790000</v>
      </c>
      <c r="E6" s="135" t="n">
        <v>36490000</v>
      </c>
      <c r="F6" s="133" t="n">
        <v>37790000</v>
      </c>
      <c r="G6" s="112" t="n">
        <v>36990000</v>
      </c>
      <c r="H6" s="154" t="n"/>
      <c r="M6" s="149">
        <f>IFERROR(C6-W12Q2FY26!C6,"OOS")</f>
        <v/>
      </c>
      <c r="N6" s="147">
        <f>IF(M6=0,"",$A6 &amp; IF(M6&gt;0," tăng "," giảm ") &amp; TEXT(ABS(M6)/1000,"0") &amp; "K = " &amp; TEXT(C6/1000,"#.##0") &amp; "K")</f>
        <v/>
      </c>
      <c r="O6" s="150">
        <f>IFERROR(D6-W12Q2FY26!D6,"OOS")</f>
        <v/>
      </c>
      <c r="P6" s="147">
        <f>IF(O6=0,"",$A6 &amp; IF(O6&gt;0," tăng "," giảm ") &amp; TEXT(ABS(O6)/1000,"0") &amp; "K = " &amp; TEXT(D6/1000,"#.##0") &amp; "K")</f>
        <v/>
      </c>
      <c r="Q6" s="150">
        <f>IFERROR(E6-W12Q2FY26!E6,"OOS")</f>
        <v/>
      </c>
      <c r="R6" s="147">
        <f>IF(Q6=0,"",$A6 &amp; IF(Q6&gt;0," tăng "," giảm ") &amp; TEXT(ABS(Q6)/1000,"0") &amp; "K = " &amp; TEXT(E6/1000,"#.##0") &amp; "K")</f>
        <v/>
      </c>
      <c r="S6" s="150">
        <f>IFERROR(F6-W12Q2FY26!F6,"OOS")</f>
        <v/>
      </c>
      <c r="T6" s="147">
        <f>IF(S6=0,"",$A6 &amp; IF(S6&gt;0," tăng "," giảm ") &amp; TEXT(ABS(S6)/1000,"0") &amp; "K = " &amp; TEXT(F6/1000,"#.##0") &amp; "K")</f>
        <v/>
      </c>
      <c r="U6" s="150">
        <f>IFERROR(G6-W12Q2FY26!G6,"OOS")</f>
        <v/>
      </c>
      <c r="V6" s="147">
        <f>IF(U6=0,"",$A6 &amp; IF(U6&gt;0," tăng "," giảm ") &amp; TEXT(ABS(U6)/1000,"0") &amp; "K = " &amp; TEXT(G6/1000,"#.##0") &amp; "K")</f>
        <v/>
      </c>
    </row>
    <row r="7">
      <c r="A7" t="inlineStr">
        <is>
          <t>iPhone 16e  128GB</t>
        </is>
      </c>
      <c r="B7" s="83" t="n"/>
      <c r="C7" s="130" t="n">
        <v>13990000</v>
      </c>
      <c r="D7" s="136" t="n">
        <v>16690000</v>
      </c>
      <c r="E7" s="135" t="n">
        <v>12490000</v>
      </c>
      <c r="F7" s="137" t="n">
        <v>12490000</v>
      </c>
      <c r="G7" s="111" t="n">
        <v>15190000</v>
      </c>
      <c r="H7" s="154" t="n"/>
      <c r="M7" s="149">
        <f>IFERROR(C7-W12Q2FY26!C7,"OOS")</f>
        <v/>
      </c>
      <c r="N7" s="147">
        <f>IF(M7=0,"",$A7 &amp; IF(M7&gt;0," tăng "," giảm ") &amp; TEXT(ABS(M7)/1000,"0") &amp; "K = " &amp; TEXT(C7/1000,"#.##0") &amp; "K")</f>
        <v/>
      </c>
      <c r="O7" s="150">
        <f>IFERROR(D7-W12Q2FY26!D7,"OOS")</f>
        <v/>
      </c>
      <c r="P7" s="147">
        <f>IF(O7=0,"",$A7 &amp; IF(O7&gt;0," tăng "," giảm ") &amp; TEXT(ABS(O7)/1000,"0") &amp; "K = " &amp; TEXT(D7/1000,"#.##0") &amp; "K")</f>
        <v/>
      </c>
      <c r="Q7" s="150">
        <f>IFERROR(E7-W12Q2FY26!E7,"OOS")</f>
        <v/>
      </c>
      <c r="R7" s="147">
        <f>IF(Q7=0,"",$A7 &amp; IF(Q7&gt;0," tăng "," giảm ") &amp; TEXT(ABS(Q7)/1000,"0") &amp; "K = " &amp; TEXT(E7/1000,"#.##0") &amp; "K")</f>
        <v/>
      </c>
      <c r="S7" s="150">
        <f>IFERROR(F7-W12Q2FY26!F7,"OOS")</f>
        <v/>
      </c>
      <c r="T7" s="147">
        <f>IF(S7=0,"",$A7 &amp; IF(S7&gt;0," tăng "," giảm ") &amp; TEXT(ABS(S7)/1000,"0") &amp; "K = " &amp; TEXT(F7/1000,"#.##0") &amp; "K")</f>
        <v/>
      </c>
      <c r="U7" s="150">
        <f>IFERROR(G7-W12Q2FY26!G7,"OOS")</f>
        <v/>
      </c>
      <c r="V7" s="147">
        <f>IF(U7=0,"",$A7 &amp; IF(U7&gt;0," tăng "," giảm ") &amp; TEXT(ABS(U7)/1000,"0") &amp; "K = " &amp; TEXT(G7/1000,"#.##0") &amp; "K")</f>
        <v/>
      </c>
    </row>
    <row r="8">
      <c r="A8" t="inlineStr">
        <is>
          <t>iPhone 16 128GB</t>
        </is>
      </c>
      <c r="B8" s="71" t="n"/>
      <c r="C8" s="138" t="n">
        <v>21290000</v>
      </c>
      <c r="D8" s="138" t="n">
        <v>20990000</v>
      </c>
      <c r="E8" s="140" t="n">
        <v>20090000</v>
      </c>
      <c r="F8" s="134" t="n">
        <v>21090000</v>
      </c>
      <c r="G8" s="111" t="n">
        <v>20790000</v>
      </c>
      <c r="H8" s="154" t="n"/>
      <c r="M8" s="149">
        <f>IFERROR(C8-W12Q2FY26!C8,"OOS")</f>
        <v/>
      </c>
      <c r="N8" s="147">
        <f>IF(M8=0,"",$A8 &amp; IF(M8&gt;0," tăng "," giảm ") &amp; TEXT(ABS(M8)/1000,"0") &amp; "K = " &amp; TEXT(C8/1000,"#.##0") &amp; "K")</f>
        <v/>
      </c>
      <c r="O8" s="150">
        <f>IFERROR(D8-W12Q2FY26!D8,"OOS")</f>
        <v/>
      </c>
      <c r="P8" s="147">
        <f>IF(O8=0,"",$A8 &amp; IF(O8&gt;0," tăng "," giảm ") &amp; TEXT(ABS(O8)/1000,"0") &amp; "K = " &amp; TEXT(D8/1000,"#.##0") &amp; "K")</f>
        <v/>
      </c>
      <c r="Q8" s="150">
        <f>IFERROR(E8-W12Q2FY26!E8,"OOS")</f>
        <v/>
      </c>
      <c r="R8" s="147">
        <f>IF(Q8=0,"",$A8 &amp; IF(Q8&gt;0," tăng "," giảm ") &amp; TEXT(ABS(Q8)/1000,"0") &amp; "K = " &amp; TEXT(E8/1000,"#.##0") &amp; "K")</f>
        <v/>
      </c>
      <c r="S8" s="150">
        <f>IFERROR(F8-W12Q2FY26!F8,"OOS")</f>
        <v/>
      </c>
      <c r="T8" s="147">
        <f>IF(S8=0,"",$A8 &amp; IF(S8&gt;0," tăng "," giảm ") &amp; TEXT(ABS(S8)/1000,"0") &amp; "K = " &amp; TEXT(F8/1000,"#.##0") &amp; "K")</f>
        <v/>
      </c>
      <c r="U8" s="150">
        <f>IFERROR(G8-W12Q2FY26!G8,"OOS")</f>
        <v/>
      </c>
      <c r="V8" s="147">
        <f>IF(U8=0,"",$A8 &amp; IF(U8&gt;0," tăng "," giảm ") &amp; TEXT(ABS(U8)/1000,"0") &amp; "K = " &amp; TEXT(G8/1000,"#.##0") &amp; "K")</f>
        <v/>
      </c>
    </row>
    <row r="9">
      <c r="A9" t="inlineStr">
        <is>
          <t>iPhone 16  Plus 128GB</t>
        </is>
      </c>
      <c r="B9" s="3" t="n"/>
      <c r="C9" s="141" t="n">
        <v>25290000</v>
      </c>
      <c r="D9" s="141" t="n">
        <v>24790000</v>
      </c>
      <c r="E9" s="140" t="n">
        <v>23790000</v>
      </c>
      <c r="F9" s="134" t="n">
        <v>25090000</v>
      </c>
      <c r="G9" s="111" t="n">
        <v>24590000</v>
      </c>
      <c r="H9" s="154" t="n"/>
      <c r="M9" s="149">
        <f>IFERROR(C9-W12Q2FY26!C9,"OOS")</f>
        <v/>
      </c>
      <c r="N9" s="147">
        <f>IF(M9=0,"",$A9 &amp; IF(M9&gt;0," tăng "," giảm ") &amp; TEXT(ABS(M9)/1000,"0") &amp; "K = " &amp; TEXT(C9/1000,"#.##0") &amp; "K")</f>
        <v/>
      </c>
      <c r="O9" s="150">
        <f>IFERROR(D9-W12Q2FY26!D9,"OOS")</f>
        <v/>
      </c>
      <c r="P9" s="147">
        <f>IF(O9=0,"",$A9 &amp; IF(O9&gt;0," tăng "," giảm ") &amp; TEXT(ABS(O9)/1000,"0") &amp; "K = " &amp; TEXT(D9/1000,"#.##0") &amp; "K")</f>
        <v/>
      </c>
      <c r="Q9" s="150">
        <f>IFERROR(E9-W12Q2FY26!E9,"OOS")</f>
        <v/>
      </c>
      <c r="R9" s="147">
        <f>IF(Q9=0,"",$A9 &amp; IF(Q9&gt;0," tăng "," giảm ") &amp; TEXT(ABS(Q9)/1000,"0") &amp; "K = " &amp; TEXT(E9/1000,"#.##0") &amp; "K")</f>
        <v/>
      </c>
      <c r="S9" s="150">
        <f>IFERROR(F9-W12Q2FY26!F9,"OOS")</f>
        <v/>
      </c>
      <c r="T9" s="147">
        <f>IF(S9=0,"",$A9 &amp; IF(S9&gt;0," tăng "," giảm ") &amp; TEXT(ABS(S9)/1000,"0") &amp; "K = " &amp; TEXT(F9/1000,"#.##0") &amp; "K")</f>
        <v/>
      </c>
      <c r="U9" s="150">
        <f>IFERROR(G9-W12Q2FY26!G9,"OOS")</f>
        <v/>
      </c>
      <c r="V9" s="147">
        <f>IF(U9=0,"",$A9 &amp; IF(U9&gt;0," tăng "," giảm ") &amp; TEXT(ABS(U9)/1000,"0") &amp; "K = " &amp; TEXT(G9/1000,"#.##0") &amp; "K")</f>
        <v/>
      </c>
    </row>
    <row r="10">
      <c r="A10" t="inlineStr">
        <is>
          <t>iPhone 16 Pro 128GB</t>
        </is>
      </c>
      <c r="B10" s="25" t="n"/>
      <c r="C10" s="136" t="inlineStr">
        <is>
          <t>OOS</t>
        </is>
      </c>
      <c r="D10" s="111" t="n">
        <v>25590000</v>
      </c>
      <c r="E10" s="113" t="inlineStr">
        <is>
          <t>OOS</t>
        </is>
      </c>
      <c r="F10" s="133" t="n">
        <v>26590000</v>
      </c>
      <c r="G10" s="113" t="inlineStr">
        <is>
          <t>OOS</t>
        </is>
      </c>
      <c r="H10" s="154" t="n"/>
      <c r="M10" s="149">
        <f>IFERROR(C10-W12Q2FY26!C10,"OOS")</f>
        <v/>
      </c>
      <c r="N10" s="147">
        <f>IF(M10=0,"",$A10 &amp; IF(M10&gt;0," tăng "," giảm ") &amp; TEXT(ABS(M10)/1000,"0") &amp; "K = " &amp; TEXT(C10/1000,"#.##0") &amp; "K")</f>
        <v/>
      </c>
      <c r="O10" s="150">
        <f>IFERROR(D10-W12Q2FY26!D10,"OOS")</f>
        <v/>
      </c>
      <c r="P10" s="147">
        <f>IF(O10=0,"",$A10 &amp; IF(O10&gt;0," tăng "," giảm ") &amp; TEXT(ABS(O10)/1000,"0") &amp; "K = " &amp; TEXT(D10/1000,"#.##0") &amp; "K")</f>
        <v/>
      </c>
      <c r="Q10" s="150">
        <f>IFERROR(E10-W12Q2FY26!E10,"OOS")</f>
        <v/>
      </c>
      <c r="R10" s="147">
        <f>IF(Q10=0,"",$A10 &amp; IF(Q10&gt;0," tăng "," giảm ") &amp; TEXT(ABS(Q10)/1000,"0") &amp; "K = " &amp; TEXT(E10/1000,"#.##0") &amp; "K")</f>
        <v/>
      </c>
      <c r="S10" s="150">
        <f>IFERROR(F10-W12Q2FY26!F10,"OOS")</f>
        <v/>
      </c>
      <c r="T10" s="147">
        <f>IF(S10=0,"",$A10 &amp; IF(S10&gt;0," tăng "," giảm ") &amp; TEXT(ABS(S10)/1000,"0") &amp; "K = " &amp; TEXT(F10/1000,"#.##0") &amp; "K")</f>
        <v/>
      </c>
      <c r="U10" s="150">
        <f>IFERROR(G10-W12Q2FY26!G10,"OOS")</f>
        <v/>
      </c>
      <c r="V10" s="147">
        <f>IF(U10=0,"",$A10 &amp; IF(U10&gt;0," tăng "," giảm ") &amp; TEXT(ABS(U10)/1000,"0") &amp; "K = " &amp; TEXT(G10/1000,"#.##0") &amp; "K")</f>
        <v/>
      </c>
    </row>
    <row r="11">
      <c r="A11" t="inlineStr">
        <is>
          <t>iPhone 16 Pro Max 256GB</t>
        </is>
      </c>
      <c r="B11" s="3" t="n"/>
      <c r="C11" s="141" t="n">
        <v>31990000</v>
      </c>
      <c r="D11" s="113" t="inlineStr">
        <is>
          <t>OOS</t>
        </is>
      </c>
      <c r="E11" s="113" t="inlineStr">
        <is>
          <t>OOS</t>
        </is>
      </c>
      <c r="F11" s="134" t="n">
        <v>30990000</v>
      </c>
      <c r="G11" s="113" t="inlineStr">
        <is>
          <t>OOS</t>
        </is>
      </c>
      <c r="H11" s="154" t="n"/>
      <c r="M11" s="149">
        <f>IFERROR(C11-W12Q2FY26!C11,"OOS")</f>
        <v/>
      </c>
      <c r="N11" s="147">
        <f>IF(M11=0,"",$A11 &amp; IF(M11&gt;0," tăng "," giảm ") &amp; TEXT(ABS(M11)/1000,"0") &amp; "K = " &amp; TEXT(C11/1000,"#.##0") &amp; "K")</f>
        <v/>
      </c>
      <c r="O11" s="150">
        <f>IFERROR(D11-W12Q2FY26!D11,"OOS")</f>
        <v/>
      </c>
      <c r="P11" s="147">
        <f>IF(O11=0,"",$A11 &amp; IF(O11&gt;0," tăng "," giảm ") &amp; TEXT(ABS(O11)/1000,"0") &amp; "K = " &amp; TEXT(D11/1000,"#.##0") &amp; "K")</f>
        <v/>
      </c>
      <c r="Q11" s="150">
        <f>IFERROR(E11-W12Q2FY26!E11,"OOS")</f>
        <v/>
      </c>
      <c r="R11" s="147">
        <f>IF(Q11=0,"",$A11 &amp; IF(Q11&gt;0," tăng "," giảm ") &amp; TEXT(ABS(Q11)/1000,"0") &amp; "K = " &amp; TEXT(E11/1000,"#.##0") &amp; "K")</f>
        <v/>
      </c>
      <c r="S11" s="150">
        <f>IFERROR(F11-W12Q2FY26!F11,"OOS")</f>
        <v/>
      </c>
      <c r="T11" s="147">
        <f>IF(S11=0,"",$A11 &amp; IF(S11&gt;0," tăng "," giảm ") &amp; TEXT(ABS(S11)/1000,"0") &amp; "K = " &amp; TEXT(F11/1000,"#.##0") &amp; "K")</f>
        <v/>
      </c>
      <c r="U11" s="150">
        <f>IFERROR(G11-W12Q2FY26!G11,"OOS")</f>
        <v/>
      </c>
      <c r="V11" s="147">
        <f>IF(U11=0,"",$A11 &amp; IF(U11&gt;0," tăng "," giảm ") &amp; TEXT(ABS(U11)/1000,"0") &amp; "K = " &amp; TEXT(G11/1000,"#.##0") &amp; "K")</f>
        <v/>
      </c>
    </row>
    <row r="12">
      <c r="A12" t="inlineStr">
        <is>
          <t>iPhone 15  128GB</t>
        </is>
      </c>
      <c r="B12" s="25" t="n"/>
      <c r="C12" s="136" t="n">
        <v>17990000</v>
      </c>
      <c r="D12" s="136" t="n">
        <v>17990000</v>
      </c>
      <c r="E12" s="155" t="n">
        <v>17490000</v>
      </c>
      <c r="F12" s="133" t="n">
        <v>17990000</v>
      </c>
      <c r="G12" s="112" t="n">
        <v>17690000</v>
      </c>
      <c r="H12" s="154" t="n"/>
      <c r="M12" s="149">
        <f>IFERROR(C12-W12Q2FY26!C12,"OOS")</f>
        <v/>
      </c>
      <c r="N12" s="147">
        <f>IF(M12=0,"",$A12 &amp; IF(M12&gt;0," tăng "," giảm ") &amp; TEXT(ABS(M12)/1000,"0") &amp; "K = " &amp; TEXT(C12/1000,"#.##0") &amp; "K")</f>
        <v/>
      </c>
      <c r="O12" s="150">
        <f>IFERROR(D12-W12Q2FY26!D12,"OOS")</f>
        <v/>
      </c>
      <c r="P12" s="147">
        <f>IF(O12=0,"",$A12 &amp; IF(O12&gt;0," tăng "," giảm ") &amp; TEXT(ABS(O12)/1000,"0") &amp; "K = " &amp; TEXT(D12/1000,"#.##0") &amp; "K")</f>
        <v/>
      </c>
      <c r="Q12" s="150">
        <f>IFERROR(E12-W12Q2FY26!E12,"OOS")</f>
        <v/>
      </c>
      <c r="R12" s="147">
        <f>IF(Q12=0,"",$A12 &amp; IF(Q12&gt;0," tăng "," giảm ") &amp; TEXT(ABS(Q12)/1000,"0") &amp; "K = " &amp; TEXT(E12/1000,"#.##0") &amp; "K")</f>
        <v/>
      </c>
      <c r="S12" s="150">
        <f>IFERROR(F12-W12Q2FY26!F12,"OOS")</f>
        <v/>
      </c>
      <c r="T12" s="147">
        <f>IF(S12=0,"",$A12 &amp; IF(S12&gt;0," tăng "," giảm ") &amp; TEXT(ABS(S12)/1000,"0") &amp; "K = " &amp; TEXT(F12/1000,"#.##0") &amp; "K")</f>
        <v/>
      </c>
      <c r="U12" s="150">
        <f>IFERROR(G12-W12Q2FY26!G12,"OOS")</f>
        <v/>
      </c>
      <c r="V12" s="147">
        <f>IF(U12=0,"",$A12 &amp; IF(U12&gt;0," tăng "," giảm ") &amp; TEXT(ABS(U12)/1000,"0") &amp; "K = " &amp; TEXT(G12/1000,"#.##0") &amp; "K")</f>
        <v/>
      </c>
    </row>
    <row r="13">
      <c r="A13" t="inlineStr">
        <is>
          <t>iPhone 15  Plus 128GB</t>
        </is>
      </c>
      <c r="B13" s="25" t="n"/>
      <c r="C13" s="136" t="n">
        <v>18990000</v>
      </c>
      <c r="D13" s="136" t="inlineStr">
        <is>
          <t>OOS</t>
        </is>
      </c>
      <c r="E13" s="131" t="inlineStr">
        <is>
          <t>OOS</t>
        </is>
      </c>
      <c r="F13" s="133" t="n">
        <v>17690000</v>
      </c>
      <c r="G13" s="111" t="inlineStr">
        <is>
          <t>OOS</t>
        </is>
      </c>
      <c r="H13" s="154" t="n"/>
      <c r="M13" s="149">
        <f>IFERROR(C13-W12Q2FY26!C13,"OOS")</f>
        <v/>
      </c>
      <c r="N13" s="147">
        <f>IF(M13=0,"",$A13 &amp; IF(M13&gt;0," tăng "," giảm ") &amp; TEXT(ABS(M13)/1000,"0") &amp; "K = " &amp; TEXT(C13/1000,"#.##0") &amp; "K")</f>
        <v/>
      </c>
      <c r="O13" s="150">
        <f>IFERROR(D13-W12Q2FY26!D13,"OOS")</f>
        <v/>
      </c>
      <c r="P13" s="147">
        <f>IF(O13=0,"",$A13 &amp; IF(O13&gt;0," tăng "," giảm ") &amp; TEXT(ABS(O13)/1000,"0") &amp; "K = " &amp; TEXT(D13/1000,"#.##0") &amp; "K")</f>
        <v/>
      </c>
      <c r="Q13" s="150">
        <f>IFERROR(E13-W12Q2FY26!E13,"OOS")</f>
        <v/>
      </c>
      <c r="R13" s="147">
        <f>IF(Q13=0,"",$A13 &amp; IF(Q13&gt;0," tăng "," giảm ") &amp; TEXT(ABS(Q13)/1000,"0") &amp; "K = " &amp; TEXT(E13/1000,"#.##0") &amp; "K")</f>
        <v/>
      </c>
      <c r="S13" s="150">
        <f>IFERROR(F13-W12Q2FY26!F13,"OOS")</f>
        <v/>
      </c>
      <c r="T13" s="147">
        <f>IF(S13=0,"",$A13 &amp; IF(S13&gt;0," tăng "," giảm ") &amp; TEXT(ABS(S13)/1000,"0") &amp; "K = " &amp; TEXT(F13/1000,"#.##0") &amp; "K")</f>
        <v/>
      </c>
      <c r="U13" s="150">
        <f>IFERROR(G13-W12Q2FY26!G13,"OOS")</f>
        <v/>
      </c>
      <c r="V13" s="147">
        <f>IF(U13=0,"",$A13 &amp; IF(U13&gt;0," tăng "," giảm ") &amp; TEXT(ABS(U13)/1000,"0") &amp; "K = " &amp; TEXT(G13/1000,"#.##0") &amp; "K")</f>
        <v/>
      </c>
    </row>
    <row r="14">
      <c r="A14" t="inlineStr">
        <is>
          <t>iPhone 14 128GB</t>
        </is>
      </c>
      <c r="B14" s="25" t="n"/>
      <c r="C14" s="136" t="n">
        <v>13990000</v>
      </c>
      <c r="D14" s="136" t="n">
        <v>13990000</v>
      </c>
      <c r="E14" s="131" t="n">
        <v>13590000</v>
      </c>
      <c r="F14" s="133" t="n">
        <v>13990000</v>
      </c>
      <c r="G14" s="112" t="n">
        <v>12990000</v>
      </c>
      <c r="H14" s="154" t="n"/>
      <c r="M14" s="149">
        <f>IFERROR(C14-W12Q2FY26!C14,"OOS")</f>
        <v/>
      </c>
      <c r="N14" s="147">
        <f>IF(M14=0,"",$A14 &amp; IF(M14&gt;0," tăng "," giảm ") &amp; TEXT(ABS(M14)/1000,"0") &amp; "K = " &amp; TEXT(C14/1000,"#.##0") &amp; "K")</f>
        <v/>
      </c>
      <c r="O14" s="150">
        <f>IFERROR(D14-W12Q2FY26!D14,"OOS")</f>
        <v/>
      </c>
      <c r="P14" s="147">
        <f>IF(O14=0,"",$A14 &amp; IF(O14&gt;0," tăng "," giảm ") &amp; TEXT(ABS(O14)/1000,"0") &amp; "K = " &amp; TEXT(D14/1000,"#.##0") &amp; "K")</f>
        <v/>
      </c>
      <c r="Q14" s="150">
        <f>IFERROR(E14-W12Q2FY26!E14,"OOS")</f>
        <v/>
      </c>
      <c r="R14" s="147">
        <f>IF(Q14=0,"",$A14 &amp; IF(Q14&gt;0," tăng "," giảm ") &amp; TEXT(ABS(Q14)/1000,"0") &amp; "K = " &amp; TEXT(E14/1000,"#.##0") &amp; "K")</f>
        <v/>
      </c>
      <c r="S14" s="150">
        <f>IFERROR(F14-W12Q2FY26!F14,"OOS")</f>
        <v/>
      </c>
      <c r="T14" s="147">
        <f>IF(S14=0,"",$A14 &amp; IF(S14&gt;0," tăng "," giảm ") &amp; TEXT(ABS(S14)/1000,"0") &amp; "K = " &amp; TEXT(F14/1000,"#.##0") &amp; "K")</f>
        <v/>
      </c>
      <c r="U14" s="150">
        <f>IFERROR(G14-W12Q2FY26!G14,"OOS")</f>
        <v/>
      </c>
      <c r="V14" s="147">
        <f>IF(U14=0,"",$A14 &amp; IF(U14&gt;0," tăng "," giảm ") &amp; TEXT(ABS(U14)/1000,"0") &amp; "K = " &amp; TEXT(G14/1000,"#.##0") &amp; "K")</f>
        <v/>
      </c>
    </row>
    <row r="15">
      <c r="A15" t="inlineStr">
        <is>
          <t>iPhone 13  128GB</t>
        </is>
      </c>
      <c r="B15" s="3" t="n"/>
      <c r="C15" s="136" t="n">
        <v>11990000</v>
      </c>
      <c r="D15" s="136" t="n">
        <v>11990000</v>
      </c>
      <c r="E15" s="140" t="n">
        <v>11990000</v>
      </c>
      <c r="F15" s="134" t="n">
        <v>11790000</v>
      </c>
      <c r="G15" s="111" t="n">
        <v>11890000</v>
      </c>
      <c r="H15" s="154" t="n"/>
      <c r="M15" s="149">
        <f>IFERROR(C15-W12Q2FY26!C15,"OOS")</f>
        <v/>
      </c>
      <c r="N15" s="147">
        <f>IF(M15=0,"",$A15 &amp; IF(M15&gt;0," tăng "," giảm ") &amp; TEXT(ABS(M15)/1000,"0") &amp; "K = " &amp; TEXT(C15/1000,"#.##0") &amp; "K")</f>
        <v/>
      </c>
      <c r="O15" s="150">
        <f>IFERROR(D15-W12Q2FY26!D15,"OOS")</f>
        <v/>
      </c>
      <c r="P15" s="147">
        <f>IF(O15=0,"",$A15 &amp; IF(O15&gt;0," tăng "," giảm ") &amp; TEXT(ABS(O15)/1000,"0") &amp; "K = " &amp; TEXT(D15/1000,"#.##0") &amp; "K")</f>
        <v/>
      </c>
      <c r="Q15" s="150">
        <f>IFERROR(E15-W12Q2FY26!E15,"OOS")</f>
        <v/>
      </c>
      <c r="R15" s="147">
        <f>IF(Q15=0,"",$A15 &amp; IF(Q15&gt;0," tăng "," giảm ") &amp; TEXT(ABS(Q15)/1000,"0") &amp; "K = " &amp; TEXT(E15/1000,"#.##0") &amp; "K")</f>
        <v/>
      </c>
      <c r="S15" s="150">
        <f>IFERROR(F15-W12Q2FY26!F15,"OOS")</f>
        <v/>
      </c>
      <c r="T15" s="147">
        <f>IF(S15=0,"",$A15 &amp; IF(S15&gt;0," tăng "," giảm ") &amp; TEXT(ABS(S15)/1000,"0") &amp; "K = " &amp; TEXT(F15/1000,"#.##0") &amp; "K")</f>
        <v/>
      </c>
      <c r="U15" s="150">
        <f>IFERROR(G15-W12Q2FY26!G15,"OOS")</f>
        <v/>
      </c>
      <c r="V15" s="147">
        <f>IF(U15=0,"",$A15 &amp; IF(U15&gt;0," tăng "," giảm ") &amp; TEXT(ABS(U15)/1000,"0") &amp; "K = " &amp; TEXT(G15/1000,"#.##0") &amp; "K")</f>
        <v/>
      </c>
    </row>
    <row r="16">
      <c r="A16" t="inlineStr">
        <is>
          <t>iPad Mini 7 128GB Wifi</t>
        </is>
      </c>
      <c r="B16" s="25" t="n"/>
      <c r="C16" s="136" t="n">
        <v>13590000</v>
      </c>
      <c r="D16" s="136" t="n">
        <v>13490000</v>
      </c>
      <c r="E16" s="140" t="n">
        <v>13290000</v>
      </c>
      <c r="F16" s="134" t="n">
        <v>13590000</v>
      </c>
      <c r="G16" s="112" t="n">
        <v>13390000</v>
      </c>
      <c r="H16" s="154" t="n"/>
      <c r="M16" s="149">
        <f>IFERROR(C16-W12Q2FY26!C16,"OOS")</f>
        <v/>
      </c>
      <c r="N16" s="147">
        <f>IF(M16=0,"",$A16 &amp; IF(M16&gt;0," tăng "," giảm ") &amp; TEXT(ABS(M16)/1000,"0") &amp; "K = " &amp; TEXT(C16/1000,"#.##0") &amp; "K")</f>
        <v/>
      </c>
      <c r="O16" s="150">
        <f>IFERROR(D16-W12Q2FY26!D16,"OOS")</f>
        <v/>
      </c>
      <c r="P16" s="147">
        <f>IF(O16=0,"",$A16 &amp; IF(O16&gt;0," tăng "," giảm ") &amp; TEXT(ABS(O16)/1000,"0") &amp; "K = " &amp; TEXT(D16/1000,"#.##0") &amp; "K")</f>
        <v/>
      </c>
      <c r="Q16" s="150">
        <f>IFERROR(E16-W12Q2FY26!E16,"OOS")</f>
        <v/>
      </c>
      <c r="R16" s="147">
        <f>IF(Q16=0,"",$A16 &amp; IF(Q16&gt;0," tăng "," giảm ") &amp; TEXT(ABS(Q16)/1000,"0") &amp; "K = " &amp; TEXT(E16/1000,"#.##0") &amp; "K")</f>
        <v/>
      </c>
      <c r="S16" s="150">
        <f>IFERROR(F16-W12Q2FY26!F16,"OOS")</f>
        <v/>
      </c>
      <c r="T16" s="147">
        <f>IF(S16=0,"",$A16 &amp; IF(S16&gt;0," tăng "," giảm ") &amp; TEXT(ABS(S16)/1000,"0") &amp; "K = " &amp; TEXT(F16/1000,"#.##0") &amp; "K")</f>
        <v/>
      </c>
      <c r="U16" s="150">
        <f>IFERROR(G16-W12Q2FY26!G16,"OOS")</f>
        <v/>
      </c>
      <c r="V16" s="147">
        <f>IF(U16=0,"",$A16 &amp; IF(U16&gt;0," tăng "," giảm ") &amp; TEXT(ABS(U16)/1000,"0") &amp; "K = " &amp; TEXT(G16/1000,"#.##0") &amp; "K")</f>
        <v/>
      </c>
    </row>
    <row r="17">
      <c r="A17" t="inlineStr">
        <is>
          <t>iPad Gen 11th  128GB Wifi</t>
        </is>
      </c>
      <c r="B17" s="3" t="n"/>
      <c r="C17" s="136" t="n">
        <v>9490000</v>
      </c>
      <c r="D17" s="136" t="n">
        <v>9490000</v>
      </c>
      <c r="E17" s="155" t="n">
        <v>9190000</v>
      </c>
      <c r="F17" s="133" t="n">
        <v>9490000</v>
      </c>
      <c r="G17" s="111" t="n">
        <v>8990000</v>
      </c>
      <c r="H17" s="154" t="n"/>
      <c r="M17" s="149">
        <f>IFERROR(C17-W12Q2FY26!C17,"OOS")</f>
        <v/>
      </c>
      <c r="N17" s="147">
        <f>IF(M17=0,"",$A17 &amp; IF(M17&gt;0," tăng "," giảm ") &amp; TEXT(ABS(M17)/1000,"0") &amp; "K = " &amp; TEXT(C17/1000,"#.##0") &amp; "K")</f>
        <v/>
      </c>
      <c r="O17" s="150">
        <f>IFERROR(D17-W12Q2FY26!D17,"OOS")</f>
        <v/>
      </c>
      <c r="P17" s="147">
        <f>IF(O17=0,"",$A17 &amp; IF(O17&gt;0," tăng "," giảm ") &amp; TEXT(ABS(O17)/1000,"0") &amp; "K = " &amp; TEXT(D17/1000,"#.##0") &amp; "K")</f>
        <v/>
      </c>
      <c r="Q17" s="150">
        <f>IFERROR(E17-W12Q2FY26!E17,"OOS")</f>
        <v/>
      </c>
      <c r="R17" s="147">
        <f>IF(Q17=0,"",$A17 &amp; IF(Q17&gt;0," tăng "," giảm ") &amp; TEXT(ABS(Q17)/1000,"0") &amp; "K = " &amp; TEXT(E17/1000,"#.##0") &amp; "K")</f>
        <v/>
      </c>
      <c r="S17" s="150">
        <f>IFERROR(F17-W12Q2FY26!F17,"OOS")</f>
        <v/>
      </c>
      <c r="T17" s="147">
        <f>IF(S17=0,"",$A17 &amp; IF(S17&gt;0," tăng "," giảm ") &amp; TEXT(ABS(S17)/1000,"0") &amp; "K = " &amp; TEXT(F17/1000,"#.##0") &amp; "K")</f>
        <v/>
      </c>
      <c r="U17" s="150">
        <f>IFERROR(G17-W12Q2FY26!G17,"OOS")</f>
        <v/>
      </c>
      <c r="V17" s="147">
        <f>IF(U17=0,"",$A17 &amp; IF(U17&gt;0," tăng "," giảm ") &amp; TEXT(ABS(U17)/1000,"0") &amp; "K = " &amp; TEXT(G17/1000,"#.##0") &amp; "K")</f>
        <v/>
      </c>
      <c r="W17" t="inlineStr">
        <is>
          <t xml:space="preserve">MW </t>
        </is>
      </c>
      <c r="X17" t="inlineStr">
        <is>
          <t>Hải</t>
        </is>
      </c>
      <c r="Y17" t="b">
        <v>1</v>
      </c>
    </row>
    <row r="18">
      <c r="A18" t="inlineStr">
        <is>
          <t>iPad Air M3  11" 128 GB Wifi</t>
        </is>
      </c>
      <c r="B18" s="3" t="n"/>
      <c r="C18" s="136" t="n">
        <v>16690000</v>
      </c>
      <c r="D18" s="141" t="n">
        <v>15490000</v>
      </c>
      <c r="E18" s="155" t="inlineStr">
        <is>
          <t>OOS</t>
        </is>
      </c>
      <c r="F18" s="133" t="n">
        <v>15790000</v>
      </c>
      <c r="G18" s="111" t="n">
        <v>16690000</v>
      </c>
      <c r="H18" s="154" t="n"/>
      <c r="M18" s="149">
        <f>IFERROR(C18-W12Q2FY26!C18,"OOS")</f>
        <v/>
      </c>
      <c r="N18" s="147">
        <f>IF(M18=0,"",$A18 &amp; IF(M18&gt;0," tăng "," giảm ") &amp; TEXT(ABS(M18)/1000,"0") &amp; "K = " &amp; TEXT(C18/1000,"#.##0") &amp; "K")</f>
        <v/>
      </c>
      <c r="O18" s="150">
        <f>IFERROR(D18-W12Q2FY26!D18,"OOS")</f>
        <v/>
      </c>
      <c r="P18" s="147">
        <f>IF(O18=0,"",$A18 &amp; IF(O18&gt;0," tăng "," giảm ") &amp; TEXT(ABS(O18)/1000,"0") &amp; "K = " &amp; TEXT(D18/1000,"#.##0") &amp; "K")</f>
        <v/>
      </c>
      <c r="Q18" s="150">
        <f>IFERROR(E18-W12Q2FY26!E18,"OOS")</f>
        <v/>
      </c>
      <c r="R18" s="147">
        <f>IF(Q18=0,"",$A18 &amp; IF(Q18&gt;0," tăng "," giảm ") &amp; TEXT(ABS(Q18)/1000,"0") &amp; "K = " &amp; TEXT(E18/1000,"#.##0") &amp; "K")</f>
        <v/>
      </c>
      <c r="S18" s="150">
        <f>IFERROR(F18-W12Q2FY26!F18,"OOS")</f>
        <v/>
      </c>
      <c r="T18" s="147">
        <f>IF(S18=0,"",$A18 &amp; IF(S18&gt;0," tăng "," giảm ") &amp; TEXT(ABS(S18)/1000,"0") &amp; "K = " &amp; TEXT(F18/1000,"#.##0") &amp; "K")</f>
        <v/>
      </c>
      <c r="U18" s="150">
        <f>IFERROR(G18-W12Q2FY26!G18,"OOS")</f>
        <v/>
      </c>
      <c r="V18" s="147">
        <f>IF(U18=0,"",$A18 &amp; IF(U18&gt;0," tăng "," giảm ") &amp; TEXT(ABS(U18)/1000,"0") &amp; "K = " &amp; TEXT(G18/1000,"#.##0") &amp; "K")</f>
        <v/>
      </c>
      <c r="W18" t="inlineStr">
        <is>
          <t>FPT</t>
        </is>
      </c>
      <c r="X18" t="inlineStr">
        <is>
          <t>Trang</t>
        </is>
      </c>
      <c r="Y18" t="b">
        <v>1</v>
      </c>
    </row>
    <row r="19">
      <c r="A19" t="inlineStr">
        <is>
          <t>iPad Air M3  13" 128 GB Wifi</t>
        </is>
      </c>
      <c r="B19" s="25" t="n"/>
      <c r="C19" s="136" t="n">
        <v>22090000</v>
      </c>
      <c r="D19" s="136" t="n">
        <v>19990000</v>
      </c>
      <c r="E19" s="155" t="inlineStr">
        <is>
          <t>OOS</t>
        </is>
      </c>
      <c r="F19" s="133" t="n">
        <v>18990000</v>
      </c>
      <c r="G19" s="111" t="n">
        <v>22089000</v>
      </c>
      <c r="H19" s="154" t="n"/>
      <c r="M19" s="149">
        <f>IFERROR(C19-W12Q2FY26!C19,"OOS")</f>
        <v/>
      </c>
      <c r="N19" s="147">
        <f>IF(M19=0,"",$A19 &amp; IF(M19&gt;0," tăng "," giảm ") &amp; TEXT(ABS(M19)/1000,"0") &amp; "K = " &amp; TEXT(C19/1000,"#.##0") &amp; "K")</f>
        <v/>
      </c>
      <c r="O19" s="150">
        <f>IFERROR(D19-W12Q2FY26!D19,"OOS")</f>
        <v/>
      </c>
      <c r="P19" s="147">
        <f>IF(O19=0,"",$A19 &amp; IF(O19&gt;0," tăng "," giảm ") &amp; TEXT(ABS(O19)/1000,"0") &amp; "K = " &amp; TEXT(D19/1000,"#.##0") &amp; "K")</f>
        <v/>
      </c>
      <c r="Q19" s="150">
        <f>IFERROR(E19-W12Q2FY26!E19,"OOS")</f>
        <v/>
      </c>
      <c r="R19" s="147">
        <f>IF(Q19=0,"",$A19 &amp; IF(Q19&gt;0," tăng "," giảm ") &amp; TEXT(ABS(Q19)/1000,"0") &amp; "K = " &amp; TEXT(E19/1000,"#.##0") &amp; "K")</f>
        <v/>
      </c>
      <c r="S19" s="150">
        <f>IFERROR(F19-W12Q2FY26!F19,"OOS")</f>
        <v/>
      </c>
      <c r="T19" s="147">
        <f>IF(S19=0,"",$A19 &amp; IF(S19&gt;0," tăng "," giảm ") &amp; TEXT(ABS(S19)/1000,"0") &amp; "K = " &amp; TEXT(F19/1000,"#.##0") &amp; "K")</f>
        <v/>
      </c>
      <c r="U19" s="150">
        <f>IFERROR(G19-W12Q2FY26!G19,"OOS")</f>
        <v/>
      </c>
      <c r="V19" s="147">
        <f>IF(U19=0,"",$A19 &amp; IF(U19&gt;0," tăng "," giảm ") &amp; TEXT(ABS(U19)/1000,"0") &amp; "K = " &amp; TEXT(G19/1000,"#.##0") &amp; "K")</f>
        <v/>
      </c>
      <c r="W19" t="inlineStr">
        <is>
          <t>Viettel</t>
        </is>
      </c>
      <c r="X19" t="inlineStr">
        <is>
          <t>Nghĩa</t>
        </is>
      </c>
      <c r="Y19" t="b">
        <v>1</v>
      </c>
    </row>
    <row r="20">
      <c r="A20" t="inlineStr">
        <is>
          <t>iPad Pro M5 11” 256GB Wifi</t>
        </is>
      </c>
      <c r="B20" s="3" t="n"/>
      <c r="C20" s="136" t="n">
        <v>29290000</v>
      </c>
      <c r="D20" s="136" t="n">
        <v>28990000</v>
      </c>
      <c r="E20" s="124" t="n">
        <v>28990000</v>
      </c>
      <c r="F20" s="133" t="n">
        <v>29390000</v>
      </c>
      <c r="G20" s="113" t="n">
        <v>28990000</v>
      </c>
      <c r="H20" s="154" t="n"/>
      <c r="M20" s="149">
        <f>IFERROR(C20-W12Q2FY26!C22,"OOS")</f>
        <v/>
      </c>
      <c r="N20" s="147">
        <f>IF(M20=0,"",$A20 &amp; IF(M20&gt;0," tăng "," giảm ") &amp; TEXT(ABS(M20)/1000,"0") &amp; "K = " &amp; TEXT(C20/1000,"#.##0") &amp; "K")</f>
        <v/>
      </c>
      <c r="O20" s="150">
        <f>IFERROR(D20-W12Q2FY26!D22,"OOS")</f>
        <v/>
      </c>
      <c r="P20" s="147">
        <f>IF(O20=0,"",$A20 &amp; IF(O20&gt;0," tăng "," giảm ") &amp; TEXT(ABS(O20)/1000,"0") &amp; "K = " &amp; TEXT(D20/1000,"#.##0") &amp; "K")</f>
        <v/>
      </c>
      <c r="Q20" s="150">
        <f>IFERROR(E20-W12Q2FY26!E22,"OOS")</f>
        <v/>
      </c>
      <c r="R20" s="147">
        <f>IF(Q20=0,"",$A20 &amp; IF(Q20&gt;0," tăng "," giảm ") &amp; TEXT(ABS(Q20)/1000,"0") &amp; "K = " &amp; TEXT(E20/1000,"#.##0") &amp; "K")</f>
        <v/>
      </c>
      <c r="S20" s="150">
        <f>IFERROR(F20-W12Q2FY26!F22,"OOS")</f>
        <v/>
      </c>
      <c r="T20" s="147">
        <f>IF(S20=0,"",$A20 &amp; IF(S20&gt;0," tăng "," giảm ") &amp; TEXT(ABS(S20)/1000,"0") &amp; "K = " &amp; TEXT(F20/1000,"#.##0") &amp; "K")</f>
        <v/>
      </c>
      <c r="U20" s="150">
        <f>IFERROR(G20-W12Q2FY26!G22,"OOS")</f>
        <v/>
      </c>
      <c r="V20" s="147">
        <f>IF(U20=0,"",$A20 &amp; IF(U20&gt;0," tăng "," giảm ") &amp; TEXT(ABS(U20)/1000,"0") &amp; "K = " &amp; TEXT(G20/1000,"#.##0") &amp; "K")</f>
        <v/>
      </c>
      <c r="W20" t="inlineStr">
        <is>
          <t>CPS</t>
        </is>
      </c>
      <c r="X20" t="inlineStr">
        <is>
          <t>Duy</t>
        </is>
      </c>
      <c r="Y20" t="b">
        <v>1</v>
      </c>
    </row>
    <row r="21">
      <c r="A21" t="inlineStr">
        <is>
          <t>iPad Pro M5 13” 256GB Wifi</t>
        </is>
      </c>
      <c r="B21" s="3" t="n"/>
      <c r="C21" s="136" t="n">
        <v>39290000</v>
      </c>
      <c r="D21" s="142" t="n">
        <v>38990000</v>
      </c>
      <c r="E21" s="113" t="n">
        <v>38990000</v>
      </c>
      <c r="F21" s="133" t="n">
        <v>38990000</v>
      </c>
      <c r="G21" s="113" t="n">
        <v>38990000</v>
      </c>
      <c r="H21" s="154" t="n"/>
      <c r="M21" s="149">
        <f>IFERROR(C21-W12Q2FY26!C23,"OOS")</f>
        <v/>
      </c>
      <c r="N21" s="147">
        <f>IF(M21=0,"",$A21 &amp; IF(M21&gt;0," tăng "," giảm ") &amp; TEXT(ABS(M21)/1000,"0") &amp; "K = " &amp; TEXT(C21/1000,"#.##0") &amp; "K")</f>
        <v/>
      </c>
      <c r="O21" s="150">
        <f>IFERROR(D21-W12Q2FY26!D23,"OOS")</f>
        <v/>
      </c>
      <c r="P21" s="147">
        <f>IF(O21=0,"",$A21 &amp; IF(O21&gt;0," tăng "," giảm ") &amp; TEXT(ABS(O21)/1000,"0") &amp; "K = " &amp; TEXT(D21/1000,"#.##0") &amp; "K")</f>
        <v/>
      </c>
      <c r="Q21" s="150">
        <f>IFERROR(E21-W12Q2FY26!E23,"OOS")</f>
        <v/>
      </c>
      <c r="R21" s="147">
        <f>IF(Q21=0,"",$A21 &amp; IF(Q21&gt;0," tăng "," giảm ") &amp; TEXT(ABS(Q21)/1000,"0") &amp; "K = " &amp; TEXT(E21/1000,"#.##0") &amp; "K")</f>
        <v/>
      </c>
      <c r="S21" s="150">
        <f>IFERROR(F21-W12Q2FY26!F23,"OOS")</f>
        <v/>
      </c>
      <c r="T21" s="147">
        <f>IF(S21=0,"",$A21 &amp; IF(S21&gt;0," tăng "," giảm ") &amp; TEXT(ABS(S21)/1000,"0") &amp; "K = " &amp; TEXT(F21/1000,"#.##0") &amp; "K")</f>
        <v/>
      </c>
      <c r="U21" s="150">
        <f>IFERROR(G21-W12Q2FY26!G23,"OOS")</f>
        <v/>
      </c>
      <c r="V21" s="147">
        <f>IF(U21=0,"",$A21 &amp; IF(U21&gt;0," tăng "," giảm ") &amp; TEXT(ABS(U21)/1000,"0") &amp; "K = " &amp; TEXT(G21/1000,"#.##0") &amp; "K")</f>
        <v/>
      </c>
      <c r="W21" t="inlineStr">
        <is>
          <t>ShopDunk</t>
        </is>
      </c>
      <c r="X21" t="inlineStr">
        <is>
          <t>Đạt</t>
        </is>
      </c>
      <c r="Y21" t="b">
        <v>1</v>
      </c>
    </row>
    <row r="22">
      <c r="A22" t="inlineStr">
        <is>
          <t>AW SE 3 (40mm GPS)</t>
        </is>
      </c>
      <c r="B22" s="25" t="n"/>
      <c r="C22" s="136" t="n">
        <v>6790000</v>
      </c>
      <c r="D22" s="136" t="n">
        <v>6790000</v>
      </c>
      <c r="E22" s="140" t="n">
        <v>5990000</v>
      </c>
      <c r="F22" s="133" t="n">
        <v>6790000</v>
      </c>
      <c r="G22" s="124" t="n">
        <v>6690000</v>
      </c>
      <c r="H22" s="154" t="n"/>
      <c r="M22" s="149">
        <f>IFERROR(C22-W12Q2FY26!C24,"OOS")</f>
        <v/>
      </c>
      <c r="N22" s="147">
        <f>IF(M22=0,"",$A22 &amp; IF(M22&gt;0," tăng "," giảm ") &amp; TEXT(ABS(M22)/1000,"0") &amp; "K = " &amp; TEXT(C22/1000,"#.##0") &amp; "K")</f>
        <v/>
      </c>
      <c r="O22" s="150">
        <f>IFERROR(D22-W12Q2FY26!D24,"OOS")</f>
        <v/>
      </c>
      <c r="P22" s="147">
        <f>IF(O22=0,"",$A22 &amp; IF(O22&gt;0," tăng "," giảm ") &amp; TEXT(ABS(O22)/1000,"0") &amp; "K = " &amp; TEXT(D22/1000,"#.##0") &amp; "K")</f>
        <v/>
      </c>
      <c r="Q22" s="150">
        <f>IFERROR(E22-W12Q2FY26!E24,"OOS")</f>
        <v/>
      </c>
      <c r="R22" s="147">
        <f>IF(Q22=0,"",$A22 &amp; IF(Q22&gt;0," tăng "," giảm ") &amp; TEXT(ABS(Q22)/1000,"0") &amp; "K = " &amp; TEXT(E22/1000,"#.##0") &amp; "K")</f>
        <v/>
      </c>
      <c r="S22" s="150">
        <f>IFERROR(F22-W12Q2FY26!F24,"OOS")</f>
        <v/>
      </c>
      <c r="T22" s="147">
        <f>IF(S22=0,"",$A22 &amp; IF(S22&gt;0," tăng "," giảm ") &amp; TEXT(ABS(S22)/1000,"0") &amp; "K = " &amp; TEXT(F22/1000,"#.##0") &amp; "K")</f>
        <v/>
      </c>
      <c r="U22" s="150">
        <f>IFERROR(G22-W12Q2FY26!G24,"OOS")</f>
        <v/>
      </c>
      <c r="V22" s="147">
        <f>IF(U22=0,"",$A22 &amp; IF(U22&gt;0," tăng "," giảm ") &amp; TEXT(ABS(U22)/1000,"0") &amp; "K = " &amp; TEXT(G22/1000,"#.##0") &amp; "K")</f>
        <v/>
      </c>
    </row>
    <row r="23">
      <c r="A23" t="inlineStr">
        <is>
          <t>AW SE 3 (40mm LTE)</t>
        </is>
      </c>
      <c r="B23" s="25" t="n"/>
      <c r="C23" s="136" t="n">
        <v>8390000</v>
      </c>
      <c r="D23" s="136" t="n">
        <v>8290000</v>
      </c>
      <c r="E23" s="155" t="n">
        <v>7490000</v>
      </c>
      <c r="F23" s="133" t="n">
        <v>8390000</v>
      </c>
      <c r="G23" s="113" t="n">
        <v>8190000</v>
      </c>
      <c r="H23" s="154" t="n"/>
      <c r="M23" s="149">
        <f>IFERROR(C23-W12Q2FY26!C25,"OOS")</f>
        <v/>
      </c>
      <c r="N23" s="147">
        <f>IF(M23=0,"",$A23 &amp; IF(M23&gt;0," tăng "," giảm ") &amp; TEXT(ABS(M23)/1000,"0") &amp; "K = " &amp; TEXT(C23/1000,"#.##0") &amp; "K")</f>
        <v/>
      </c>
      <c r="O23" s="150">
        <f>IFERROR(D23-W12Q2FY26!D25,"OOS")</f>
        <v/>
      </c>
      <c r="P23" s="147">
        <f>IF(O23=0,"",$A23 &amp; IF(O23&gt;0," tăng "," giảm ") &amp; TEXT(ABS(O23)/1000,"0") &amp; "K = " &amp; TEXT(D23/1000,"#.##0") &amp; "K")</f>
        <v/>
      </c>
      <c r="Q23" s="150">
        <f>IFERROR(E23-W12Q2FY26!E25,"OOS")</f>
        <v/>
      </c>
      <c r="R23" s="147">
        <f>IF(Q23=0,"",$A23 &amp; IF(Q23&gt;0," tăng "," giảm ") &amp; TEXT(ABS(Q23)/1000,"0") &amp; "K = " &amp; TEXT(E23/1000,"#.##0") &amp; "K")</f>
        <v/>
      </c>
      <c r="S23" s="150">
        <f>IFERROR(F23-W12Q2FY26!F25,"OOS")</f>
        <v/>
      </c>
      <c r="T23" s="147">
        <f>IF(S23=0,"",$A23 &amp; IF(S23&gt;0," tăng "," giảm ") &amp; TEXT(ABS(S23)/1000,"0") &amp; "K = " &amp; TEXT(F23/1000,"#.##0") &amp; "K")</f>
        <v/>
      </c>
      <c r="U23" s="150">
        <f>IFERROR(G23-W12Q2FY26!G25,"OOS")</f>
        <v/>
      </c>
      <c r="V23" s="147">
        <f>IF(U23=0,"",$A23 &amp; IF(U23&gt;0," tăng "," giảm ") &amp; TEXT(ABS(U23)/1000,"0") &amp; "K = " &amp; TEXT(G23/1000,"#.##0") &amp; "K")</f>
        <v/>
      </c>
    </row>
    <row r="24">
      <c r="A24" t="inlineStr">
        <is>
          <t>AW SE 3 (44mm GPS)</t>
        </is>
      </c>
      <c r="B24" s="25" t="n"/>
      <c r="C24" s="136" t="n">
        <v>7690000</v>
      </c>
      <c r="D24" s="141" t="n">
        <v>7690000</v>
      </c>
      <c r="E24" s="140" t="n">
        <v>6890000</v>
      </c>
      <c r="F24" s="133" t="n">
        <v>7690000</v>
      </c>
      <c r="G24" s="113" t="n">
        <v>7490000</v>
      </c>
      <c r="H24" s="154" t="n"/>
      <c r="M24" s="149">
        <f>IFERROR(C24-W12Q2FY26!C26,"OOS")</f>
        <v/>
      </c>
      <c r="N24" s="147">
        <f>IF(M24=0,"",$A24 &amp; IF(M24&gt;0," tăng "," giảm ") &amp; TEXT(ABS(M24)/1000,"0") &amp; "K = " &amp; TEXT(C24/1000,"#.##0") &amp; "K")</f>
        <v/>
      </c>
      <c r="O24" s="150">
        <f>IFERROR(D24-W12Q2FY26!D26,"OOS")</f>
        <v/>
      </c>
      <c r="P24" s="147">
        <f>IF(O24=0,"",$A24 &amp; IF(O24&gt;0," tăng "," giảm ") &amp; TEXT(ABS(O24)/1000,"0") &amp; "K = " &amp; TEXT(D24/1000,"#.##0") &amp; "K")</f>
        <v/>
      </c>
      <c r="Q24" s="150">
        <f>IFERROR(E24-W12Q2FY26!E26,"OOS")</f>
        <v/>
      </c>
      <c r="R24" s="147">
        <f>IF(Q24=0,"",$A24 &amp; IF(Q24&gt;0," tăng "," giảm ") &amp; TEXT(ABS(Q24)/1000,"0") &amp; "K = " &amp; TEXT(E24/1000,"#.##0") &amp; "K")</f>
        <v/>
      </c>
      <c r="S24" s="150">
        <f>IFERROR(F24-W12Q2FY26!F26,"OOS")</f>
        <v/>
      </c>
      <c r="T24" s="147">
        <f>IF(S24=0,"",$A24 &amp; IF(S24&gt;0," tăng "," giảm ") &amp; TEXT(ABS(S24)/1000,"0") &amp; "K = " &amp; TEXT(F24/1000,"#.##0") &amp; "K")</f>
        <v/>
      </c>
      <c r="U24" s="150">
        <f>IFERROR(G24-W12Q2FY26!G26,"OOS")</f>
        <v/>
      </c>
      <c r="V24" s="147">
        <f>IF(U24=0,"",$A24 &amp; IF(U24&gt;0," tăng "," giảm ") &amp; TEXT(ABS(U24)/1000,"0") &amp; "K = " &amp; TEXT(G24/1000,"#.##0") &amp; "K")</f>
        <v/>
      </c>
    </row>
    <row r="25">
      <c r="A25" t="inlineStr">
        <is>
          <t>AW SE 3 (44mm LTE)</t>
        </is>
      </c>
      <c r="B25" s="25" t="n"/>
      <c r="C25" s="136" t="n">
        <v>9190000</v>
      </c>
      <c r="D25" s="136" t="n">
        <v>9190000</v>
      </c>
      <c r="E25" s="140" t="n">
        <v>8490000</v>
      </c>
      <c r="F25" s="133" t="n">
        <v>9190000</v>
      </c>
      <c r="G25" s="113" t="n">
        <v>8790000</v>
      </c>
      <c r="H25" s="154" t="n"/>
      <c r="M25" s="149">
        <f>IFERROR(C25-W12Q2FY26!C27,"OOS")</f>
        <v/>
      </c>
      <c r="N25" s="147">
        <f>IF(M25=0,"",$A25 &amp; IF(M25&gt;0," tăng "," giảm ") &amp; TEXT(ABS(M25)/1000,"0") &amp; "K = " &amp; TEXT(C25/1000,"#.##0") &amp; "K")</f>
        <v/>
      </c>
      <c r="O25" s="150">
        <f>IFERROR(D25-W12Q2FY26!D27,"OOS")</f>
        <v/>
      </c>
      <c r="P25" s="147">
        <f>IF(O25=0,"",$A25 &amp; IF(O25&gt;0," tăng "," giảm ") &amp; TEXT(ABS(O25)/1000,"0") &amp; "K = " &amp; TEXT(D25/1000,"#.##0") &amp; "K")</f>
        <v/>
      </c>
      <c r="Q25" s="150">
        <f>IFERROR(E25-W12Q2FY26!E27,"OOS")</f>
        <v/>
      </c>
      <c r="R25" s="147">
        <f>IF(Q25=0,"",$A25 &amp; IF(Q25&gt;0," tăng "," giảm ") &amp; TEXT(ABS(Q25)/1000,"0") &amp; "K = " &amp; TEXT(E25/1000,"#.##0") &amp; "K")</f>
        <v/>
      </c>
      <c r="S25" s="150">
        <f>IFERROR(F25-W12Q2FY26!F27,"OOS")</f>
        <v/>
      </c>
      <c r="T25" s="147">
        <f>IF(S25=0,"",$A25 &amp; IF(S25&gt;0," tăng "," giảm ") &amp; TEXT(ABS(S25)/1000,"0") &amp; "K = " &amp; TEXT(F25/1000,"#.##0") &amp; "K")</f>
        <v/>
      </c>
      <c r="U25" s="150">
        <f>IFERROR(G25-W12Q2FY26!G27,"OOS")</f>
        <v/>
      </c>
      <c r="V25" s="147">
        <f>IF(U25=0,"",$A25 &amp; IF(U25&gt;0," tăng "," giảm ") &amp; TEXT(ABS(U25)/1000,"0") &amp; "K = " &amp; TEXT(G25/1000,"#.##0") &amp; "K")</f>
        <v/>
      </c>
    </row>
    <row r="26">
      <c r="A26" t="inlineStr">
        <is>
          <t>AW S11 (42mm GPS)</t>
        </is>
      </c>
      <c r="B26" s="3" t="n"/>
      <c r="C26" s="136" t="n">
        <v>11190000</v>
      </c>
      <c r="D26" s="136" t="n">
        <v>11190000</v>
      </c>
      <c r="E26" s="140" t="n">
        <v>10190000</v>
      </c>
      <c r="F26" s="133" t="n">
        <v>11190000</v>
      </c>
      <c r="G26" s="113" t="n">
        <v>10990000</v>
      </c>
      <c r="H26" s="154" t="n"/>
      <c r="M26" s="149">
        <f>IFERROR(C26-W12Q2FY26!C28,"OOS")</f>
        <v/>
      </c>
      <c r="N26" s="147">
        <f>IF(M26=0,"",$A26 &amp; IF(M26&gt;0," tăng "," giảm ") &amp; TEXT(ABS(M26)/1000,"0") &amp; "K = " &amp; TEXT(C26/1000,"#.##0") &amp; "K")</f>
        <v/>
      </c>
      <c r="O26" s="150">
        <f>IFERROR(D26-W12Q2FY26!D28,"OOS")</f>
        <v/>
      </c>
      <c r="P26" s="147">
        <f>IF(O26=0,"",$A26 &amp; IF(O26&gt;0," tăng "," giảm ") &amp; TEXT(ABS(O26)/1000,"0") &amp; "K = " &amp; TEXT(D26/1000,"#.##0") &amp; "K")</f>
        <v/>
      </c>
      <c r="Q26" s="150">
        <f>IFERROR(E26-W12Q2FY26!E28,"OOS")</f>
        <v/>
      </c>
      <c r="R26" s="147">
        <f>IF(Q26=0,"",$A26 &amp; IF(Q26&gt;0," tăng "," giảm ") &amp; TEXT(ABS(Q26)/1000,"0") &amp; "K = " &amp; TEXT(E26/1000,"#.##0") &amp; "K")</f>
        <v/>
      </c>
      <c r="S26" s="150">
        <f>IFERROR(F26-W12Q2FY26!F28,"OOS")</f>
        <v/>
      </c>
      <c r="T26" s="147">
        <f>IF(S26=0,"",$A26 &amp; IF(S26&gt;0," tăng "," giảm ") &amp; TEXT(ABS(S26)/1000,"0") &amp; "K = " &amp; TEXT(F26/1000,"#.##0") &amp; "K")</f>
        <v/>
      </c>
      <c r="U26" s="150">
        <f>IFERROR(G26-W12Q2FY26!G28,"OOS")</f>
        <v/>
      </c>
      <c r="V26" s="147">
        <f>IF(U26=0,"",$A26 &amp; IF(U26&gt;0," tăng "," giảm ") &amp; TEXT(ABS(U26)/1000,"0") &amp; "K = " &amp; TEXT(G26/1000,"#.##0") &amp; "K")</f>
        <v/>
      </c>
    </row>
    <row r="27">
      <c r="A27" t="inlineStr">
        <is>
          <t>AW S11 (42mm CEL)</t>
        </is>
      </c>
      <c r="B27" s="3" t="n"/>
      <c r="C27" s="136" t="n">
        <v>14090000</v>
      </c>
      <c r="D27" s="136" t="n">
        <v>14090000</v>
      </c>
      <c r="E27" s="140" t="n">
        <v>13490000</v>
      </c>
      <c r="F27" s="133" t="n">
        <v>14090000</v>
      </c>
      <c r="G27" s="113" t="n">
        <v>13990000</v>
      </c>
      <c r="H27" s="154" t="n"/>
      <c r="M27" s="149">
        <f>IFERROR(C27-W12Q2FY26!C29,"OOS")</f>
        <v/>
      </c>
      <c r="N27" s="147">
        <f>IF(M27=0,"",$A27 &amp; IF(M27&gt;0," tăng "," giảm ") &amp; TEXT(ABS(M27)/1000,"0") &amp; "K = " &amp; TEXT(C27/1000,"#.##0") &amp; "K")</f>
        <v/>
      </c>
      <c r="O27" s="150">
        <f>IFERROR(D27-W12Q2FY26!D29,"OOS")</f>
        <v/>
      </c>
      <c r="P27" s="147">
        <f>IF(O27=0,"",$A27 &amp; IF(O27&gt;0," tăng "," giảm ") &amp; TEXT(ABS(O27)/1000,"0") &amp; "K = " &amp; TEXT(D27/1000,"#.##0") &amp; "K")</f>
        <v/>
      </c>
      <c r="Q27" s="150">
        <f>IFERROR(E27-W12Q2FY26!E29,"OOS")</f>
        <v/>
      </c>
      <c r="R27" s="147">
        <f>IF(Q27=0,"",$A27 &amp; IF(Q27&gt;0," tăng "," giảm ") &amp; TEXT(ABS(Q27)/1000,"0") &amp; "K = " &amp; TEXT(E27/1000,"#.##0") &amp; "K")</f>
        <v/>
      </c>
      <c r="S27" s="150">
        <f>IFERROR(F27-W12Q2FY26!F29,"OOS")</f>
        <v/>
      </c>
      <c r="T27" s="147">
        <f>IF(S27=0,"",$A27 &amp; IF(S27&gt;0," tăng "," giảm ") &amp; TEXT(ABS(S27)/1000,"0") &amp; "K = " &amp; TEXT(F27/1000,"#.##0") &amp; "K")</f>
        <v/>
      </c>
      <c r="U27" s="150">
        <f>IFERROR(G27-W12Q2FY26!G29,"OOS")</f>
        <v/>
      </c>
      <c r="V27" s="147">
        <f>IF(U27=0,"",$A27 &amp; IF(U27&gt;0," tăng "," giảm ") &amp; TEXT(ABS(U27)/1000,"0") &amp; "K = " &amp; TEXT(G27/1000,"#.##0") &amp; "K")</f>
        <v/>
      </c>
    </row>
    <row r="28">
      <c r="A28" t="inlineStr">
        <is>
          <t>AW S11 (46mm GPS)</t>
        </is>
      </c>
      <c r="B28" s="3" t="n"/>
      <c r="C28" s="136" t="n">
        <v>11990000</v>
      </c>
      <c r="D28" s="136" t="n">
        <v>11990000</v>
      </c>
      <c r="E28" s="140" t="n">
        <v>10990000</v>
      </c>
      <c r="F28" s="133" t="n">
        <v>11990000</v>
      </c>
      <c r="G28" s="113" t="n">
        <v>11890000</v>
      </c>
      <c r="H28" s="154" t="n"/>
      <c r="M28" s="149">
        <f>IFERROR(C28-W12Q2FY26!C30,"OOS")</f>
        <v/>
      </c>
      <c r="N28" s="147">
        <f>IF(M28=0,"",$A28 &amp; IF(M28&gt;0," tăng "," giảm ") &amp; TEXT(ABS(M28)/1000,"0") &amp; "K = " &amp; TEXT(C28/1000,"#.##0") &amp; "K")</f>
        <v/>
      </c>
      <c r="O28" s="150">
        <f>IFERROR(D28-W12Q2FY26!D30,"OOS")</f>
        <v/>
      </c>
      <c r="P28" s="147">
        <f>IF(O28=0,"",$A28 &amp; IF(O28&gt;0," tăng "," giảm ") &amp; TEXT(ABS(O28)/1000,"0") &amp; "K = " &amp; TEXT(D28/1000,"#.##0") &amp; "K")</f>
        <v/>
      </c>
      <c r="Q28" s="150">
        <f>IFERROR(E28-W12Q2FY26!E30,"OOS")</f>
        <v/>
      </c>
      <c r="R28" s="147">
        <f>IF(Q28=0,"",$A28 &amp; IF(Q28&gt;0," tăng "," giảm ") &amp; TEXT(ABS(Q28)/1000,"0") &amp; "K = " &amp; TEXT(E28/1000,"#.##0") &amp; "K")</f>
        <v/>
      </c>
      <c r="S28" s="150">
        <f>IFERROR(F28-W12Q2FY26!F30,"OOS")</f>
        <v/>
      </c>
      <c r="T28" s="147">
        <f>IF(S28=0,"",$A28 &amp; IF(S28&gt;0," tăng "," giảm ") &amp; TEXT(ABS(S28)/1000,"0") &amp; "K = " &amp; TEXT(F28/1000,"#.##0") &amp; "K")</f>
        <v/>
      </c>
      <c r="U28" s="150">
        <f>IFERROR(G28-W12Q2FY26!G30,"OOS")</f>
        <v/>
      </c>
      <c r="V28" s="147">
        <f>IF(U28=0,"",$A28 &amp; IF(U28&gt;0," tăng "," giảm ") &amp; TEXT(ABS(U28)/1000,"0") &amp; "K = " &amp; TEXT(G28/1000,"#.##0") &amp; "K")</f>
        <v/>
      </c>
    </row>
    <row r="29">
      <c r="A29" t="inlineStr">
        <is>
          <t>AW S11 (46mm CEL)</t>
        </is>
      </c>
      <c r="B29" s="3" t="n"/>
      <c r="C29" s="136" t="inlineStr">
        <is>
          <t>OOS</t>
        </is>
      </c>
      <c r="D29" s="136" t="n">
        <v>14990000</v>
      </c>
      <c r="E29" s="140" t="n">
        <v>13990000</v>
      </c>
      <c r="F29" s="133" t="n">
        <v>14990000</v>
      </c>
      <c r="G29" s="113" t="n">
        <v>14890000</v>
      </c>
      <c r="H29" s="154" t="n"/>
      <c r="M29" s="149">
        <f>IFERROR(C29-W12Q2FY26!C31,"OOS")</f>
        <v/>
      </c>
      <c r="N29" s="147">
        <f>IF(M29=0,"",$A29 &amp; IF(M29&gt;0," tăng "," giảm ") &amp; TEXT(ABS(M29)/1000,"0") &amp; "K = " &amp; TEXT(C29/1000,"#.##0") &amp; "K")</f>
        <v/>
      </c>
      <c r="O29" s="150">
        <f>IFERROR(D29-W12Q2FY26!D31,"OOS")</f>
        <v/>
      </c>
      <c r="P29" s="147">
        <f>IF(O29=0,"",$A29 &amp; IF(O29&gt;0," tăng "," giảm ") &amp; TEXT(ABS(O29)/1000,"0") &amp; "K = " &amp; TEXT(D29/1000,"#.##0") &amp; "K")</f>
        <v/>
      </c>
      <c r="Q29" s="150">
        <f>IFERROR(E29-W12Q2FY26!E31,"OOS")</f>
        <v/>
      </c>
      <c r="R29" s="147">
        <f>IF(Q29=0,"",$A29 &amp; IF(Q29&gt;0," tăng "," giảm ") &amp; TEXT(ABS(Q29)/1000,"0") &amp; "K = " &amp; TEXT(E29/1000,"#.##0") &amp; "K")</f>
        <v/>
      </c>
      <c r="S29" s="150">
        <f>IFERROR(F29-W12Q2FY26!F31,"OOS")</f>
        <v/>
      </c>
      <c r="T29" s="147">
        <f>IF(S29=0,"",$A29 &amp; IF(S29&gt;0," tăng "," giảm ") &amp; TEXT(ABS(S29)/1000,"0") &amp; "K = " &amp; TEXT(F29/1000,"#.##0") &amp; "K")</f>
        <v/>
      </c>
      <c r="U29" s="150">
        <f>IFERROR(G29-W12Q2FY26!G31,"OOS")</f>
        <v/>
      </c>
      <c r="V29" s="147">
        <f>IF(U29=0,"",$A29 &amp; IF(U29&gt;0," tăng "," giảm ") &amp; TEXT(ABS(U29)/1000,"0") &amp; "K = " &amp; TEXT(G29/1000,"#.##0") &amp; "K")</f>
        <v/>
      </c>
    </row>
    <row r="30">
      <c r="A30" t="inlineStr">
        <is>
          <t>AW Ultra 3 (49mm)</t>
        </is>
      </c>
      <c r="B30" s="25" t="n"/>
      <c r="C30" s="136" t="n">
        <v>23490000</v>
      </c>
      <c r="D30" s="136" t="n">
        <v>22990000</v>
      </c>
      <c r="E30" s="113" t="n">
        <v>21990000</v>
      </c>
      <c r="F30" s="133" t="n">
        <v>23190000</v>
      </c>
      <c r="G30" s="111" t="n">
        <v>22990000</v>
      </c>
      <c r="H30" s="154" t="n"/>
      <c r="M30" s="149">
        <f>IFERROR(C30-W12Q2FY26!C32,"OOS")</f>
        <v/>
      </c>
      <c r="N30" s="147">
        <f>IF(M30=0,"",$A30 &amp; IF(M30&gt;0," tăng "," giảm ") &amp; TEXT(ABS(M30)/1000,"0") &amp; "K = " &amp; TEXT(C30/1000,"#.##0") &amp; "K")</f>
        <v/>
      </c>
      <c r="O30" s="150">
        <f>IFERROR(D30-W12Q2FY26!D32,"OOS")</f>
        <v/>
      </c>
      <c r="P30" s="147">
        <f>IF(O30=0,"",$A30 &amp; IF(O30&gt;0," tăng "," giảm ") &amp; TEXT(ABS(O30)/1000,"0") &amp; "K = " &amp; TEXT(D30/1000,"#.##0") &amp; "K")</f>
        <v/>
      </c>
      <c r="Q30" s="150">
        <f>IFERROR(E30-W12Q2FY26!E32,"OOS")</f>
        <v/>
      </c>
      <c r="R30" s="147">
        <f>IF(Q30=0,"",$A30 &amp; IF(Q30&gt;0," tăng "," giảm ") &amp; TEXT(ABS(Q30)/1000,"0") &amp; "K = " &amp; TEXT(E30/1000,"#.##0") &amp; "K")</f>
        <v/>
      </c>
      <c r="S30" s="150">
        <f>IFERROR(F30-W12Q2FY26!F32,"OOS")</f>
        <v/>
      </c>
      <c r="T30" s="147">
        <f>IF(S30=0,"",$A30 &amp; IF(S30&gt;0," tăng "," giảm ") &amp; TEXT(ABS(S30)/1000,"0") &amp; "K = " &amp; TEXT(F30/1000,"#.##0") &amp; "K")</f>
        <v/>
      </c>
      <c r="U30" s="150">
        <f>IFERROR(G30-W12Q2FY26!G32,"OOS")</f>
        <v/>
      </c>
      <c r="V30" s="147">
        <f>IF(U30=0,"",$A30 &amp; IF(U30&gt;0," tăng "," giảm ") &amp; TEXT(ABS(U30)/1000,"0") &amp; "K = " &amp; TEXT(G30/1000,"#.##0") &amp; "K")</f>
        <v/>
      </c>
    </row>
    <row r="31">
      <c r="A31" t="inlineStr">
        <is>
          <t>AirPods Pro 2 - 2023 (C-Type)</t>
        </is>
      </c>
      <c r="B31" s="3" t="n"/>
      <c r="C31" s="136" t="n">
        <v>5190000</v>
      </c>
      <c r="D31" s="136" t="inlineStr">
        <is>
          <t>OOS</t>
        </is>
      </c>
      <c r="E31" s="131" t="inlineStr">
        <is>
          <t>OOS</t>
        </is>
      </c>
      <c r="F31" s="133" t="n">
        <v>5190000</v>
      </c>
      <c r="G31" s="111" t="n">
        <v>5590000</v>
      </c>
      <c r="H31" s="154" t="n"/>
      <c r="M31" s="149">
        <f>IFERROR(C31-W12Q2FY26!C33,"OOS")</f>
        <v/>
      </c>
      <c r="N31" s="147">
        <f>IF(M31=0,"",$A31 &amp; IF(M31&gt;0," tăng "," giảm ") &amp; TEXT(ABS(M31)/1000,"0") &amp; "K = " &amp; TEXT(C31/1000,"#.##0") &amp; "K")</f>
        <v/>
      </c>
      <c r="O31" s="150">
        <f>IFERROR(D31-W12Q2FY26!D33,"OOS")</f>
        <v/>
      </c>
      <c r="P31" s="147">
        <f>IF(O31=0,"",$A31 &amp; IF(O31&gt;0," tăng "," giảm ") &amp; TEXT(ABS(O31)/1000,"0") &amp; "K = " &amp; TEXT(D31/1000,"#.##0") &amp; "K")</f>
        <v/>
      </c>
      <c r="Q31" s="150">
        <f>IFERROR(E31-W12Q2FY26!E33,"OOS")</f>
        <v/>
      </c>
      <c r="R31" s="147">
        <f>IF(Q31=0,"",$A31 &amp; IF(Q31&gt;0," tăng "," giảm ") &amp; TEXT(ABS(Q31)/1000,"0") &amp; "K = " &amp; TEXT(E31/1000,"#.##0") &amp; "K")</f>
        <v/>
      </c>
      <c r="S31" s="150">
        <f>IFERROR(F31-W12Q2FY26!F33,"OOS")</f>
        <v/>
      </c>
      <c r="T31" s="147">
        <f>IF(S31=0,"",$A31 &amp; IF(S31&gt;0," tăng "," giảm ") &amp; TEXT(ABS(S31)/1000,"0") &amp; "K = " &amp; TEXT(F31/1000,"#.##0") &amp; "K")</f>
        <v/>
      </c>
      <c r="U31" s="150">
        <f>IFERROR(G31-W12Q2FY26!G33,"OOS")</f>
        <v/>
      </c>
      <c r="V31" s="147">
        <f>IF(U31=0,"",$A31 &amp; IF(U31&gt;0," tăng "," giảm ") &amp; TEXT(ABS(U31)/1000,"0") &amp; "K = " &amp; TEXT(G31/1000,"#.##0") &amp; "K")</f>
        <v/>
      </c>
    </row>
    <row r="32">
      <c r="A32" t="inlineStr">
        <is>
          <t>AirPods 4 ANC</t>
        </is>
      </c>
      <c r="B32" s="3" t="n"/>
      <c r="C32" s="136" t="n">
        <v>4690000</v>
      </c>
      <c r="D32" s="136" t="n">
        <v>4590000</v>
      </c>
      <c r="E32" s="155" t="n">
        <v>4290000</v>
      </c>
      <c r="F32" s="134" t="n">
        <v>4690000</v>
      </c>
      <c r="G32" s="112" t="n">
        <v>4590000</v>
      </c>
      <c r="H32" s="154" t="n"/>
      <c r="M32" s="149">
        <f>IFERROR(C32-W12Q2FY26!C34,"OOS")</f>
        <v/>
      </c>
      <c r="N32" s="147">
        <f>IF(M32=0,"",$A32 &amp; IF(M32&gt;0," tăng "," giảm ") &amp; TEXT(ABS(M32)/1000,"0") &amp; "K = " &amp; TEXT(C32/1000,"#.##0") &amp; "K")</f>
        <v/>
      </c>
      <c r="O32" s="150">
        <f>IFERROR(D32-W12Q2FY26!D34,"OOS")</f>
        <v/>
      </c>
      <c r="P32" s="147">
        <f>IF(O32=0,"",$A32 &amp; IF(O32&gt;0," tăng "," giảm ") &amp; TEXT(ABS(O32)/1000,"0") &amp; "K = " &amp; TEXT(D32/1000,"#.##0") &amp; "K")</f>
        <v/>
      </c>
      <c r="Q32" s="150">
        <f>IFERROR(E32-W12Q2FY26!E34,"OOS")</f>
        <v/>
      </c>
      <c r="R32" s="147">
        <f>IF(Q32=0,"",$A32 &amp; IF(Q32&gt;0," tăng "," giảm ") &amp; TEXT(ABS(Q32)/1000,"0") &amp; "K = " &amp; TEXT(E32/1000,"#.##0") &amp; "K")</f>
        <v/>
      </c>
      <c r="S32" s="150">
        <f>IFERROR(F32-W12Q2FY26!F34,"OOS")</f>
        <v/>
      </c>
      <c r="T32" s="147">
        <f>IF(S32=0,"",$A32 &amp; IF(S32&gt;0," tăng "," giảm ") &amp; TEXT(ABS(S32)/1000,"0") &amp; "K = " &amp; TEXT(F32/1000,"#.##0") &amp; "K")</f>
        <v/>
      </c>
      <c r="U32" s="150">
        <f>IFERROR(G32-W12Q2FY26!G34,"OOS")</f>
        <v/>
      </c>
      <c r="V32" s="147">
        <f>IF(U32=0,"",$A32 &amp; IF(U32&gt;0," tăng "," giảm ") &amp; TEXT(ABS(U32)/1000,"0") &amp; "K = " &amp; TEXT(G32/1000,"#.##0") &amp; "K")</f>
        <v/>
      </c>
    </row>
    <row r="33">
      <c r="A33" t="inlineStr">
        <is>
          <t>AirPods 4 with charging case</t>
        </is>
      </c>
      <c r="B33" s="3" t="n"/>
      <c r="C33" s="136" t="n">
        <v>3490000</v>
      </c>
      <c r="D33" s="136" t="n">
        <v>3490000</v>
      </c>
      <c r="E33" s="155" t="n">
        <v>3290000</v>
      </c>
      <c r="F33" s="133" t="n">
        <v>3490000</v>
      </c>
      <c r="G33" s="124" t="n">
        <v>3390000</v>
      </c>
      <c r="H33" s="154" t="n"/>
      <c r="M33" s="149">
        <f>IFERROR(C33-W12Q2FY26!C35,"OOS")</f>
        <v/>
      </c>
      <c r="N33" s="147">
        <f>IF(M33=0,"",$A33 &amp; IF(M33&gt;0," tăng "," giảm ") &amp; TEXT(ABS(M33)/1000,"0") &amp; "K = " &amp; TEXT(C33/1000,"#.##0") &amp; "K")</f>
        <v/>
      </c>
      <c r="O33" s="150">
        <f>IFERROR(D33-W12Q2FY26!D35,"OOS")</f>
        <v/>
      </c>
      <c r="P33" s="147">
        <f>IF(O33=0,"",$A33 &amp; IF(O33&gt;0," tăng "," giảm ") &amp; TEXT(ABS(O33)/1000,"0") &amp; "K = " &amp; TEXT(D33/1000,"#.##0") &amp; "K")</f>
        <v/>
      </c>
      <c r="Q33" s="150">
        <f>IFERROR(E33-W12Q2FY26!E35,"OOS")</f>
        <v/>
      </c>
      <c r="R33" s="147">
        <f>IF(Q33=0,"",$A33 &amp; IF(Q33&gt;0," tăng "," giảm ") &amp; TEXT(ABS(Q33)/1000,"0") &amp; "K = " &amp; TEXT(E33/1000,"#.##0") &amp; "K")</f>
        <v/>
      </c>
      <c r="S33" s="150">
        <f>IFERROR(F33-W12Q2FY26!F35,"OOS")</f>
        <v/>
      </c>
      <c r="T33" s="147">
        <f>IF(S33=0,"",$A33 &amp; IF(S33&gt;0," tăng "," giảm ") &amp; TEXT(ABS(S33)/1000,"0") &amp; "K = " &amp; TEXT(F33/1000,"#.##0") &amp; "K")</f>
        <v/>
      </c>
      <c r="U33" s="150">
        <f>IFERROR(G33-W12Q2FY26!G35,"OOS")</f>
        <v/>
      </c>
      <c r="V33" s="147">
        <f>IF(U33=0,"",$A33 &amp; IF(U33&gt;0," tăng "," giảm ") &amp; TEXT(ABS(U33)/1000,"0") &amp; "K = " &amp; TEXT(G33/1000,"#.##0") &amp; "K")</f>
        <v/>
      </c>
    </row>
    <row r="34">
      <c r="A34" t="inlineStr">
        <is>
          <t>AirPods Pro 3</t>
        </is>
      </c>
      <c r="B34" s="3" t="n"/>
      <c r="C34" s="136" t="n">
        <v>6590000</v>
      </c>
      <c r="D34" s="136" t="n">
        <v>6590000</v>
      </c>
      <c r="E34" s="135" t="n">
        <v>6290000</v>
      </c>
      <c r="F34" s="133" t="n">
        <v>6590000</v>
      </c>
      <c r="G34" s="113" t="n">
        <v>6390000</v>
      </c>
      <c r="H34" s="154" t="n"/>
      <c r="M34" s="149">
        <f>IFERROR(C34-W12Q2FY26!C36,"OOS")</f>
        <v/>
      </c>
      <c r="N34" s="147">
        <f>IF(M34=0,"",$A34 &amp; IF(M34&gt;0," tăng "," giảm ") &amp; TEXT(ABS(M34)/1000,"0") &amp; "K = " &amp; TEXT(C34/1000,"#.##0") &amp; "K")</f>
        <v/>
      </c>
      <c r="O34" s="150">
        <f>IFERROR(D34-W12Q2FY26!D36,"OOS")</f>
        <v/>
      </c>
      <c r="P34" s="147">
        <f>IF(O34=0,"",$A34 &amp; IF(O34&gt;0," tăng "," giảm ") &amp; TEXT(ABS(O34)/1000,"0") &amp; "K = " &amp; TEXT(D34/1000,"#.##0") &amp; "K")</f>
        <v/>
      </c>
      <c r="Q34" s="150">
        <f>IFERROR(E34-W12Q2FY26!E36,"OOS")</f>
        <v/>
      </c>
      <c r="R34" s="147">
        <f>IF(Q34=0,"",$A34 &amp; IF(Q34&gt;0," tăng "," giảm ") &amp; TEXT(ABS(Q34)/1000,"0") &amp; "K = " &amp; TEXT(E34/1000,"#.##0") &amp; "K")</f>
        <v/>
      </c>
      <c r="S34" s="150">
        <f>IFERROR(F34-W12Q2FY26!F36,"OOS")</f>
        <v/>
      </c>
      <c r="T34" s="147">
        <f>IF(S34=0,"",$A34 &amp; IF(S34&gt;0," tăng "," giảm ") &amp; TEXT(ABS(S34)/1000,"0") &amp; "K = " &amp; TEXT(F34/1000,"#.##0") &amp; "K")</f>
        <v/>
      </c>
      <c r="U34" s="150">
        <f>IFERROR(G34-W12Q2FY26!G36,"OOS")</f>
        <v/>
      </c>
      <c r="V34" s="147">
        <f>IF(U34=0,"",$A34 &amp; IF(U34&gt;0," tăng "," giảm ") &amp; TEXT(ABS(U34)/1000,"0") &amp; "K = " &amp; TEXT(G34/1000,"#.##0") &amp; "K")</f>
        <v/>
      </c>
    </row>
    <row r="35">
      <c r="A35" t="inlineStr">
        <is>
          <t>MacBook Air 13" M2 16/256GB</t>
        </is>
      </c>
      <c r="B35" s="25" t="n"/>
      <c r="C35" s="136" t="n">
        <v>19990000</v>
      </c>
      <c r="D35" s="136" t="n">
        <v>19990000</v>
      </c>
      <c r="E35" s="143" t="n"/>
      <c r="F35" s="134" t="n">
        <v>20490000</v>
      </c>
      <c r="G35" s="111" t="n">
        <v>18990000</v>
      </c>
      <c r="H35" s="154" t="n"/>
      <c r="M35" s="149">
        <f>IFERROR(C35-W12Q2FY26!C37,"OOS")</f>
        <v/>
      </c>
      <c r="N35" s="147">
        <f>IF(M35=0,"",$A35 &amp; IF(M35&gt;0," tăng "," giảm ") &amp; TEXT(ABS(M35)/1000,"0") &amp; "K = " &amp; TEXT(C35/1000,"#.##0") &amp; "K")</f>
        <v/>
      </c>
      <c r="O35" s="150">
        <f>IFERROR(D35-W12Q2FY26!D37,"OOS")</f>
        <v/>
      </c>
      <c r="P35" s="147">
        <f>IF(O35=0,"",$A35 &amp; IF(O35&gt;0," tăng "," giảm ") &amp; TEXT(ABS(O35)/1000,"0") &amp; "K = " &amp; TEXT(D35/1000,"#.##0") &amp; "K")</f>
        <v/>
      </c>
      <c r="Q35" s="150">
        <f>IFERROR(E35-W12Q2FY26!E37,"OOS")</f>
        <v/>
      </c>
      <c r="R35" s="147">
        <f>IF(Q35=0,"",$A35 &amp; IF(Q35&gt;0," tăng "," giảm ") &amp; TEXT(ABS(Q35)/1000,"0") &amp; "K = " &amp; TEXT(E35/1000,"#.##0") &amp; "K")</f>
        <v/>
      </c>
      <c r="S35" s="150">
        <f>IFERROR(F35-W12Q2FY26!F37,"OOS")</f>
        <v/>
      </c>
      <c r="T35" s="147">
        <f>IF(S35=0,"",$A35 &amp; IF(S35&gt;0," tăng "," giảm ") &amp; TEXT(ABS(S35)/1000,"0") &amp; "K = " &amp; TEXT(F35/1000,"#.##0") &amp; "K")</f>
        <v/>
      </c>
      <c r="U35" s="150">
        <f>IFERROR(G35-W12Q2FY26!G37,"OOS")</f>
        <v/>
      </c>
      <c r="V35" s="147">
        <f>IF(U35=0,"",$A35 &amp; IF(U35&gt;0," tăng "," giảm ") &amp; TEXT(ABS(U35)/1000,"0") &amp; "K = " &amp; TEXT(G35/1000,"#.##0") &amp; "K")</f>
        <v/>
      </c>
    </row>
    <row r="36">
      <c r="A36" t="inlineStr">
        <is>
          <t>MacBook Air 13" M5 16/512GB</t>
        </is>
      </c>
      <c r="B36" s="25" t="n"/>
      <c r="C36" s="136" t="n">
        <v>29990000</v>
      </c>
      <c r="D36" s="136" t="n">
        <v>29990000</v>
      </c>
      <c r="E36" s="143" t="n"/>
      <c r="F36" s="111" t="n">
        <v>29990000</v>
      </c>
      <c r="G36" s="111" t="n">
        <v>29990000</v>
      </c>
      <c r="H36" s="154" t="n"/>
      <c r="M36" s="149">
        <f>IFERROR(C36-W12Q2FY26!C38,"OOS")</f>
        <v/>
      </c>
      <c r="N36" s="147">
        <f>IF(M36=0,"",$A36 &amp; IF(M36&gt;0," tăng "," giảm ") &amp; TEXT(ABS(M36)/1000,"0") &amp; "K = " &amp; TEXT(C36/1000,"#.##0") &amp; "K")</f>
        <v/>
      </c>
      <c r="O36" s="150">
        <f>IFERROR(D36-W12Q2FY26!D38,"OOS")</f>
        <v/>
      </c>
      <c r="P36" s="147">
        <f>IF(O36=0,"",$A36 &amp; IF(O36&gt;0," tăng "," giảm ") &amp; TEXT(ABS(O36)/1000,"0") &amp; "K = " &amp; TEXT(D36/1000,"#.##0") &amp; "K")</f>
        <v/>
      </c>
      <c r="Q36" s="150">
        <f>IFERROR(E36-W12Q2FY26!E38,"OOS")</f>
        <v/>
      </c>
      <c r="R36" s="147">
        <f>IF(Q36=0,"",$A36 &amp; IF(Q36&gt;0," tăng "," giảm ") &amp; TEXT(ABS(Q36)/1000,"0") &amp; "K = " &amp; TEXT(E36/1000,"#.##0") &amp; "K")</f>
        <v/>
      </c>
      <c r="S36" s="150">
        <f>IFERROR(F36-W12Q2FY26!F38,"OOS")</f>
        <v/>
      </c>
      <c r="T36" s="147">
        <f>IF(S36=0,"",$A36 &amp; IF(S36&gt;0," tăng "," giảm ") &amp; TEXT(ABS(S36)/1000,"0") &amp; "K = " &amp; TEXT(F36/1000,"#.##0") &amp; "K")</f>
        <v/>
      </c>
      <c r="U36" s="150">
        <f>IFERROR(G36-W12Q2FY26!G38,"OOS")</f>
        <v/>
      </c>
      <c r="V36" s="147">
        <f>IF(U36=0,"",$A36 &amp; IF(U36&gt;0," tăng "," giảm ") &amp; TEXT(ABS(U36)/1000,"0") &amp; "K = " &amp; TEXT(G36/1000,"#.##0") &amp; "K")</f>
        <v/>
      </c>
    </row>
    <row r="37">
      <c r="A37" t="inlineStr">
        <is>
          <t>MacBook NEO A18 Pro ( 8/256GB)</t>
        </is>
      </c>
      <c r="B37" s="25" t="n"/>
      <c r="C37" s="136" t="n">
        <v>16490000</v>
      </c>
      <c r="D37" s="136" t="n">
        <v>16490000</v>
      </c>
      <c r="E37" s="143" t="n"/>
      <c r="F37" s="111" t="n">
        <v>16490000</v>
      </c>
      <c r="G37" s="111" t="n">
        <v>16499000</v>
      </c>
      <c r="H37" s="154" t="n"/>
      <c r="M37" s="149">
        <f>IFERROR(C37-W12Q2FY26!C39,"OOS")</f>
        <v/>
      </c>
      <c r="N37" s="147">
        <f>IF(M37=0,"",$A37 &amp; IF(M37&gt;0," tăng "," giảm ") &amp; TEXT(ABS(M37)/1000,"0") &amp; "K = " &amp; TEXT(C37/1000,"#.##0") &amp; "K")</f>
        <v/>
      </c>
      <c r="O37" s="150">
        <f>IFERROR(D37-W12Q2FY26!D39,"OOS")</f>
        <v/>
      </c>
      <c r="P37" s="147">
        <f>IF(O37=0,"",$A37 &amp; IF(O37&gt;0," tăng "," giảm ") &amp; TEXT(ABS(O37)/1000,"0") &amp; "K = " &amp; TEXT(D37/1000,"#.##0") &amp; "K")</f>
        <v/>
      </c>
      <c r="Q37" s="150">
        <f>IFERROR(E37-W12Q2FY26!E39,"OOS")</f>
        <v/>
      </c>
      <c r="R37" s="147">
        <f>IF(Q37=0,"",$A37 &amp; IF(Q37&gt;0," tăng "," giảm ") &amp; TEXT(ABS(Q37)/1000,"0") &amp; "K = " &amp; TEXT(E37/1000,"#.##0") &amp; "K")</f>
        <v/>
      </c>
      <c r="S37" s="150">
        <f>IFERROR(F37-W12Q2FY26!F39,"OOS")</f>
        <v/>
      </c>
      <c r="T37" s="147">
        <f>IF(S37=0,"",$A37 &amp; IF(S37&gt;0," tăng "," giảm ") &amp; TEXT(ABS(S37)/1000,"0") &amp; "K = " &amp; TEXT(F37/1000,"#.##0") &amp; "K")</f>
        <v/>
      </c>
      <c r="U37" s="150">
        <f>IFERROR(G37-W12Q2FY26!G39,"OOS")</f>
        <v/>
      </c>
      <c r="V37" s="147">
        <f>IF(U37=0,"",$A37 &amp; IF(U37&gt;0," tăng "," giảm ") &amp; TEXT(ABS(U37)/1000,"0") &amp; "K = " &amp; TEXT(G37/1000,"#.##0") &amp; "K")</f>
        <v/>
      </c>
    </row>
    <row r="38">
      <c r="A38" t="inlineStr">
        <is>
          <t>MacBook Air 13" M4 16/256GB</t>
        </is>
      </c>
      <c r="B38" s="3" t="n"/>
      <c r="C38" s="141" t="n">
        <v>24590000</v>
      </c>
      <c r="D38" s="141" t="n">
        <v>24490000</v>
      </c>
      <c r="E38" s="143" t="n"/>
      <c r="F38" s="134" t="n">
        <v>24590000</v>
      </c>
      <c r="G38" s="111" t="n">
        <v>24590000</v>
      </c>
      <c r="H38" s="154" t="n"/>
      <c r="M38" s="149">
        <f>IFERROR(C38-W12Q2FY26!C40,"OOS")</f>
        <v/>
      </c>
      <c r="N38" s="147">
        <f>IF(M38=0,"",$A38 &amp; IF(M38&gt;0," tăng "," giảm ") &amp; TEXT(ABS(M38)/1000,"0") &amp; "K = " &amp; TEXT(C38/1000,"#.##0") &amp; "K")</f>
        <v/>
      </c>
      <c r="O38" s="150">
        <f>IFERROR(D38-W12Q2FY26!D40,"OOS")</f>
        <v/>
      </c>
      <c r="P38" s="147">
        <f>IF(O38=0,"",$A38 &amp; IF(O38&gt;0," tăng "," giảm ") &amp; TEXT(ABS(O38)/1000,"0") &amp; "K = " &amp; TEXT(D38/1000,"#.##0") &amp; "K")</f>
        <v/>
      </c>
      <c r="Q38" s="150">
        <f>IFERROR(E38-W12Q2FY26!E40,"OOS")</f>
        <v/>
      </c>
      <c r="R38" s="147">
        <f>IF(Q38=0,"",$A38 &amp; IF(Q38&gt;0," tăng "," giảm ") &amp; TEXT(ABS(Q38)/1000,"0") &amp; "K = " &amp; TEXT(E38/1000,"#.##0") &amp; "K")</f>
        <v/>
      </c>
      <c r="S38" s="150">
        <f>IFERROR(F38-W12Q2FY26!F40,"OOS")</f>
        <v/>
      </c>
      <c r="T38" s="147">
        <f>IF(S38=0,"",$A38 &amp; IF(S38&gt;0," tăng "," giảm ") &amp; TEXT(ABS(S38)/1000,"0") &amp; "K = " &amp; TEXT(F38/1000,"#.##0") &amp; "K")</f>
        <v/>
      </c>
      <c r="U38" s="150">
        <f>IFERROR(G38-W12Q2FY26!G40,"OOS")</f>
        <v/>
      </c>
      <c r="V38" s="147">
        <f>IF(U38=0,"",$A38 &amp; IF(U38&gt;0," tăng "," giảm ") &amp; TEXT(ABS(U38)/1000,"0") &amp; "K = " &amp; TEXT(G38/1000,"#.##0") &amp; "K")</f>
        <v/>
      </c>
    </row>
    <row r="39">
      <c r="A39" t="inlineStr">
        <is>
          <t>MacBook Air 15" M4 16/256GB</t>
        </is>
      </c>
      <c r="B39" s="25" t="n"/>
      <c r="C39" s="136" t="n">
        <v>29990000</v>
      </c>
      <c r="D39" s="136" t="n">
        <v>29990000</v>
      </c>
      <c r="E39" s="143" t="n"/>
      <c r="F39" s="133" t="n">
        <v>29990000</v>
      </c>
      <c r="G39" s="111" t="n">
        <v>28990000</v>
      </c>
      <c r="H39" s="154" t="n"/>
      <c r="M39" s="149">
        <f>IFERROR(C39-W12Q2FY26!C41,"OOS")</f>
        <v/>
      </c>
      <c r="N39" s="147">
        <f>IF(M39=0,"",$A39 &amp; IF(M39&gt;0," tăng "," giảm ") &amp; TEXT(ABS(M39)/1000,"0") &amp; "K = " &amp; TEXT(C39/1000,"#.##0") &amp; "K")</f>
        <v/>
      </c>
      <c r="O39" s="150">
        <f>IFERROR(D39-W12Q2FY26!D41,"OOS")</f>
        <v/>
      </c>
      <c r="P39" s="147">
        <f>IF(O39=0,"",$A39 &amp; IF(O39&gt;0," tăng "," giảm ") &amp; TEXT(ABS(O39)/1000,"0") &amp; "K = " &amp; TEXT(D39/1000,"#.##0") &amp; "K")</f>
        <v/>
      </c>
      <c r="Q39" s="150">
        <f>IFERROR(E39-W12Q2FY26!E41,"OOS")</f>
        <v/>
      </c>
      <c r="R39" s="147">
        <f>IF(Q39=0,"",$A39 &amp; IF(Q39&gt;0," tăng "," giảm ") &amp; TEXT(ABS(Q39)/1000,"0") &amp; "K = " &amp; TEXT(E39/1000,"#.##0") &amp; "K")</f>
        <v/>
      </c>
      <c r="S39" s="150">
        <f>IFERROR(F39-W12Q2FY26!F41,"OOS")</f>
        <v/>
      </c>
      <c r="T39" s="147">
        <f>IF(S39=0,"",$A39 &amp; IF(S39&gt;0," tăng "," giảm ") &amp; TEXT(ABS(S39)/1000,"0") &amp; "K = " &amp; TEXT(F39/1000,"#.##0") &amp; "K")</f>
        <v/>
      </c>
      <c r="U39" s="150">
        <f>IFERROR(G39-W12Q2FY26!G41,"OOS")</f>
        <v/>
      </c>
      <c r="V39" s="147">
        <f>IF(U39=0,"",$A39 &amp; IF(U39&gt;0," tăng "," giảm ") &amp; TEXT(ABS(U39)/1000,"0") &amp; "K = " &amp; TEXT(G39/1000,"#.##0") &amp; "K")</f>
        <v/>
      </c>
    </row>
    <row r="40">
      <c r="A40" t="inlineStr">
        <is>
          <t>MacBook Pro 14" M4 16/512GB</t>
        </is>
      </c>
      <c r="B40" s="25" t="n"/>
      <c r="C40" s="136" t="inlineStr">
        <is>
          <t>OOS</t>
        </is>
      </c>
      <c r="D40" s="136" t="inlineStr">
        <is>
          <t>OOS</t>
        </is>
      </c>
      <c r="E40" s="143" t="n"/>
      <c r="F40" s="133" t="n">
        <v>38590000</v>
      </c>
      <c r="G40" s="111" t="n">
        <v>38390000</v>
      </c>
      <c r="H40" s="154" t="n"/>
      <c r="M40" s="149">
        <f>IFERROR(C40-W12Q2FY26!C42,"OOS")</f>
        <v/>
      </c>
      <c r="N40" s="147">
        <f>IF(M40=0,"",$A40 &amp; IF(M40&gt;0," tăng "," giảm ") &amp; TEXT(ABS(M40)/1000,"0") &amp; "K = " &amp; TEXT(C40/1000,"#.##0") &amp; "K")</f>
        <v/>
      </c>
      <c r="O40" s="150">
        <f>IFERROR(D40-W12Q2FY26!D42,"OOS")</f>
        <v/>
      </c>
      <c r="P40" s="147">
        <f>IF(O40=0,"",$A40 &amp; IF(O40&gt;0," tăng "," giảm ") &amp; TEXT(ABS(O40)/1000,"0") &amp; "K = " &amp; TEXT(D40/1000,"#.##0") &amp; "K")</f>
        <v/>
      </c>
      <c r="Q40" s="150">
        <f>IFERROR(E40-W12Q2FY26!E42,"OOS")</f>
        <v/>
      </c>
      <c r="R40" s="147">
        <f>IF(Q40=0,"",$A40 &amp; IF(Q40&gt;0," tăng "," giảm ") &amp; TEXT(ABS(Q40)/1000,"0") &amp; "K = " &amp; TEXT(E40/1000,"#.##0") &amp; "K")</f>
        <v/>
      </c>
      <c r="S40" s="150">
        <f>IFERROR(F40-W12Q2FY26!F42,"OOS")</f>
        <v/>
      </c>
      <c r="T40" s="147">
        <f>IF(S40=0,"",$A40 &amp; IF(S40&gt;0," tăng "," giảm ") &amp; TEXT(ABS(S40)/1000,"0") &amp; "K = " &amp; TEXT(F40/1000,"#.##0") &amp; "K")</f>
        <v/>
      </c>
      <c r="U40" s="150">
        <f>IFERROR(G40-W12Q2FY26!G42,"OOS")</f>
        <v/>
      </c>
      <c r="V40" s="147">
        <f>IF(U40=0,"",$A40 &amp; IF(U40&gt;0," tăng "," giảm ") &amp; TEXT(ABS(U40)/1000,"0") &amp; "K = " &amp; TEXT(G40/1000,"#.##0") &amp; "K")</f>
        <v/>
      </c>
    </row>
    <row r="41">
      <c r="A41" t="inlineStr">
        <is>
          <t>MacBook Pro 14" M5 16/512GB</t>
        </is>
      </c>
      <c r="B41" s="25" t="n"/>
      <c r="C41" s="136" t="n">
        <v>41990000</v>
      </c>
      <c r="D41" s="136" t="n">
        <v>41490000</v>
      </c>
      <c r="E41" s="143" t="n"/>
      <c r="F41" s="133" t="n">
        <v>41490000</v>
      </c>
      <c r="G41" s="111" t="n">
        <v>40690000</v>
      </c>
      <c r="H41" s="154" t="n"/>
      <c r="M41" s="149">
        <f>IFERROR(C41-W12Q2FY26!C43,"OOS")</f>
        <v/>
      </c>
      <c r="N41" s="147">
        <f>IF(M41=0,"",$A41 &amp; IF(M41&gt;0," tăng "," giảm ") &amp; TEXT(ABS(M41)/1000,"0") &amp; "K = " &amp; TEXT(C41/1000,"#.##0") &amp; "K")</f>
        <v/>
      </c>
      <c r="O41" s="150">
        <f>IFERROR(D41-W12Q2FY26!D43,"OOS")</f>
        <v/>
      </c>
      <c r="P41" s="147">
        <f>IF(O41=0,"",$A41 &amp; IF(O41&gt;0," tăng "," giảm ") &amp; TEXT(ABS(O41)/1000,"0") &amp; "K = " &amp; TEXT(D41/1000,"#.##0") &amp; "K")</f>
        <v/>
      </c>
      <c r="Q41" s="150">
        <f>IFERROR(E41-W12Q2FY26!E43,"OOS")</f>
        <v/>
      </c>
      <c r="R41" s="147">
        <f>IF(Q41=0,"",$A41 &amp; IF(Q41&gt;0," tăng "," giảm ") &amp; TEXT(ABS(Q41)/1000,"0") &amp; "K = " &amp; TEXT(E41/1000,"#.##0") &amp; "K")</f>
        <v/>
      </c>
      <c r="S41" s="150">
        <f>IFERROR(F41-W12Q2FY26!F43,"OOS")</f>
        <v/>
      </c>
      <c r="T41" s="147">
        <f>IF(S41=0,"",$A41 &amp; IF(S41&gt;0," tăng "," giảm ") &amp; TEXT(ABS(S41)/1000,"0") &amp; "K = " &amp; TEXT(F41/1000,"#.##0") &amp; "K")</f>
        <v/>
      </c>
      <c r="U41" s="150">
        <f>IFERROR(G41-W12Q2FY26!G43,"OOS")</f>
        <v/>
      </c>
      <c r="V41" s="147">
        <f>IF(U41=0,"",$A41 &amp; IF(U41&gt;0," tăng "," giảm ") &amp; TEXT(ABS(U41)/1000,"0") &amp; "K = " &amp; TEXT(G41/1000,"#.##0") &amp; "K")</f>
        <v/>
      </c>
    </row>
    <row r="42">
      <c r="A42" t="inlineStr">
        <is>
          <t>MacBook Pro 16" M4 24/512GB</t>
        </is>
      </c>
      <c r="B42" s="25" t="n"/>
      <c r="C42" s="136" t="inlineStr">
        <is>
          <t>OOS</t>
        </is>
      </c>
      <c r="D42" s="136" t="n">
        <v>62990000</v>
      </c>
      <c r="E42" s="143" t="n"/>
      <c r="F42" s="133" t="n">
        <v>62990000</v>
      </c>
      <c r="G42" s="111" t="n">
        <v>63990000</v>
      </c>
      <c r="H42" s="154" t="n"/>
      <c r="M42" s="149">
        <f>IFERROR(C42-W12Q2FY26!C44,"OOS")</f>
        <v/>
      </c>
      <c r="N42" s="147">
        <f>IF(M42=0,"",$A42 &amp; IF(M42&gt;0," tăng "," giảm ") &amp; TEXT(ABS(M42)/1000,"0") &amp; "K = " &amp; TEXT(C42/1000,"#.##0") &amp; "K")</f>
        <v/>
      </c>
      <c r="O42" s="150">
        <f>IFERROR(D42-W12Q2FY26!D44,"OOS")</f>
        <v/>
      </c>
      <c r="P42" s="147">
        <f>IF(O42=0,"",$A42 &amp; IF(O42&gt;0," tăng "," giảm ") &amp; TEXT(ABS(O42)/1000,"0") &amp; "K = " &amp; TEXT(D42/1000,"#.##0") &amp; "K")</f>
        <v/>
      </c>
      <c r="Q42" s="150">
        <f>IFERROR(E42-W12Q2FY26!E44,"OOS")</f>
        <v/>
      </c>
      <c r="R42" s="147">
        <f>IF(Q42=0,"",$A42 &amp; IF(Q42&gt;0," tăng "," giảm ") &amp; TEXT(ABS(Q42)/1000,"0") &amp; "K = " &amp; TEXT(E42/1000,"#.##0") &amp; "K")</f>
        <v/>
      </c>
      <c r="S42" s="150">
        <f>IFERROR(F42-W12Q2FY26!F44,"OOS")</f>
        <v/>
      </c>
      <c r="T42" s="147">
        <f>IF(S42=0,"",$A42 &amp; IF(S42&gt;0," tăng "," giảm ") &amp; TEXT(ABS(S42)/1000,"0") &amp; "K = " &amp; TEXT(F42/1000,"#.##0") &amp; "K")</f>
        <v/>
      </c>
      <c r="U42" s="150">
        <f>IFERROR(G42-W12Q2FY26!G44,"OOS")</f>
        <v/>
      </c>
      <c r="V42" s="147">
        <f>IF(U42=0,"",$A42 &amp; IF(U42&gt;0," tăng "," giảm ") &amp; TEXT(ABS(U42)/1000,"0") &amp; "K = " &amp; TEXT(G42/1000,"#.##0") &amp; "K")</f>
        <v/>
      </c>
    </row>
    <row r="43">
      <c r="C43" s="125" t="n"/>
      <c r="D43" s="125" t="n"/>
    </row>
    <row r="44">
      <c r="C44" s="125" t="n"/>
      <c r="D44" s="125" t="n"/>
    </row>
    <row r="45">
      <c r="C45" s="125" t="n"/>
      <c r="D45" s="125" t="n"/>
    </row>
    <row r="46">
      <c r="C46" s="125" t="n"/>
      <c r="D46" s="125" t="n"/>
    </row>
    <row r="47">
      <c r="C47" s="125" t="n"/>
      <c r="D47" s="125" t="n"/>
    </row>
    <row r="48">
      <c r="C48" s="125" t="n"/>
      <c r="D48" s="125" t="n"/>
    </row>
    <row r="49">
      <c r="C49" s="125" t="n"/>
      <c r="D49" s="125" t="n"/>
    </row>
    <row r="50">
      <c r="C50" s="125" t="n"/>
      <c r="D50" s="125" t="n"/>
    </row>
    <row r="51">
      <c r="C51" s="125" t="n"/>
      <c r="D51" s="125" t="n"/>
    </row>
    <row r="52">
      <c r="C52" s="125" t="n"/>
      <c r="D52" s="125" t="n"/>
    </row>
    <row r="53">
      <c r="C53" s="125" t="n"/>
      <c r="D53" s="125" t="n"/>
    </row>
    <row r="54">
      <c r="C54" s="125" t="n"/>
      <c r="D54" s="125" t="n"/>
    </row>
    <row r="55">
      <c r="C55" s="125" t="n"/>
      <c r="D55" s="125" t="n"/>
    </row>
    <row r="56">
      <c r="C56" s="125" t="n"/>
      <c r="D56" s="125" t="n"/>
    </row>
    <row r="57">
      <c r="C57" s="125" t="n"/>
      <c r="D57" s="125" t="n"/>
    </row>
    <row r="58">
      <c r="C58" s="125" t="n"/>
      <c r="D58" s="125" t="n"/>
    </row>
    <row r="59">
      <c r="C59" s="125" t="n"/>
      <c r="D59" s="125" t="n"/>
    </row>
    <row r="60">
      <c r="C60" s="125" t="n"/>
      <c r="D60" s="125" t="n"/>
    </row>
    <row r="61">
      <c r="C61" s="125" t="n"/>
      <c r="D61" s="125" t="n"/>
    </row>
    <row r="62">
      <c r="C62" s="125" t="n"/>
      <c r="D62" s="125" t="n"/>
    </row>
    <row r="63">
      <c r="C63" s="125" t="n"/>
      <c r="D63" s="125" t="n"/>
    </row>
    <row r="64">
      <c r="C64" s="125" t="n"/>
      <c r="D64" s="125" t="n"/>
    </row>
    <row r="65">
      <c r="C65" s="125" t="n"/>
      <c r="D65" s="125" t="n"/>
    </row>
    <row r="66">
      <c r="C66" s="125" t="n"/>
      <c r="D66" s="125" t="n"/>
    </row>
    <row r="67">
      <c r="C67" s="125" t="n"/>
      <c r="D67" s="125" t="n"/>
    </row>
    <row r="68">
      <c r="C68" s="125" t="n"/>
      <c r="D68" s="125" t="n"/>
    </row>
    <row r="69">
      <c r="C69" s="125" t="n"/>
      <c r="D69" s="125" t="n"/>
    </row>
    <row r="70">
      <c r="C70" s="125" t="n"/>
      <c r="D70" s="125" t="n"/>
    </row>
    <row r="71">
      <c r="C71" s="125" t="n"/>
      <c r="D71" s="125" t="n"/>
    </row>
    <row r="72">
      <c r="C72" s="125" t="n"/>
      <c r="D72" s="125" t="n"/>
    </row>
    <row r="73">
      <c r="C73" s="125" t="n"/>
      <c r="D73" s="125" t="n"/>
    </row>
    <row r="74">
      <c r="C74" s="125" t="n"/>
      <c r="D74" s="125" t="n"/>
    </row>
    <row r="75">
      <c r="C75" s="125" t="n"/>
      <c r="D75" s="125" t="n"/>
    </row>
    <row r="76">
      <c r="C76" s="125" t="n"/>
      <c r="D76" s="125" t="n"/>
    </row>
    <row r="77">
      <c r="C77" s="125" t="n"/>
      <c r="D77" s="125" t="n"/>
    </row>
    <row r="78">
      <c r="C78" s="125" t="n"/>
      <c r="D78" s="125" t="n"/>
    </row>
    <row r="79">
      <c r="C79" s="125" t="n"/>
      <c r="D79" s="125" t="n"/>
    </row>
    <row r="80">
      <c r="C80" s="125" t="n"/>
      <c r="D80" s="125" t="n"/>
    </row>
    <row r="81">
      <c r="C81" s="125" t="n"/>
      <c r="D81" s="125" t="n"/>
    </row>
    <row r="82">
      <c r="C82" s="125" t="n"/>
      <c r="D82" s="125" t="n"/>
    </row>
    <row r="83">
      <c r="C83" s="125" t="n"/>
      <c r="D83" s="125" t="n"/>
    </row>
    <row r="84">
      <c r="C84" s="125" t="n"/>
      <c r="D84" s="125" t="n"/>
    </row>
    <row r="85">
      <c r="C85" s="125" t="n"/>
      <c r="D85" s="125" t="n"/>
    </row>
    <row r="86">
      <c r="C86" s="125" t="n"/>
      <c r="D86" s="125" t="n"/>
    </row>
    <row r="87">
      <c r="C87" s="125" t="n"/>
      <c r="D87" s="125" t="n"/>
    </row>
    <row r="88">
      <c r="C88" s="125" t="n"/>
      <c r="D88" s="125" t="n"/>
    </row>
    <row r="89">
      <c r="C89" s="125" t="n"/>
      <c r="D89" s="125" t="n"/>
    </row>
    <row r="90">
      <c r="C90" s="125" t="n"/>
      <c r="D90" s="125" t="n"/>
    </row>
    <row r="91">
      <c r="C91" s="125" t="n"/>
      <c r="D91" s="125" t="n"/>
    </row>
    <row r="92">
      <c r="C92" s="125" t="n"/>
      <c r="D92" s="125" t="n"/>
    </row>
    <row r="93">
      <c r="C93" s="125" t="n"/>
      <c r="D93" s="125" t="n"/>
    </row>
    <row r="94">
      <c r="C94" s="125" t="n"/>
      <c r="D94" s="125" t="n"/>
    </row>
    <row r="95">
      <c r="C95" s="125" t="n"/>
      <c r="D95" s="125" t="n"/>
    </row>
    <row r="96">
      <c r="C96" s="125" t="n"/>
      <c r="D96" s="125" t="n"/>
    </row>
    <row r="97">
      <c r="C97" s="125" t="n"/>
      <c r="D97" s="125" t="n"/>
    </row>
    <row r="98">
      <c r="C98" s="125" t="n"/>
      <c r="D98" s="125" t="n"/>
    </row>
    <row r="99">
      <c r="C99" s="125" t="n"/>
      <c r="D99" s="125" t="n"/>
    </row>
    <row r="100">
      <c r="C100" s="125" t="n"/>
      <c r="D100" s="125" t="n"/>
    </row>
    <row r="101">
      <c r="C101" s="125" t="n"/>
      <c r="D101" s="125" t="n"/>
    </row>
    <row r="102">
      <c r="C102" s="125" t="n"/>
      <c r="D102" s="125" t="n"/>
    </row>
    <row r="103">
      <c r="C103" s="125" t="n"/>
      <c r="D103" s="125" t="n"/>
    </row>
    <row r="104">
      <c r="C104" s="125" t="n"/>
      <c r="D104" s="125" t="n"/>
    </row>
    <row r="105">
      <c r="C105" s="125" t="n"/>
      <c r="D105" s="125" t="n"/>
    </row>
    <row r="106">
      <c r="C106" s="125" t="n"/>
      <c r="D106" s="125" t="n"/>
    </row>
    <row r="107">
      <c r="C107" s="125" t="n"/>
      <c r="D107" s="125" t="n"/>
    </row>
    <row r="108">
      <c r="C108" s="125" t="n"/>
      <c r="D108" s="125" t="n"/>
    </row>
    <row r="109">
      <c r="C109" s="125" t="n"/>
      <c r="D109" s="125" t="n"/>
    </row>
    <row r="110">
      <c r="C110" s="125" t="n"/>
      <c r="D110" s="125" t="n"/>
    </row>
    <row r="111">
      <c r="C111" s="125" t="n"/>
      <c r="D111" s="125" t="n"/>
    </row>
    <row r="112">
      <c r="C112" s="125" t="n"/>
      <c r="D112" s="125" t="n"/>
    </row>
    <row r="113">
      <c r="C113" s="125" t="n"/>
      <c r="D113" s="125" t="n"/>
    </row>
    <row r="114">
      <c r="C114" s="125" t="n"/>
      <c r="D114" s="125" t="n"/>
    </row>
    <row r="115">
      <c r="C115" s="125" t="n"/>
      <c r="D115" s="125" t="n"/>
    </row>
    <row r="116">
      <c r="C116" s="125" t="n"/>
      <c r="D116" s="125" t="n"/>
    </row>
    <row r="117">
      <c r="C117" s="125" t="n"/>
      <c r="D117" s="125" t="n"/>
    </row>
    <row r="118">
      <c r="C118" s="125" t="n"/>
      <c r="D118" s="125" t="n"/>
    </row>
    <row r="119">
      <c r="C119" s="125" t="n"/>
      <c r="D119" s="125" t="n"/>
    </row>
    <row r="120">
      <c r="C120" s="125" t="n"/>
      <c r="D120" s="125" t="n"/>
    </row>
    <row r="121">
      <c r="C121" s="125" t="n"/>
      <c r="D121" s="125" t="n"/>
    </row>
    <row r="122">
      <c r="C122" s="125" t="n"/>
      <c r="D122" s="125" t="n"/>
    </row>
    <row r="123">
      <c r="C123" s="125" t="n"/>
      <c r="D123" s="125" t="n"/>
    </row>
    <row r="124">
      <c r="C124" s="125" t="n"/>
      <c r="D124" s="125" t="n"/>
    </row>
    <row r="125">
      <c r="C125" s="125" t="n"/>
      <c r="D125" s="125" t="n"/>
    </row>
    <row r="126">
      <c r="C126" s="125" t="n"/>
      <c r="D126" s="125" t="n"/>
    </row>
    <row r="127">
      <c r="C127" s="125" t="n"/>
      <c r="D127" s="125" t="n"/>
    </row>
    <row r="128">
      <c r="C128" s="125" t="n"/>
      <c r="D128" s="125" t="n"/>
    </row>
    <row r="129">
      <c r="C129" s="125" t="n"/>
      <c r="D129" s="125" t="n"/>
    </row>
    <row r="130">
      <c r="C130" s="125" t="n"/>
      <c r="D130" s="125" t="n"/>
    </row>
    <row r="131">
      <c r="C131" s="125" t="n"/>
      <c r="D131" s="125" t="n"/>
    </row>
    <row r="132">
      <c r="C132" s="125" t="n"/>
      <c r="D132" s="125" t="n"/>
    </row>
    <row r="133">
      <c r="C133" s="125" t="n"/>
      <c r="D133" s="125" t="n"/>
    </row>
    <row r="134">
      <c r="C134" s="125" t="n"/>
      <c r="D134" s="125" t="n"/>
    </row>
    <row r="135">
      <c r="C135" s="125" t="n"/>
      <c r="D135" s="125" t="n"/>
    </row>
    <row r="136">
      <c r="C136" s="125" t="n"/>
      <c r="D136" s="125" t="n"/>
    </row>
    <row r="137">
      <c r="C137" s="125" t="n"/>
      <c r="D137" s="125" t="n"/>
    </row>
    <row r="138">
      <c r="C138" s="125" t="n"/>
      <c r="D138" s="125" t="n"/>
    </row>
    <row r="139">
      <c r="C139" s="125" t="n"/>
      <c r="D139" s="125" t="n"/>
    </row>
    <row r="140">
      <c r="C140" s="125" t="n"/>
      <c r="D140" s="125" t="n"/>
    </row>
    <row r="141">
      <c r="C141" s="125" t="n"/>
      <c r="D141" s="125" t="n"/>
    </row>
    <row r="142">
      <c r="C142" s="125" t="n"/>
      <c r="D142" s="125" t="n"/>
    </row>
    <row r="143">
      <c r="C143" s="125" t="n"/>
      <c r="D143" s="125" t="n"/>
    </row>
    <row r="144">
      <c r="C144" s="125" t="n"/>
      <c r="D144" s="125" t="n"/>
    </row>
    <row r="145">
      <c r="C145" s="125" t="n"/>
      <c r="D145" s="125" t="n"/>
    </row>
    <row r="146">
      <c r="C146" s="125" t="n"/>
      <c r="D146" s="125" t="n"/>
    </row>
    <row r="147">
      <c r="C147" s="125" t="n"/>
      <c r="D147" s="125" t="n"/>
    </row>
    <row r="148">
      <c r="C148" s="125" t="n"/>
      <c r="D148" s="125" t="n"/>
    </row>
    <row r="149">
      <c r="C149" s="125" t="n"/>
      <c r="D149" s="125" t="n"/>
    </row>
    <row r="150">
      <c r="C150" s="125" t="n"/>
      <c r="D150" s="125" t="n"/>
    </row>
    <row r="151">
      <c r="C151" s="125" t="n"/>
      <c r="D151" s="125" t="n"/>
    </row>
    <row r="152">
      <c r="C152" s="125" t="n"/>
      <c r="D152" s="125" t="n"/>
    </row>
    <row r="153">
      <c r="C153" s="125" t="n"/>
      <c r="D153" s="125" t="n"/>
    </row>
    <row r="154">
      <c r="C154" s="125" t="n"/>
      <c r="D154" s="125" t="n"/>
    </row>
  </sheetData>
  <conditionalFormatting sqref="E3:E42">
    <cfRule type="expression" priority="15" dxfId="3" stopIfTrue="1">
      <formula>$Q3=0</formula>
    </cfRule>
    <cfRule type="expression" priority="16" dxfId="2" stopIfTrue="1">
      <formula>AND($Q3&lt;&gt;0,$Q3&lt;&gt;"")</formula>
    </cfRule>
  </conditionalFormatting>
  <conditionalFormatting sqref="G10:G11">
    <cfRule type="expression" priority="1" dxfId="3" stopIfTrue="1">
      <formula>$Q10=0</formula>
    </cfRule>
    <cfRule type="expression" priority="2" dxfId="2" stopIfTrue="1">
      <formula>AND($Q10&lt;&gt;0,$Q10&lt;&gt;"")</formula>
    </cfRule>
  </conditionalFormatting>
  <conditionalFormatting sqref="N2:N42 P2:P42 R2:R42 T2:T42 V2:V42">
    <cfRule type="containsText" priority="5" operator="containsText" dxfId="1" text="Tăng">
      <formula>NOT(ISERROR(SEARCH("Tăng",N2)))</formula>
    </cfRule>
    <cfRule type="containsText" priority="6"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1.xml><?xml version="1.0" encoding="utf-8"?>
<worksheet xmlns="http://schemas.openxmlformats.org/spreadsheetml/2006/main">
  <sheetPr>
    <outlinePr summaryBelow="1" summaryRight="1"/>
    <pageSetUpPr/>
  </sheetPr>
  <dimension ref="A1:Y154"/>
  <sheetViews>
    <sheetView showGridLines="0" zoomScale="80" zoomScaleNormal="80" workbookViewId="0">
      <pane xSplit="2" ySplit="1" topLeftCell="C4" activePane="bottomRight" state="frozen"/>
      <selection pane="bottomRight" activeCell="C1" sqref="C1"/>
      <selection pane="bottomLeft" activeCell="A2" sqref="A2"/>
      <selection pane="topRight" activeCell="C1" sqref="C1"/>
    </sheetView>
  </sheetViews>
  <sheetFormatPr baseColWidth="8" defaultColWidth="11" defaultRowHeight="15.95"/>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3.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7" t="n">
        <v>17990000</v>
      </c>
      <c r="D2" s="128" t="n">
        <v>17790000</v>
      </c>
      <c r="E2" s="129" t="n">
        <v>17790000</v>
      </c>
      <c r="F2" s="157" t="n">
        <v>17790000</v>
      </c>
      <c r="G2" s="111" t="n">
        <v>17790000</v>
      </c>
      <c r="H2" s="154" t="n"/>
      <c r="M2" s="149">
        <f>IFERROR(C2-W13Q2FY26!C2,"OOS")</f>
        <v/>
      </c>
      <c r="N2" s="147">
        <f>IF(M2=0,"",$A2 &amp; IF(M2&gt;0," tăng "," giảm ") &amp; TEXT(ABS(M2)/1000,"0") &amp; "K = " &amp; TEXT(C2/1000,"#.##0") &amp; "K")</f>
        <v/>
      </c>
      <c r="O2" s="150">
        <f>IFERROR(D2-W13Q2FY26!D2,"OOS")</f>
        <v/>
      </c>
      <c r="P2" s="147">
        <f>IF(O2=0,"",$A2 &amp; IF(O2&gt;0," tăng "," giảm ") &amp; TEXT(ABS(O2)/1000,"0") &amp; "K = " &amp; TEXT(D2/1000,"#.##0") &amp; "K")</f>
        <v/>
      </c>
      <c r="Q2" s="150">
        <f>IFERROR(E2-W13Q2FY26!E2,"OOS")</f>
        <v/>
      </c>
      <c r="R2" s="147">
        <f>IF(Q2=0,"",$A2 &amp; IF(Q2&gt;0," tăng "," giảm ") &amp; TEXT(ABS(Q2)/1000,"0") &amp; "K = " &amp; TEXT(E2/1000,"#.##0") &amp; "K")</f>
        <v/>
      </c>
      <c r="S2" s="150">
        <f>IFERROR(F2-W13Q2FY26!F2,"OOS")</f>
        <v/>
      </c>
      <c r="T2" s="147">
        <f>IF(S2=0,"",$A2 &amp; IF(S2&gt;0," tăng "," giảm ") &amp; TEXT(ABS(S2)/1000,"0") &amp; "K = " &amp; TEXT(F2/1000,"#.##0") &amp; "K")</f>
        <v/>
      </c>
      <c r="U2" s="150">
        <f>IFERROR(G2-W13Q2FY26!G2,"OOS")</f>
        <v/>
      </c>
      <c r="V2" s="147">
        <f>IF(U2=0,"",$A2 &amp; IF(U2&gt;0," tăng "," giảm ") &amp; TEXT(ABS(U2)/1000,"0") &amp; "K = " &amp; TEXT(G2/1000,"#.##0") &amp; "K")</f>
        <v/>
      </c>
    </row>
    <row r="3">
      <c r="A3" t="inlineStr">
        <is>
          <t>iPhone 17  256GB</t>
        </is>
      </c>
      <c r="B3" s="83" t="n"/>
      <c r="C3" s="130" t="n">
        <v>24890000</v>
      </c>
      <c r="D3" s="130" t="n">
        <v>24590000</v>
      </c>
      <c r="E3" s="131" t="n">
        <v>24190000</v>
      </c>
      <c r="F3" s="132" t="n">
        <v>24490000</v>
      </c>
      <c r="G3" s="111" t="n">
        <v>24190000</v>
      </c>
      <c r="H3" s="154" t="n"/>
      <c r="M3" s="149">
        <f>IFERROR(C3-W13Q2FY26!C3,"OOS")</f>
        <v/>
      </c>
      <c r="N3" s="147">
        <f>IF(M3=0,"",$A3 &amp; IF(M3&gt;0," tăng "," giảm ") &amp; TEXT(ABS(M3)/1000,"0") &amp; "K = " &amp; TEXT(C3/1000,"#.##0") &amp; "K")</f>
        <v/>
      </c>
      <c r="O3" s="150">
        <f>IFERROR(D3-W13Q2FY26!D3,"OOS")</f>
        <v/>
      </c>
      <c r="P3" s="147">
        <f>IF(O3=0,"",$A3 &amp; IF(O3&gt;0," tăng "," giảm ") &amp; TEXT(ABS(O3)/1000,"0") &amp; "K = " &amp; TEXT(D3/1000,"#.##0") &amp; "K")</f>
        <v/>
      </c>
      <c r="Q3" s="150">
        <f>IFERROR(E3-W13Q2FY26!E3,"OOS")</f>
        <v/>
      </c>
      <c r="R3" s="147">
        <f>IF(Q3=0,"",$A3 &amp; IF(Q3&gt;0," tăng "," giảm ") &amp; TEXT(ABS(Q3)/1000,"0") &amp; "K = " &amp; TEXT(E3/1000,"#.##0") &amp; "K")</f>
        <v/>
      </c>
      <c r="S3" s="150">
        <f>IFERROR(F3-W13Q2FY26!F3,"OOS")</f>
        <v/>
      </c>
      <c r="T3" s="147">
        <f>IF(S3=0,"",$A3 &amp; IF(S3&gt;0," tăng "," giảm ") &amp; TEXT(ABS(S3)/1000,"0") &amp; "K = " &amp; TEXT(F3/1000,"#.##0") &amp; "K")</f>
        <v/>
      </c>
      <c r="U3" s="150">
        <f>IFERROR(G3-W13Q2FY26!G3,"OOS")</f>
        <v/>
      </c>
      <c r="V3" s="147">
        <f>IF(U3=0,"",$A3 &amp; IF(U3&gt;0," tăng "," giảm ") &amp; TEXT(ABS(U3)/1000,"0") &amp; "K = " &amp; TEXT(G3/1000,"#.##0") &amp; "K")</f>
        <v/>
      </c>
    </row>
    <row r="4">
      <c r="A4" t="inlineStr">
        <is>
          <t>iPhone Air 256G</t>
        </is>
      </c>
      <c r="B4" s="83" t="n"/>
      <c r="C4" s="128" t="n">
        <v>24990000</v>
      </c>
      <c r="D4" s="128" t="n">
        <v>24990000</v>
      </c>
      <c r="E4" s="131" t="n">
        <v>23490000</v>
      </c>
      <c r="F4" s="133" t="n">
        <v>23990000</v>
      </c>
      <c r="G4" s="112" t="n">
        <v>23990000</v>
      </c>
      <c r="H4" s="154" t="n"/>
      <c r="M4" s="149">
        <f>IFERROR(C4-W13Q2FY26!C4,"OOS")</f>
        <v/>
      </c>
      <c r="N4" s="147">
        <f>IF(M4=0,"",$A4 &amp; IF(M4&gt;0," tăng "," giảm ") &amp; TEXT(ABS(M4)/1000,"0") &amp; "K = " &amp; TEXT(C4/1000,"#.##0") &amp; "K")</f>
        <v/>
      </c>
      <c r="O4" s="150">
        <f>IFERROR(D4-W13Q2FY26!D4,"OOS")</f>
        <v/>
      </c>
      <c r="P4" s="147">
        <f>IF(O4=0,"",$A4 &amp; IF(O4&gt;0," tăng "," giảm ") &amp; TEXT(ABS(O4)/1000,"0") &amp; "K = " &amp; TEXT(D4/1000,"#.##0") &amp; "K")</f>
        <v/>
      </c>
      <c r="Q4" s="150">
        <f>IFERROR(E4-W13Q2FY26!E4,"OOS")</f>
        <v/>
      </c>
      <c r="R4" s="147">
        <f>IF(Q4=0,"",$A4 &amp; IF(Q4&gt;0," tăng "," giảm ") &amp; TEXT(ABS(Q4)/1000,"0") &amp; "K = " &amp; TEXT(E4/1000,"#.##0") &amp; "K")</f>
        <v/>
      </c>
      <c r="S4" s="150">
        <f>IFERROR(F4-W13Q2FY26!F4,"OOS")</f>
        <v/>
      </c>
      <c r="T4" s="147">
        <f>IF(S4=0,"",$A4 &amp; IF(S4&gt;0," tăng "," giảm ") &amp; TEXT(ABS(S4)/1000,"0") &amp; "K = " &amp; TEXT(F4/1000,"#.##0") &amp; "K")</f>
        <v/>
      </c>
      <c r="U4" s="150">
        <f>IFERROR(G4-W13Q2FY26!G4,"OOS")</f>
        <v/>
      </c>
      <c r="V4" s="147">
        <f>IF(U4=0,"",$A4 &amp; IF(U4&gt;0," tăng "," giảm ") &amp; TEXT(ABS(U4)/1000,"0") &amp; "K = " &amp; TEXT(G4/1000,"#.##0") &amp; "K")</f>
        <v/>
      </c>
    </row>
    <row r="5">
      <c r="A5" t="inlineStr">
        <is>
          <t>iPhone 17 Pro 256GB</t>
        </is>
      </c>
      <c r="B5" s="83" t="n"/>
      <c r="C5" s="128" t="n">
        <v>34790000</v>
      </c>
      <c r="D5" s="128" t="n">
        <v>34490000</v>
      </c>
      <c r="E5" s="131" t="n">
        <v>33190000</v>
      </c>
      <c r="F5" s="134" t="n">
        <v>34890000</v>
      </c>
      <c r="G5" s="111" t="n">
        <v>34190000</v>
      </c>
      <c r="H5" s="154" t="n"/>
      <c r="M5" s="149">
        <f>IFERROR(C5-W13Q2FY26!C5,"OOS")</f>
        <v/>
      </c>
      <c r="N5" s="147">
        <f>IF(M5=0,"",$A5 &amp; IF(M5&gt;0," tăng "," giảm ") &amp; TEXT(ABS(M5)/1000,"0") &amp; "K = " &amp; TEXT(C5/1000,"#.##0") &amp; "K")</f>
        <v/>
      </c>
      <c r="O5" s="150">
        <f>IFERROR(D5-W13Q2FY26!D5,"OOS")</f>
        <v/>
      </c>
      <c r="P5" s="147">
        <f>IF(O5=0,"",$A5 &amp; IF(O5&gt;0," tăng "," giảm ") &amp; TEXT(ABS(O5)/1000,"0") &amp; "K = " &amp; TEXT(D5/1000,"#.##0") &amp; "K")</f>
        <v/>
      </c>
      <c r="Q5" s="150">
        <f>IFERROR(E5-W13Q2FY26!E5,"OOS")</f>
        <v/>
      </c>
      <c r="R5" s="147">
        <f>IF(Q5=0,"",$A5 &amp; IF(Q5&gt;0," tăng "," giảm ") &amp; TEXT(ABS(Q5)/1000,"0") &amp; "K = " &amp; TEXT(E5/1000,"#.##0") &amp; "K")</f>
        <v/>
      </c>
      <c r="S5" s="150">
        <f>IFERROR(F5-W13Q2FY26!F5,"OOS")</f>
        <v/>
      </c>
      <c r="T5" s="147">
        <f>IF(S5=0,"",$A5 &amp; IF(S5&gt;0," tăng "," giảm ") &amp; TEXT(ABS(S5)/1000,"0") &amp; "K = " &amp; TEXT(F5/1000,"#.##0") &amp; "K")</f>
        <v/>
      </c>
      <c r="U5" s="150">
        <f>IFERROR(G5-W13Q2FY26!G5,"OOS")</f>
        <v/>
      </c>
      <c r="V5" s="147">
        <f>IF(U5=0,"",$A5 &amp; IF(U5&gt;0," tăng "," giảm ") &amp; TEXT(ABS(U5)/1000,"0") &amp; "K = " &amp; TEXT(G5/1000,"#.##0") &amp; "K")</f>
        <v/>
      </c>
    </row>
    <row r="6">
      <c r="A6" t="inlineStr">
        <is>
          <t>iPhone 17 Pro Max 256GB</t>
        </is>
      </c>
      <c r="B6" s="83" t="n"/>
      <c r="C6" s="128" t="n">
        <v>37990000</v>
      </c>
      <c r="D6" s="128" t="n">
        <v>37790000</v>
      </c>
      <c r="E6" s="135" t="n">
        <v>36290000</v>
      </c>
      <c r="F6" s="133" t="n">
        <v>37790000</v>
      </c>
      <c r="G6" s="111" t="n">
        <v>36990000</v>
      </c>
      <c r="H6" s="154" t="n"/>
      <c r="M6" s="149">
        <f>IFERROR(C6-W13Q2FY26!C6,"OOS")</f>
        <v/>
      </c>
      <c r="N6" s="147">
        <f>IF(M6=0,"",$A6 &amp; IF(M6&gt;0," tăng "," giảm ") &amp; TEXT(ABS(M6)/1000,"0") &amp; "K = " &amp; TEXT(C6/1000,"#.##0") &amp; "K")</f>
        <v/>
      </c>
      <c r="O6" s="150">
        <f>IFERROR(D6-W13Q2FY26!D6,"OOS")</f>
        <v/>
      </c>
      <c r="P6" s="147">
        <f>IF(O6=0,"",$A6 &amp; IF(O6&gt;0," tăng "," giảm ") &amp; TEXT(ABS(O6)/1000,"0") &amp; "K = " &amp; TEXT(D6/1000,"#.##0") &amp; "K")</f>
        <v/>
      </c>
      <c r="Q6" s="150">
        <f>IFERROR(E6-W13Q2FY26!E6,"OOS")</f>
        <v/>
      </c>
      <c r="R6" s="147">
        <f>IF(Q6=0,"",$A6 &amp; IF(Q6&gt;0," tăng "," giảm ") &amp; TEXT(ABS(Q6)/1000,"0") &amp; "K = " &amp; TEXT(E6/1000,"#.##0") &amp; "K")</f>
        <v/>
      </c>
      <c r="S6" s="150">
        <f>IFERROR(F6-W13Q2FY26!F6,"OOS")</f>
        <v/>
      </c>
      <c r="T6" s="147">
        <f>IF(S6=0,"",$A6 &amp; IF(S6&gt;0," tăng "," giảm ") &amp; TEXT(ABS(S6)/1000,"0") &amp; "K = " &amp; TEXT(F6/1000,"#.##0") &amp; "K")</f>
        <v/>
      </c>
      <c r="U6" s="150">
        <f>IFERROR(G6-W13Q2FY26!G6,"OOS")</f>
        <v/>
      </c>
      <c r="V6" s="147">
        <f>IF(U6=0,"",$A6 &amp; IF(U6&gt;0," tăng "," giảm ") &amp; TEXT(ABS(U6)/1000,"0") &amp; "K = " &amp; TEXT(G6/1000,"#.##0") &amp; "K")</f>
        <v/>
      </c>
    </row>
    <row r="7">
      <c r="A7" t="inlineStr">
        <is>
          <t>iPhone 16e  128GB</t>
        </is>
      </c>
      <c r="B7" s="83" t="n"/>
      <c r="C7" s="130" t="n">
        <v>15990000</v>
      </c>
      <c r="D7" s="136" t="n">
        <v>16690000</v>
      </c>
      <c r="E7" s="135" t="n">
        <v>12490000</v>
      </c>
      <c r="F7" s="137" t="n">
        <v>12490000</v>
      </c>
      <c r="G7" s="111" t="n">
        <v>15190000</v>
      </c>
      <c r="H7" s="154" t="n"/>
      <c r="M7" s="149">
        <f>IFERROR(C7-W13Q2FY26!C7,"OOS")</f>
        <v/>
      </c>
      <c r="N7" s="147">
        <f>IF(M7=0,"",$A7 &amp; IF(M7&gt;0," tăng "," giảm ") &amp; TEXT(ABS(M7)/1000,"0") &amp; "K = " &amp; TEXT(C7/1000,"#.##0") &amp; "K")</f>
        <v/>
      </c>
      <c r="O7" s="150">
        <f>IFERROR(D7-W13Q2FY26!D7,"OOS")</f>
        <v/>
      </c>
      <c r="P7" s="147">
        <f>IF(O7=0,"",$A7 &amp; IF(O7&gt;0," tăng "," giảm ") &amp; TEXT(ABS(O7)/1000,"0") &amp; "K = " &amp; TEXT(D7/1000,"#.##0") &amp; "K")</f>
        <v/>
      </c>
      <c r="Q7" s="150">
        <f>IFERROR(E7-W13Q2FY26!E7,"OOS")</f>
        <v/>
      </c>
      <c r="R7" s="147">
        <f>IF(Q7=0,"",$A7 &amp; IF(Q7&gt;0," tăng "," giảm ") &amp; TEXT(ABS(Q7)/1000,"0") &amp; "K = " &amp; TEXT(E7/1000,"#.##0") &amp; "K")</f>
        <v/>
      </c>
      <c r="S7" s="150">
        <f>IFERROR(F7-W13Q2FY26!F7,"OOS")</f>
        <v/>
      </c>
      <c r="T7" s="147">
        <f>IF(S7=0,"",$A7 &amp; IF(S7&gt;0," tăng "," giảm ") &amp; TEXT(ABS(S7)/1000,"0") &amp; "K = " &amp; TEXT(F7/1000,"#.##0") &amp; "K")</f>
        <v/>
      </c>
      <c r="U7" s="150">
        <f>IFERROR(G7-W13Q2FY26!G7,"OOS")</f>
        <v/>
      </c>
      <c r="V7" s="147">
        <f>IF(U7=0,"",$A7 &amp; IF(U7&gt;0," tăng "," giảm ") &amp; TEXT(ABS(U7)/1000,"0") &amp; "K = " &amp; TEXT(G7/1000,"#.##0") &amp; "K")</f>
        <v/>
      </c>
    </row>
    <row r="8">
      <c r="A8" t="inlineStr">
        <is>
          <t>iPhone 16 128GB</t>
        </is>
      </c>
      <c r="B8" s="71" t="n"/>
      <c r="C8" s="139" t="n">
        <v>21290000</v>
      </c>
      <c r="D8" s="139" t="n">
        <v>20990000</v>
      </c>
      <c r="E8" s="140" t="n">
        <v>20490000</v>
      </c>
      <c r="F8" s="133" t="n">
        <v>21090000</v>
      </c>
      <c r="G8" s="111" t="n">
        <v>20790000</v>
      </c>
      <c r="H8" s="154" t="n"/>
      <c r="M8" s="149">
        <f>IFERROR(C8-W13Q2FY26!C8,"OOS")</f>
        <v/>
      </c>
      <c r="N8" s="147">
        <f>IF(M8=0,"",$A8 &amp; IF(M8&gt;0," tăng "," giảm ") &amp; TEXT(ABS(M8)/1000,"0") &amp; "K = " &amp; TEXT(C8/1000,"#.##0") &amp; "K")</f>
        <v/>
      </c>
      <c r="O8" s="150">
        <f>IFERROR(D8-W13Q2FY26!D8,"OOS")</f>
        <v/>
      </c>
      <c r="P8" s="147">
        <f>IF(O8=0,"",$A8 &amp; IF(O8&gt;0," tăng "," giảm ") &amp; TEXT(ABS(O8)/1000,"0") &amp; "K = " &amp; TEXT(D8/1000,"#.##0") &amp; "K")</f>
        <v/>
      </c>
      <c r="Q8" s="150">
        <f>IFERROR(E8-W13Q2FY26!E8,"OOS")</f>
        <v/>
      </c>
      <c r="R8" s="147">
        <f>IF(Q8=0,"",$A8 &amp; IF(Q8&gt;0," tăng "," giảm ") &amp; TEXT(ABS(Q8)/1000,"0") &amp; "K = " &amp; TEXT(E8/1000,"#.##0") &amp; "K")</f>
        <v/>
      </c>
      <c r="S8" s="150">
        <f>IFERROR(F8-W13Q2FY26!F8,"OOS")</f>
        <v/>
      </c>
      <c r="T8" s="147">
        <f>IF(S8=0,"",$A8 &amp; IF(S8&gt;0," tăng "," giảm ") &amp; TEXT(ABS(S8)/1000,"0") &amp; "K = " &amp; TEXT(F8/1000,"#.##0") &amp; "K")</f>
        <v/>
      </c>
      <c r="U8" s="150">
        <f>IFERROR(G8-W13Q2FY26!G8,"OOS")</f>
        <v/>
      </c>
      <c r="V8" s="147">
        <f>IF(U8=0,"",$A8 &amp; IF(U8&gt;0," tăng "," giảm ") &amp; TEXT(ABS(U8)/1000,"0") &amp; "K = " &amp; TEXT(G8/1000,"#.##0") &amp; "K")</f>
        <v/>
      </c>
    </row>
    <row r="9">
      <c r="A9" t="inlineStr">
        <is>
          <t>iPhone 16  Plus 128GB</t>
        </is>
      </c>
      <c r="B9" s="3" t="n"/>
      <c r="C9" s="136" t="n">
        <v>25290000</v>
      </c>
      <c r="D9" s="141" t="n">
        <v>24990000</v>
      </c>
      <c r="E9" s="140" t="n">
        <v>23990000</v>
      </c>
      <c r="F9" s="133" t="n">
        <v>25090000</v>
      </c>
      <c r="G9" s="111" t="n">
        <v>24590000</v>
      </c>
      <c r="H9" s="154" t="n"/>
      <c r="M9" s="149">
        <f>IFERROR(C9-W13Q2FY26!C9,"OOS")</f>
        <v/>
      </c>
      <c r="N9" s="147">
        <f>IF(M9=0,"",$A9 &amp; IF(M9&gt;0," tăng "," giảm ") &amp; TEXT(ABS(M9)/1000,"0") &amp; "K = " &amp; TEXT(C9/1000,"#.##0") &amp; "K")</f>
        <v/>
      </c>
      <c r="O9" s="150">
        <f>IFERROR(D9-W13Q2FY26!D9,"OOS")</f>
        <v/>
      </c>
      <c r="P9" s="147">
        <f>IF(O9=0,"",$A9 &amp; IF(O9&gt;0," tăng "," giảm ") &amp; TEXT(ABS(O9)/1000,"0") &amp; "K = " &amp; TEXT(D9/1000,"#.##0") &amp; "K")</f>
        <v/>
      </c>
      <c r="Q9" s="150">
        <f>IFERROR(E9-W13Q2FY26!E9,"OOS")</f>
        <v/>
      </c>
      <c r="R9" s="147">
        <f>IF(Q9=0,"",$A9 &amp; IF(Q9&gt;0," tăng "," giảm ") &amp; TEXT(ABS(Q9)/1000,"0") &amp; "K = " &amp; TEXT(E9/1000,"#.##0") &amp; "K")</f>
        <v/>
      </c>
      <c r="S9" s="150">
        <f>IFERROR(F9-W13Q2FY26!F9,"OOS")</f>
        <v/>
      </c>
      <c r="T9" s="147">
        <f>IF(S9=0,"",$A9 &amp; IF(S9&gt;0," tăng "," giảm ") &amp; TEXT(ABS(S9)/1000,"0") &amp; "K = " &amp; TEXT(F9/1000,"#.##0") &amp; "K")</f>
        <v/>
      </c>
      <c r="U9" s="150">
        <f>IFERROR(G9-W13Q2FY26!G9,"OOS")</f>
        <v/>
      </c>
      <c r="V9" s="147">
        <f>IF(U9=0,"",$A9 &amp; IF(U9&gt;0," tăng "," giảm ") &amp; TEXT(ABS(U9)/1000,"0") &amp; "K = " &amp; TEXT(G9/1000,"#.##0") &amp; "K")</f>
        <v/>
      </c>
    </row>
    <row r="10">
      <c r="A10" t="inlineStr">
        <is>
          <t>iPhone 16 Pro 128GB</t>
        </is>
      </c>
      <c r="B10" s="25" t="n"/>
      <c r="C10" s="136" t="inlineStr">
        <is>
          <t>OOS</t>
        </is>
      </c>
      <c r="D10" s="111" t="n">
        <v>25590000</v>
      </c>
      <c r="E10" s="113" t="inlineStr">
        <is>
          <t>OOS</t>
        </is>
      </c>
      <c r="F10" s="134" t="n">
        <v>25990000</v>
      </c>
      <c r="G10" s="111" t="inlineStr">
        <is>
          <t>OOS</t>
        </is>
      </c>
      <c r="H10" s="154" t="n"/>
      <c r="M10" s="149">
        <f>IFERROR(C10-W13Q2FY26!C10,"OOS")</f>
        <v/>
      </c>
      <c r="N10" s="147">
        <f>IF(M10=0,"",$A10 &amp; IF(M10&gt;0," tăng "," giảm ") &amp; TEXT(ABS(M10)/1000,"0") &amp; "K = " &amp; TEXT(C10/1000,"#.##0") &amp; "K")</f>
        <v/>
      </c>
      <c r="O10" s="150">
        <f>IFERROR(D10-W13Q2FY26!D10,"OOS")</f>
        <v/>
      </c>
      <c r="P10" s="147">
        <f>IF(O10=0,"",$A10 &amp; IF(O10&gt;0," tăng "," giảm ") &amp; TEXT(ABS(O10)/1000,"0") &amp; "K = " &amp; TEXT(D10/1000,"#.##0") &amp; "K")</f>
        <v/>
      </c>
      <c r="Q10" s="150">
        <f>IFERROR(E10-W13Q2FY26!E10,"OOS")</f>
        <v/>
      </c>
      <c r="R10" s="147">
        <f>IF(Q10=0,"",$A10 &amp; IF(Q10&gt;0," tăng "," giảm ") &amp; TEXT(ABS(Q10)/1000,"0") &amp; "K = " &amp; TEXT(E10/1000,"#.##0") &amp; "K")</f>
        <v/>
      </c>
      <c r="S10" s="150">
        <f>IFERROR(F10-W13Q2FY26!F10,"OOS")</f>
        <v/>
      </c>
      <c r="T10" s="147">
        <f>IF(S10=0,"",$A10 &amp; IF(S10&gt;0," tăng "," giảm ") &amp; TEXT(ABS(S10)/1000,"0") &amp; "K = " &amp; TEXT(F10/1000,"#.##0") &amp; "K")</f>
        <v/>
      </c>
      <c r="U10" s="150">
        <f>IFERROR(G10-W13Q2FY26!G10,"OOS")</f>
        <v/>
      </c>
      <c r="V10" s="147">
        <f>IF(U10=0,"",$A10 &amp; IF(U10&gt;0," tăng "," giảm ") &amp; TEXT(ABS(U10)/1000,"0") &amp; "K = " &amp; TEXT(G10/1000,"#.##0") &amp; "K")</f>
        <v/>
      </c>
    </row>
    <row r="11">
      <c r="A11" t="inlineStr">
        <is>
          <t>iPhone 16 Pro Max 256GB</t>
        </is>
      </c>
      <c r="B11" s="3" t="n"/>
      <c r="C11" s="141" t="n">
        <v>31590000</v>
      </c>
      <c r="D11" s="113" t="inlineStr">
        <is>
          <t>OOS</t>
        </is>
      </c>
      <c r="E11" s="113" t="inlineStr">
        <is>
          <t>OOS</t>
        </is>
      </c>
      <c r="F11" s="134" t="n">
        <v>31590000</v>
      </c>
      <c r="G11" s="111" t="inlineStr">
        <is>
          <t>OOS</t>
        </is>
      </c>
      <c r="H11" s="154" t="n"/>
      <c r="M11" s="149">
        <f>IFERROR(C11-W13Q2FY26!C11,"OOS")</f>
        <v/>
      </c>
      <c r="N11" s="147">
        <f>IF(M11=0,"",$A11 &amp; IF(M11&gt;0," tăng "," giảm ") &amp; TEXT(ABS(M11)/1000,"0") &amp; "K = " &amp; TEXT(C11/1000,"#.##0") &amp; "K")</f>
        <v/>
      </c>
      <c r="O11" s="150">
        <f>IFERROR(D11-W13Q2FY26!D11,"OOS")</f>
        <v/>
      </c>
      <c r="P11" s="147">
        <f>IF(O11=0,"",$A11 &amp; IF(O11&gt;0," tăng "," giảm ") &amp; TEXT(ABS(O11)/1000,"0") &amp; "K = " &amp; TEXT(D11/1000,"#.##0") &amp; "K")</f>
        <v/>
      </c>
      <c r="Q11" s="150">
        <f>IFERROR(E11-W13Q2FY26!E11,"OOS")</f>
        <v/>
      </c>
      <c r="R11" s="147">
        <f>IF(Q11=0,"",$A11 &amp; IF(Q11&gt;0," tăng "," giảm ") &amp; TEXT(ABS(Q11)/1000,"0") &amp; "K = " &amp; TEXT(E11/1000,"#.##0") &amp; "K")</f>
        <v/>
      </c>
      <c r="S11" s="150">
        <f>IFERROR(F11-W13Q2FY26!F11,"OOS")</f>
        <v/>
      </c>
      <c r="T11" s="147">
        <f>IF(S11=0,"",$A11 &amp; IF(S11&gt;0," tăng "," giảm ") &amp; TEXT(ABS(S11)/1000,"0") &amp; "K = " &amp; TEXT(F11/1000,"#.##0") &amp; "K")</f>
        <v/>
      </c>
      <c r="U11" s="150">
        <f>IFERROR(G11-W13Q2FY26!G11,"OOS")</f>
        <v/>
      </c>
      <c r="V11" s="147">
        <f>IF(U11=0,"",$A11 &amp; IF(U11&gt;0," tăng "," giảm ") &amp; TEXT(ABS(U11)/1000,"0") &amp; "K = " &amp; TEXT(G11/1000,"#.##0") &amp; "K")</f>
        <v/>
      </c>
    </row>
    <row r="12">
      <c r="A12" t="inlineStr">
        <is>
          <t>iPhone 15  128GB</t>
        </is>
      </c>
      <c r="B12" s="25" t="n"/>
      <c r="C12" s="136" t="n">
        <v>17990000</v>
      </c>
      <c r="D12" s="136" t="n">
        <v>17990000</v>
      </c>
      <c r="E12" s="155" t="n">
        <v>17690000</v>
      </c>
      <c r="F12" s="133" t="n">
        <v>17990000</v>
      </c>
      <c r="G12" s="111" t="n">
        <v>17690000</v>
      </c>
      <c r="H12" s="154" t="n"/>
      <c r="M12" s="149">
        <f>IFERROR(C12-W13Q2FY26!C12,"OOS")</f>
        <v/>
      </c>
      <c r="N12" s="147">
        <f>IF(M12=0,"",$A12 &amp; IF(M12&gt;0," tăng "," giảm ") &amp; TEXT(ABS(M12)/1000,"0") &amp; "K = " &amp; TEXT(C12/1000,"#.##0") &amp; "K")</f>
        <v/>
      </c>
      <c r="O12" s="150">
        <f>IFERROR(D12-W13Q2FY26!D12,"OOS")</f>
        <v/>
      </c>
      <c r="P12" s="147">
        <f>IF(O12=0,"",$A12 &amp; IF(O12&gt;0," tăng "," giảm ") &amp; TEXT(ABS(O12)/1000,"0") &amp; "K = " &amp; TEXT(D12/1000,"#.##0") &amp; "K")</f>
        <v/>
      </c>
      <c r="Q12" s="150">
        <f>IFERROR(E12-W13Q2FY26!E12,"OOS")</f>
        <v/>
      </c>
      <c r="R12" s="147">
        <f>IF(Q12=0,"",$A12 &amp; IF(Q12&gt;0," tăng "," giảm ") &amp; TEXT(ABS(Q12)/1000,"0") &amp; "K = " &amp; TEXT(E12/1000,"#.##0") &amp; "K")</f>
        <v/>
      </c>
      <c r="S12" s="150">
        <f>IFERROR(F12-W13Q2FY26!F12,"OOS")</f>
        <v/>
      </c>
      <c r="T12" s="147">
        <f>IF(S12=0,"",$A12 &amp; IF(S12&gt;0," tăng "," giảm ") &amp; TEXT(ABS(S12)/1000,"0") &amp; "K = " &amp; TEXT(F12/1000,"#.##0") &amp; "K")</f>
        <v/>
      </c>
      <c r="U12" s="150">
        <f>IFERROR(G12-W13Q2FY26!G12,"OOS")</f>
        <v/>
      </c>
      <c r="V12" s="147">
        <f>IF(U12=0,"",$A12 &amp; IF(U12&gt;0," tăng "," giảm ") &amp; TEXT(ABS(U12)/1000,"0") &amp; "K = " &amp; TEXT(G12/1000,"#.##0") &amp; "K")</f>
        <v/>
      </c>
    </row>
    <row r="13">
      <c r="A13" t="inlineStr">
        <is>
          <t>iPhone 15  Plus 128GB</t>
        </is>
      </c>
      <c r="B13" s="25" t="n"/>
      <c r="C13" s="136" t="n">
        <v>18990000</v>
      </c>
      <c r="D13" s="136" t="inlineStr">
        <is>
          <t>OOS</t>
        </is>
      </c>
      <c r="E13" s="131" t="inlineStr">
        <is>
          <t>OOS</t>
        </is>
      </c>
      <c r="F13" s="133" t="n">
        <v>17690000</v>
      </c>
      <c r="G13" s="111" t="inlineStr">
        <is>
          <t>OOS</t>
        </is>
      </c>
      <c r="H13" s="154" t="n"/>
      <c r="M13" s="149">
        <f>IFERROR(C13-W13Q2FY26!C13,"OOS")</f>
        <v/>
      </c>
      <c r="N13" s="147">
        <f>IF(M13=0,"",$A13 &amp; IF(M13&gt;0," tăng "," giảm ") &amp; TEXT(ABS(M13)/1000,"0") &amp; "K = " &amp; TEXT(C13/1000,"#.##0") &amp; "K")</f>
        <v/>
      </c>
      <c r="O13" s="150">
        <f>IFERROR(D13-W13Q2FY26!D13,"OOS")</f>
        <v/>
      </c>
      <c r="P13" s="147">
        <f>IF(O13=0,"",$A13 &amp; IF(O13&gt;0," tăng "," giảm ") &amp; TEXT(ABS(O13)/1000,"0") &amp; "K = " &amp; TEXT(D13/1000,"#.##0") &amp; "K")</f>
        <v/>
      </c>
      <c r="Q13" s="150">
        <f>IFERROR(E13-W13Q2FY26!E13,"OOS")</f>
        <v/>
      </c>
      <c r="R13" s="147">
        <f>IF(Q13=0,"",$A13 &amp; IF(Q13&gt;0," tăng "," giảm ") &amp; TEXT(ABS(Q13)/1000,"0") &amp; "K = " &amp; TEXT(E13/1000,"#.##0") &amp; "K")</f>
        <v/>
      </c>
      <c r="S13" s="150">
        <f>IFERROR(F13-W13Q2FY26!F13,"OOS")</f>
        <v/>
      </c>
      <c r="T13" s="147">
        <f>IF(S13=0,"",$A13 &amp; IF(S13&gt;0," tăng "," giảm ") &amp; TEXT(ABS(S13)/1000,"0") &amp; "K = " &amp; TEXT(F13/1000,"#.##0") &amp; "K")</f>
        <v/>
      </c>
      <c r="U13" s="150">
        <f>IFERROR(G13-W13Q2FY26!G13,"OOS")</f>
        <v/>
      </c>
      <c r="V13" s="147">
        <f>IF(U13=0,"",$A13 &amp; IF(U13&gt;0," tăng "," giảm ") &amp; TEXT(ABS(U13)/1000,"0") &amp; "K = " &amp; TEXT(G13/1000,"#.##0") &amp; "K")</f>
        <v/>
      </c>
    </row>
    <row r="14">
      <c r="A14" t="inlineStr">
        <is>
          <t>iPhone 14 128GB</t>
        </is>
      </c>
      <c r="B14" s="25" t="n"/>
      <c r="C14" s="136" t="n">
        <v>13990000</v>
      </c>
      <c r="D14" s="136" t="n">
        <v>13990000</v>
      </c>
      <c r="E14" s="131" t="n">
        <v>13790000</v>
      </c>
      <c r="F14" s="133" t="n">
        <v>13990000</v>
      </c>
      <c r="G14" s="111" t="n">
        <v>12990000</v>
      </c>
      <c r="H14" s="154" t="n"/>
      <c r="M14" s="149">
        <f>IFERROR(C14-W13Q2FY26!C14,"OOS")</f>
        <v/>
      </c>
      <c r="N14" s="147">
        <f>IF(M14=0,"",$A14 &amp; IF(M14&gt;0," tăng "," giảm ") &amp; TEXT(ABS(M14)/1000,"0") &amp; "K = " &amp; TEXT(C14/1000,"#.##0") &amp; "K")</f>
        <v/>
      </c>
      <c r="O14" s="150">
        <f>IFERROR(D14-W13Q2FY26!D14,"OOS")</f>
        <v/>
      </c>
      <c r="P14" s="147">
        <f>IF(O14=0,"",$A14 &amp; IF(O14&gt;0," tăng "," giảm ") &amp; TEXT(ABS(O14)/1000,"0") &amp; "K = " &amp; TEXT(D14/1000,"#.##0") &amp; "K")</f>
        <v/>
      </c>
      <c r="Q14" s="150">
        <f>IFERROR(E14-W13Q2FY26!E14,"OOS")</f>
        <v/>
      </c>
      <c r="R14" s="147">
        <f>IF(Q14=0,"",$A14 &amp; IF(Q14&gt;0," tăng "," giảm ") &amp; TEXT(ABS(Q14)/1000,"0") &amp; "K = " &amp; TEXT(E14/1000,"#.##0") &amp; "K")</f>
        <v/>
      </c>
      <c r="S14" s="150">
        <f>IFERROR(F14-W13Q2FY26!F14,"OOS")</f>
        <v/>
      </c>
      <c r="T14" s="147">
        <f>IF(S14=0,"",$A14 &amp; IF(S14&gt;0," tăng "," giảm ") &amp; TEXT(ABS(S14)/1000,"0") &amp; "K = " &amp; TEXT(F14/1000,"#.##0") &amp; "K")</f>
        <v/>
      </c>
      <c r="U14" s="150">
        <f>IFERROR(G14-W13Q2FY26!G14,"OOS")</f>
        <v/>
      </c>
      <c r="V14" s="147">
        <f>IF(U14=0,"",$A14 &amp; IF(U14&gt;0," tăng "," giảm ") &amp; TEXT(ABS(U14)/1000,"0") &amp; "K = " &amp; TEXT(G14/1000,"#.##0") &amp; "K")</f>
        <v/>
      </c>
    </row>
    <row r="15">
      <c r="A15" t="inlineStr">
        <is>
          <t>iPhone 13  128GB</t>
        </is>
      </c>
      <c r="B15" s="3" t="n"/>
      <c r="C15" s="136" t="n">
        <v>11990000</v>
      </c>
      <c r="D15" s="136" t="n">
        <v>11990000</v>
      </c>
      <c r="E15" s="140" t="n">
        <v>12090000</v>
      </c>
      <c r="F15" s="134" t="n">
        <v>11990000</v>
      </c>
      <c r="G15" s="111" t="n">
        <v>11890000</v>
      </c>
      <c r="H15" s="154" t="n"/>
      <c r="M15" s="149">
        <f>IFERROR(C15-W13Q2FY26!C15,"OOS")</f>
        <v/>
      </c>
      <c r="N15" s="147">
        <f>IF(M15=0,"",$A15 &amp; IF(M15&gt;0," tăng "," giảm ") &amp; TEXT(ABS(M15)/1000,"0") &amp; "K = " &amp; TEXT(C15/1000,"#.##0") &amp; "K")</f>
        <v/>
      </c>
      <c r="O15" s="150">
        <f>IFERROR(D15-W13Q2FY26!D15,"OOS")</f>
        <v/>
      </c>
      <c r="P15" s="147">
        <f>IF(O15=0,"",$A15 &amp; IF(O15&gt;0," tăng "," giảm ") &amp; TEXT(ABS(O15)/1000,"0") &amp; "K = " &amp; TEXT(D15/1000,"#.##0") &amp; "K")</f>
        <v/>
      </c>
      <c r="Q15" s="150">
        <f>IFERROR(E15-W13Q2FY26!E15,"OOS")</f>
        <v/>
      </c>
      <c r="R15" s="147">
        <f>IF(Q15=0,"",$A15 &amp; IF(Q15&gt;0," tăng "," giảm ") &amp; TEXT(ABS(Q15)/1000,"0") &amp; "K = " &amp; TEXT(E15/1000,"#.##0") &amp; "K")</f>
        <v/>
      </c>
      <c r="S15" s="150">
        <f>IFERROR(F15-W13Q2FY26!F15,"OOS")</f>
        <v/>
      </c>
      <c r="T15" s="147">
        <f>IF(S15=0,"",$A15 &amp; IF(S15&gt;0," tăng "," giảm ") &amp; TEXT(ABS(S15)/1000,"0") &amp; "K = " &amp; TEXT(F15/1000,"#.##0") &amp; "K")</f>
        <v/>
      </c>
      <c r="U15" s="150">
        <f>IFERROR(G15-W13Q2FY26!G15,"OOS")</f>
        <v/>
      </c>
      <c r="V15" s="147">
        <f>IF(U15=0,"",$A15 &amp; IF(U15&gt;0," tăng "," giảm ") &amp; TEXT(ABS(U15)/1000,"0") &amp; "K = " &amp; TEXT(G15/1000,"#.##0") &amp; "K")</f>
        <v/>
      </c>
    </row>
    <row r="16">
      <c r="A16" t="inlineStr">
        <is>
          <t>iPad Mini 7 128GB Wifi</t>
        </is>
      </c>
      <c r="B16" s="25" t="n"/>
      <c r="C16" s="141" t="n">
        <v>13490000</v>
      </c>
      <c r="D16" s="136" t="n">
        <v>13490000</v>
      </c>
      <c r="E16" s="140" t="n">
        <v>13290000</v>
      </c>
      <c r="F16" s="134" t="n">
        <v>13490000</v>
      </c>
      <c r="G16" s="111" t="n">
        <v>13390000</v>
      </c>
      <c r="H16" s="154" t="n"/>
      <c r="M16" s="149">
        <f>IFERROR(C16-W13Q2FY26!C16,"OOS")</f>
        <v/>
      </c>
      <c r="N16" s="147">
        <f>IF(M16=0,"",$A16 &amp; IF(M16&gt;0," tăng "," giảm ") &amp; TEXT(ABS(M16)/1000,"0") &amp; "K = " &amp; TEXT(C16/1000,"#.##0") &amp; "K")</f>
        <v/>
      </c>
      <c r="O16" s="150">
        <f>IFERROR(D16-W13Q2FY26!D16,"OOS")</f>
        <v/>
      </c>
      <c r="P16" s="147">
        <f>IF(O16=0,"",$A16 &amp; IF(O16&gt;0," tăng "," giảm ") &amp; TEXT(ABS(O16)/1000,"0") &amp; "K = " &amp; TEXT(D16/1000,"#.##0") &amp; "K")</f>
        <v/>
      </c>
      <c r="Q16" s="150">
        <f>IFERROR(E16-W13Q2FY26!E16,"OOS")</f>
        <v/>
      </c>
      <c r="R16" s="147">
        <f>IF(Q16=0,"",$A16 &amp; IF(Q16&gt;0," tăng "," giảm ") &amp; TEXT(ABS(Q16)/1000,"0") &amp; "K = " &amp; TEXT(E16/1000,"#.##0") &amp; "K")</f>
        <v/>
      </c>
      <c r="S16" s="150">
        <f>IFERROR(F16-W13Q2FY26!F16,"OOS")</f>
        <v/>
      </c>
      <c r="T16" s="147">
        <f>IF(S16=0,"",$A16 &amp; IF(S16&gt;0," tăng "," giảm ") &amp; TEXT(ABS(S16)/1000,"0") &amp; "K = " &amp; TEXT(F16/1000,"#.##0") &amp; "K")</f>
        <v/>
      </c>
      <c r="U16" s="150">
        <f>IFERROR(G16-W13Q2FY26!G16,"OOS")</f>
        <v/>
      </c>
      <c r="V16" s="147">
        <f>IF(U16=0,"",$A16 &amp; IF(U16&gt;0," tăng "," giảm ") &amp; TEXT(ABS(U16)/1000,"0") &amp; "K = " &amp; TEXT(G16/1000,"#.##0") &amp; "K")</f>
        <v/>
      </c>
    </row>
    <row r="17">
      <c r="A17" t="inlineStr">
        <is>
          <t>iPad Gen 11th  128GB Wifi</t>
        </is>
      </c>
      <c r="B17" s="3" t="n"/>
      <c r="C17" s="136" t="n">
        <v>9490000</v>
      </c>
      <c r="D17" s="136" t="n">
        <v>9490000</v>
      </c>
      <c r="E17" s="155" t="n">
        <v>9190000</v>
      </c>
      <c r="F17" s="133" t="n">
        <v>9490000</v>
      </c>
      <c r="G17" s="112" t="n">
        <v>9390000</v>
      </c>
      <c r="H17" s="154" t="n"/>
      <c r="M17" s="149">
        <f>IFERROR(C17-W13Q2FY26!C17,"OOS")</f>
        <v/>
      </c>
      <c r="N17" s="147">
        <f>IF(M17=0,"",$A17 &amp; IF(M17&gt;0," tăng "," giảm ") &amp; TEXT(ABS(M17)/1000,"0") &amp; "K = " &amp; TEXT(C17/1000,"#.##0") &amp; "K")</f>
        <v/>
      </c>
      <c r="O17" s="150">
        <f>IFERROR(D17-W13Q2FY26!D17,"OOS")</f>
        <v/>
      </c>
      <c r="P17" s="147">
        <f>IF(O17=0,"",$A17 &amp; IF(O17&gt;0," tăng "," giảm ") &amp; TEXT(ABS(O17)/1000,"0") &amp; "K = " &amp; TEXT(D17/1000,"#.##0") &amp; "K")</f>
        <v/>
      </c>
      <c r="Q17" s="150">
        <f>IFERROR(E17-W13Q2FY26!E17,"OOS")</f>
        <v/>
      </c>
      <c r="R17" s="147">
        <f>IF(Q17=0,"",$A17 &amp; IF(Q17&gt;0," tăng "," giảm ") &amp; TEXT(ABS(Q17)/1000,"0") &amp; "K = " &amp; TEXT(E17/1000,"#.##0") &amp; "K")</f>
        <v/>
      </c>
      <c r="S17" s="150">
        <f>IFERROR(F17-W13Q2FY26!F17,"OOS")</f>
        <v/>
      </c>
      <c r="T17" s="147">
        <f>IF(S17=0,"",$A17 &amp; IF(S17&gt;0," tăng "," giảm ") &amp; TEXT(ABS(S17)/1000,"0") &amp; "K = " &amp; TEXT(F17/1000,"#.##0") &amp; "K")</f>
        <v/>
      </c>
      <c r="U17" s="150">
        <f>IFERROR(G17-W13Q2FY26!G17,"OOS")</f>
        <v/>
      </c>
      <c r="V17" s="147">
        <f>IF(U17=0,"",$A17 &amp; IF(U17&gt;0," tăng "," giảm ") &amp; TEXT(ABS(U17)/1000,"0") &amp; "K = " &amp; TEXT(G17/1000,"#.##0") &amp; "K")</f>
        <v/>
      </c>
      <c r="W17" t="inlineStr">
        <is>
          <t xml:space="preserve">MW </t>
        </is>
      </c>
      <c r="X17" t="inlineStr">
        <is>
          <t>Hải</t>
        </is>
      </c>
      <c r="Y17" t="b">
        <v>1</v>
      </c>
    </row>
    <row r="18">
      <c r="A18" t="inlineStr">
        <is>
          <t>iPad Air M3  11" 128 GB Wifi</t>
        </is>
      </c>
      <c r="B18" s="3" t="n"/>
      <c r="C18" s="141" t="n">
        <v>15790000</v>
      </c>
      <c r="D18" s="136" t="n">
        <v>15490000</v>
      </c>
      <c r="E18" s="155" t="n">
        <v>14290000</v>
      </c>
      <c r="F18" s="133" t="n">
        <v>15790000</v>
      </c>
      <c r="G18" s="112" t="n">
        <v>14990000</v>
      </c>
      <c r="H18" s="154" t="n"/>
      <c r="M18" s="149">
        <f>IFERROR(C18-W13Q2FY26!C18,"OOS")</f>
        <v/>
      </c>
      <c r="N18" s="147">
        <f>IF(M18=0,"",$A18 &amp; IF(M18&gt;0," tăng "," giảm ") &amp; TEXT(ABS(M18)/1000,"0") &amp; "K = " &amp; TEXT(C18/1000,"#.##0") &amp; "K")</f>
        <v/>
      </c>
      <c r="O18" s="150">
        <f>IFERROR(D18-W13Q2FY26!D18,"OOS")</f>
        <v/>
      </c>
      <c r="P18" s="147">
        <f>IF(O18=0,"",$A18 &amp; IF(O18&gt;0," tăng "," giảm ") &amp; TEXT(ABS(O18)/1000,"0") &amp; "K = " &amp; TEXT(D18/1000,"#.##0") &amp; "K")</f>
        <v/>
      </c>
      <c r="Q18" s="150">
        <f>IFERROR(E18-W13Q2FY26!E18,"OOS")</f>
        <v/>
      </c>
      <c r="R18" s="147">
        <f>IF(Q18=0,"",$A18 &amp; IF(Q18&gt;0," tăng "," giảm ") &amp; TEXT(ABS(Q18)/1000,"0") &amp; "K = " &amp; TEXT(E18/1000,"#.##0") &amp; "K")</f>
        <v/>
      </c>
      <c r="S18" s="150">
        <f>IFERROR(F18-W13Q2FY26!F18,"OOS")</f>
        <v/>
      </c>
      <c r="T18" s="147">
        <f>IF(S18=0,"",$A18 &amp; IF(S18&gt;0," tăng "," giảm ") &amp; TEXT(ABS(S18)/1000,"0") &amp; "K = " &amp; TEXT(F18/1000,"#.##0") &amp; "K")</f>
        <v/>
      </c>
      <c r="U18" s="150">
        <f>IFERROR(G18-W13Q2FY26!G18,"OOS")</f>
        <v/>
      </c>
      <c r="V18" s="147">
        <f>IF(U18=0,"",$A18 &amp; IF(U18&gt;0," tăng "," giảm ") &amp; TEXT(ABS(U18)/1000,"0") &amp; "K = " &amp; TEXT(G18/1000,"#.##0") &amp; "K")</f>
        <v/>
      </c>
      <c r="W18" t="inlineStr">
        <is>
          <t>FPT</t>
        </is>
      </c>
      <c r="X18" t="inlineStr">
        <is>
          <t>Trang</t>
        </is>
      </c>
      <c r="Y18" t="b">
        <v>1</v>
      </c>
    </row>
    <row r="19">
      <c r="A19" t="inlineStr">
        <is>
          <t>iPad Air M3  13" 128 GB Wifi</t>
        </is>
      </c>
      <c r="B19" s="25" t="n"/>
      <c r="C19" s="136" t="n">
        <v>20990000</v>
      </c>
      <c r="D19" s="136" t="n">
        <v>19990000</v>
      </c>
      <c r="E19" s="155" t="n">
        <v>19190000</v>
      </c>
      <c r="F19" s="133" t="n">
        <v>18990000</v>
      </c>
      <c r="G19" s="112" t="n">
        <v>21999000</v>
      </c>
      <c r="H19" s="154" t="n"/>
      <c r="M19" s="149">
        <f>IFERROR(C19-W13Q2FY26!C19,"OOS")</f>
        <v/>
      </c>
      <c r="N19" s="147">
        <f>IF(M19=0,"",$A19 &amp; IF(M19&gt;0," tăng "," giảm ") &amp; TEXT(ABS(M19)/1000,"0") &amp; "K = " &amp; TEXT(C19/1000,"#.##0") &amp; "K")</f>
        <v/>
      </c>
      <c r="O19" s="150">
        <f>IFERROR(D19-W13Q2FY26!D19,"OOS")</f>
        <v/>
      </c>
      <c r="P19" s="147">
        <f>IF(O19=0,"",$A19 &amp; IF(O19&gt;0," tăng "," giảm ") &amp; TEXT(ABS(O19)/1000,"0") &amp; "K = " &amp; TEXT(D19/1000,"#.##0") &amp; "K")</f>
        <v/>
      </c>
      <c r="Q19" s="150">
        <f>IFERROR(E19-W13Q2FY26!E19,"OOS")</f>
        <v/>
      </c>
      <c r="R19" s="147">
        <f>IF(Q19=0,"",$A19 &amp; IF(Q19&gt;0," tăng "," giảm ") &amp; TEXT(ABS(Q19)/1000,"0") &amp; "K = " &amp; TEXT(E19/1000,"#.##0") &amp; "K")</f>
        <v/>
      </c>
      <c r="S19" s="150">
        <f>IFERROR(F19-W13Q2FY26!F19,"OOS")</f>
        <v/>
      </c>
      <c r="T19" s="147">
        <f>IF(S19=0,"",$A19 &amp; IF(S19&gt;0," tăng "," giảm ") &amp; TEXT(ABS(S19)/1000,"0") &amp; "K = " &amp; TEXT(F19/1000,"#.##0") &amp; "K")</f>
        <v/>
      </c>
      <c r="U19" s="150">
        <f>IFERROR(G19-W13Q2FY26!G19,"OOS")</f>
        <v/>
      </c>
      <c r="V19" s="147">
        <f>IF(U19=0,"",$A19 &amp; IF(U19&gt;0," tăng "," giảm ") &amp; TEXT(ABS(U19)/1000,"0") &amp; "K = " &amp; TEXT(G19/1000,"#.##0") &amp; "K")</f>
        <v/>
      </c>
      <c r="W19" t="inlineStr">
        <is>
          <t>Viettel</t>
        </is>
      </c>
      <c r="X19" t="inlineStr">
        <is>
          <t>Nghĩa</t>
        </is>
      </c>
      <c r="Y19" t="b">
        <v>0</v>
      </c>
    </row>
    <row r="20">
      <c r="A20" t="inlineStr">
        <is>
          <t>iPad Pro M5 11” 256GB Wifi</t>
        </is>
      </c>
      <c r="B20" s="3" t="n"/>
      <c r="C20" s="141" t="n">
        <v>28990000</v>
      </c>
      <c r="D20" s="136" t="n">
        <v>28990000</v>
      </c>
      <c r="E20" s="124" t="n">
        <v>28490000</v>
      </c>
      <c r="F20" s="134" t="n">
        <v>28990000</v>
      </c>
      <c r="G20" s="113" t="n">
        <v>28990000</v>
      </c>
      <c r="H20" s="154" t="n"/>
      <c r="M20" s="149">
        <f>IFERROR(C20-W13Q2FY26!C20,"OOS")</f>
        <v/>
      </c>
      <c r="N20" s="147">
        <f>IF(M20=0,"",$A20 &amp; IF(M20&gt;0," tăng "," giảm ") &amp; TEXT(ABS(M20)/1000,"0") &amp; "K = " &amp; TEXT(C20/1000,"#.##0") &amp; "K")</f>
        <v/>
      </c>
      <c r="O20" s="150">
        <f>IFERROR(D20-W13Q2FY26!D20,"OOS")</f>
        <v/>
      </c>
      <c r="P20" s="147">
        <f>IF(O20=0,"",$A20 &amp; IF(O20&gt;0," tăng "," giảm ") &amp; TEXT(ABS(O20)/1000,"0") &amp; "K = " &amp; TEXT(D20/1000,"#.##0") &amp; "K")</f>
        <v/>
      </c>
      <c r="Q20" s="150">
        <f>IFERROR(E20-W13Q2FY26!E20,"OOS")</f>
        <v/>
      </c>
      <c r="R20" s="147">
        <f>IF(Q20=0,"",$A20 &amp; IF(Q20&gt;0," tăng "," giảm ") &amp; TEXT(ABS(Q20)/1000,"0") &amp; "K = " &amp; TEXT(E20/1000,"#.##0") &amp; "K")</f>
        <v/>
      </c>
      <c r="S20" s="150">
        <f>IFERROR(F20-W13Q2FY26!F20,"OOS")</f>
        <v/>
      </c>
      <c r="T20" s="147">
        <f>IF(S20=0,"",$A20 &amp; IF(S20&gt;0," tăng "," giảm ") &amp; TEXT(ABS(S20)/1000,"0") &amp; "K = " &amp; TEXT(F20/1000,"#.##0") &amp; "K")</f>
        <v/>
      </c>
      <c r="U20" s="150">
        <f>IFERROR(G20-W13Q2FY26!G20,"OOS")</f>
        <v/>
      </c>
      <c r="V20" s="147">
        <f>IF(U20=0,"",$A20 &amp; IF(U20&gt;0," tăng "," giảm ") &amp; TEXT(ABS(U20)/1000,"0") &amp; "K = " &amp; TEXT(G20/1000,"#.##0") &amp; "K")</f>
        <v/>
      </c>
      <c r="W20" t="inlineStr">
        <is>
          <t>CPS</t>
        </is>
      </c>
      <c r="X20" t="inlineStr">
        <is>
          <t>Duy</t>
        </is>
      </c>
      <c r="Y20" t="b">
        <v>1</v>
      </c>
    </row>
    <row r="21">
      <c r="A21" t="inlineStr">
        <is>
          <t>iPad Pro M5 13” 256GB Wifi</t>
        </is>
      </c>
      <c r="B21" s="3" t="n"/>
      <c r="C21" s="136" t="n">
        <v>39290000</v>
      </c>
      <c r="D21" s="142" t="n">
        <v>38990000</v>
      </c>
      <c r="E21" s="113" t="n">
        <v>37990000</v>
      </c>
      <c r="F21" s="133" t="n">
        <v>38990000</v>
      </c>
      <c r="G21" s="113" t="n">
        <v>38990000</v>
      </c>
      <c r="H21" s="154" t="n"/>
      <c r="M21" s="149">
        <f>IFERROR(C21-W13Q2FY26!C21,"OOS")</f>
        <v/>
      </c>
      <c r="N21" s="147">
        <f>IF(M21=0,"",$A21 &amp; IF(M21&gt;0," tăng "," giảm ") &amp; TEXT(ABS(M21)/1000,"0") &amp; "K = " &amp; TEXT(C21/1000,"#.##0") &amp; "K")</f>
        <v/>
      </c>
      <c r="O21" s="150">
        <f>IFERROR(D21-W13Q2FY26!D21,"OOS")</f>
        <v/>
      </c>
      <c r="P21" s="147">
        <f>IF(O21=0,"",$A21 &amp; IF(O21&gt;0," tăng "," giảm ") &amp; TEXT(ABS(O21)/1000,"0") &amp; "K = " &amp; TEXT(D21/1000,"#.##0") &amp; "K")</f>
        <v/>
      </c>
      <c r="Q21" s="150">
        <f>IFERROR(E21-W13Q2FY26!E21,"OOS")</f>
        <v/>
      </c>
      <c r="R21" s="147">
        <f>IF(Q21=0,"",$A21 &amp; IF(Q21&gt;0," tăng "," giảm ") &amp; TEXT(ABS(Q21)/1000,"0") &amp; "K = " &amp; TEXT(E21/1000,"#.##0") &amp; "K")</f>
        <v/>
      </c>
      <c r="S21" s="150">
        <f>IFERROR(F21-W13Q2FY26!F21,"OOS")</f>
        <v/>
      </c>
      <c r="T21" s="147">
        <f>IF(S21=0,"",$A21 &amp; IF(S21&gt;0," tăng "," giảm ") &amp; TEXT(ABS(S21)/1000,"0") &amp; "K = " &amp; TEXT(F21/1000,"#.##0") &amp; "K")</f>
        <v/>
      </c>
      <c r="U21" s="150">
        <f>IFERROR(G21-W13Q2FY26!G21,"OOS")</f>
        <v/>
      </c>
      <c r="V21" s="147">
        <f>IF(U21=0,"",$A21 &amp; IF(U21&gt;0," tăng "," giảm ") &amp; TEXT(ABS(U21)/1000,"0") &amp; "K = " &amp; TEXT(G21/1000,"#.##0") &amp; "K")</f>
        <v/>
      </c>
      <c r="W21" t="inlineStr">
        <is>
          <t>ShopDunk</t>
        </is>
      </c>
      <c r="X21" t="inlineStr">
        <is>
          <t>Đạt</t>
        </is>
      </c>
      <c r="Y21" t="b">
        <v>1</v>
      </c>
    </row>
    <row r="22">
      <c r="A22" t="inlineStr">
        <is>
          <t>AW SE 3 (40mm GPS)</t>
        </is>
      </c>
      <c r="B22" s="25" t="n"/>
      <c r="C22" s="136" t="n">
        <v>6790000</v>
      </c>
      <c r="D22" s="136" t="n">
        <v>6790000</v>
      </c>
      <c r="E22" s="140" t="n">
        <v>6490000</v>
      </c>
      <c r="F22" s="133" t="n">
        <v>6790000</v>
      </c>
      <c r="G22" s="124" t="n">
        <v>6490000</v>
      </c>
      <c r="H22" s="154" t="n"/>
      <c r="M22" s="149">
        <f>IFERROR(C22-W13Q2FY26!C22,"OOS")</f>
        <v/>
      </c>
      <c r="N22" s="147">
        <f>IF(M22=0,"",$A22 &amp; IF(M22&gt;0," tăng "," giảm ") &amp; TEXT(ABS(M22)/1000,"0") &amp; "K = " &amp; TEXT(C22/1000,"#.##0") &amp; "K")</f>
        <v/>
      </c>
      <c r="O22" s="150">
        <f>IFERROR(D22-W13Q2FY26!D22,"OOS")</f>
        <v/>
      </c>
      <c r="P22" s="147">
        <f>IF(O22=0,"",$A22 &amp; IF(O22&gt;0," tăng "," giảm ") &amp; TEXT(ABS(O22)/1000,"0") &amp; "K = " &amp; TEXT(D22/1000,"#.##0") &amp; "K")</f>
        <v/>
      </c>
      <c r="Q22" s="150">
        <f>IFERROR(E22-W13Q2FY26!E22,"OOS")</f>
        <v/>
      </c>
      <c r="R22" s="147">
        <f>IF(Q22=0,"",$A22 &amp; IF(Q22&gt;0," tăng "," giảm ") &amp; TEXT(ABS(Q22)/1000,"0") &amp; "K = " &amp; TEXT(E22/1000,"#.##0") &amp; "K")</f>
        <v/>
      </c>
      <c r="S22" s="150">
        <f>IFERROR(F22-W13Q2FY26!F22,"OOS")</f>
        <v/>
      </c>
      <c r="T22" s="147">
        <f>IF(S22=0,"",$A22 &amp; IF(S22&gt;0," tăng "," giảm ") &amp; TEXT(ABS(S22)/1000,"0") &amp; "K = " &amp; TEXT(F22/1000,"#.##0") &amp; "K")</f>
        <v/>
      </c>
      <c r="U22" s="150">
        <f>IFERROR(G22-W13Q2FY26!G22,"OOS")</f>
        <v/>
      </c>
      <c r="V22" s="147">
        <f>IF(U22=0,"",$A22 &amp; IF(U22&gt;0," tăng "," giảm ") &amp; TEXT(ABS(U22)/1000,"0") &amp; "K = " &amp; TEXT(G22/1000,"#.##0") &amp; "K")</f>
        <v/>
      </c>
    </row>
    <row r="23">
      <c r="A23" t="inlineStr">
        <is>
          <t>AW SE 3 (40mm LTE)</t>
        </is>
      </c>
      <c r="B23" s="25" t="n"/>
      <c r="C23" s="136" t="n">
        <v>8390000</v>
      </c>
      <c r="D23" s="136" t="n">
        <v>8290000</v>
      </c>
      <c r="E23" s="155" t="n">
        <v>7990000</v>
      </c>
      <c r="F23" s="133" t="n">
        <v>8390000</v>
      </c>
      <c r="G23" s="113" t="n">
        <v>8190000</v>
      </c>
      <c r="H23" s="154" t="n"/>
      <c r="M23" s="149">
        <f>IFERROR(C23-W13Q2FY26!C23,"OOS")</f>
        <v/>
      </c>
      <c r="N23" s="147">
        <f>IF(M23=0,"",$A23 &amp; IF(M23&gt;0," tăng "," giảm ") &amp; TEXT(ABS(M23)/1000,"0") &amp; "K = " &amp; TEXT(C23/1000,"#.##0") &amp; "K")</f>
        <v/>
      </c>
      <c r="O23" s="150">
        <f>IFERROR(D23-W13Q2FY26!D23,"OOS")</f>
        <v/>
      </c>
      <c r="P23" s="147">
        <f>IF(O23=0,"",$A23 &amp; IF(O23&gt;0," tăng "," giảm ") &amp; TEXT(ABS(O23)/1000,"0") &amp; "K = " &amp; TEXT(D23/1000,"#.##0") &amp; "K")</f>
        <v/>
      </c>
      <c r="Q23" s="150">
        <f>IFERROR(E23-W13Q2FY26!E23,"OOS")</f>
        <v/>
      </c>
      <c r="R23" s="147">
        <f>IF(Q23=0,"",$A23 &amp; IF(Q23&gt;0," tăng "," giảm ") &amp; TEXT(ABS(Q23)/1000,"0") &amp; "K = " &amp; TEXT(E23/1000,"#.##0") &amp; "K")</f>
        <v/>
      </c>
      <c r="S23" s="150">
        <f>IFERROR(F23-W13Q2FY26!F23,"OOS")</f>
        <v/>
      </c>
      <c r="T23" s="147">
        <f>IF(S23=0,"",$A23 &amp; IF(S23&gt;0," tăng "," giảm ") &amp; TEXT(ABS(S23)/1000,"0") &amp; "K = " &amp; TEXT(F23/1000,"#.##0") &amp; "K")</f>
        <v/>
      </c>
      <c r="U23" s="150">
        <f>IFERROR(G23-W13Q2FY26!G23,"OOS")</f>
        <v/>
      </c>
      <c r="V23" s="147">
        <f>IF(U23=0,"",$A23 &amp; IF(U23&gt;0," tăng "," giảm ") &amp; TEXT(ABS(U23)/1000,"0") &amp; "K = " &amp; TEXT(G23/1000,"#.##0") &amp; "K")</f>
        <v/>
      </c>
    </row>
    <row r="24">
      <c r="A24" t="inlineStr">
        <is>
          <t>AW SE 3 (44mm GPS)</t>
        </is>
      </c>
      <c r="B24" s="25" t="n"/>
      <c r="C24" s="136" t="n">
        <v>7690000</v>
      </c>
      <c r="D24" s="136" t="n">
        <v>7690000</v>
      </c>
      <c r="E24" s="140" t="n">
        <v>7390000</v>
      </c>
      <c r="F24" s="133" t="n">
        <v>7690000</v>
      </c>
      <c r="G24" s="113" t="n">
        <v>7490000</v>
      </c>
      <c r="H24" s="154" t="n"/>
      <c r="M24" s="149">
        <f>IFERROR(C24-W13Q2FY26!C24,"OOS")</f>
        <v/>
      </c>
      <c r="N24" s="147">
        <f>IF(M24=0,"",$A24 &amp; IF(M24&gt;0," tăng "," giảm ") &amp; TEXT(ABS(M24)/1000,"0") &amp; "K = " &amp; TEXT(C24/1000,"#.##0") &amp; "K")</f>
        <v/>
      </c>
      <c r="O24" s="150">
        <f>IFERROR(D24-W13Q2FY26!D24,"OOS")</f>
        <v/>
      </c>
      <c r="P24" s="147">
        <f>IF(O24=0,"",$A24 &amp; IF(O24&gt;0," tăng "," giảm ") &amp; TEXT(ABS(O24)/1000,"0") &amp; "K = " &amp; TEXT(D24/1000,"#.##0") &amp; "K")</f>
        <v/>
      </c>
      <c r="Q24" s="150">
        <f>IFERROR(E24-W13Q2FY26!E24,"OOS")</f>
        <v/>
      </c>
      <c r="R24" s="147">
        <f>IF(Q24=0,"",$A24 &amp; IF(Q24&gt;0," tăng "," giảm ") &amp; TEXT(ABS(Q24)/1000,"0") &amp; "K = " &amp; TEXT(E24/1000,"#.##0") &amp; "K")</f>
        <v/>
      </c>
      <c r="S24" s="150">
        <f>IFERROR(F24-W13Q2FY26!F24,"OOS")</f>
        <v/>
      </c>
      <c r="T24" s="147">
        <f>IF(S24=0,"",$A24 &amp; IF(S24&gt;0," tăng "," giảm ") &amp; TEXT(ABS(S24)/1000,"0") &amp; "K = " &amp; TEXT(F24/1000,"#.##0") &amp; "K")</f>
        <v/>
      </c>
      <c r="U24" s="150">
        <f>IFERROR(G24-W13Q2FY26!G24,"OOS")</f>
        <v/>
      </c>
      <c r="V24" s="147">
        <f>IF(U24=0,"",$A24 &amp; IF(U24&gt;0," tăng "," giảm ") &amp; TEXT(ABS(U24)/1000,"0") &amp; "K = " &amp; TEXT(G24/1000,"#.##0") &amp; "K")</f>
        <v/>
      </c>
    </row>
    <row r="25">
      <c r="A25" t="inlineStr">
        <is>
          <t>AW SE 3 (44mm LTE)</t>
        </is>
      </c>
      <c r="B25" s="25" t="n"/>
      <c r="C25" s="136" t="n">
        <v>9190000</v>
      </c>
      <c r="D25" s="136" t="n">
        <v>9190000</v>
      </c>
      <c r="E25" s="140" t="n">
        <v>8990000</v>
      </c>
      <c r="F25" s="133" t="n">
        <v>9190000</v>
      </c>
      <c r="G25" s="113" t="n">
        <v>8790000</v>
      </c>
      <c r="H25" s="154" t="n"/>
      <c r="M25" s="149">
        <f>IFERROR(C25-W13Q2FY26!C25,"OOS")</f>
        <v/>
      </c>
      <c r="N25" s="147">
        <f>IF(M25=0,"",$A25 &amp; IF(M25&gt;0," tăng "," giảm ") &amp; TEXT(ABS(M25)/1000,"0") &amp; "K = " &amp; TEXT(C25/1000,"#.##0") &amp; "K")</f>
        <v/>
      </c>
      <c r="O25" s="150">
        <f>IFERROR(D25-W13Q2FY26!D25,"OOS")</f>
        <v/>
      </c>
      <c r="P25" s="147">
        <f>IF(O25=0,"",$A25 &amp; IF(O25&gt;0," tăng "," giảm ") &amp; TEXT(ABS(O25)/1000,"0") &amp; "K = " &amp; TEXT(D25/1000,"#.##0") &amp; "K")</f>
        <v/>
      </c>
      <c r="Q25" s="150">
        <f>IFERROR(E25-W13Q2FY26!E25,"OOS")</f>
        <v/>
      </c>
      <c r="R25" s="147">
        <f>IF(Q25=0,"",$A25 &amp; IF(Q25&gt;0," tăng "," giảm ") &amp; TEXT(ABS(Q25)/1000,"0") &amp; "K = " &amp; TEXT(E25/1000,"#.##0") &amp; "K")</f>
        <v/>
      </c>
      <c r="S25" s="150">
        <f>IFERROR(F25-W13Q2FY26!F25,"OOS")</f>
        <v/>
      </c>
      <c r="T25" s="147">
        <f>IF(S25=0,"",$A25 &amp; IF(S25&gt;0," tăng "," giảm ") &amp; TEXT(ABS(S25)/1000,"0") &amp; "K = " &amp; TEXT(F25/1000,"#.##0") &amp; "K")</f>
        <v/>
      </c>
      <c r="U25" s="150">
        <f>IFERROR(G25-W13Q2FY26!G25,"OOS")</f>
        <v/>
      </c>
      <c r="V25" s="147">
        <f>IF(U25=0,"",$A25 &amp; IF(U25&gt;0," tăng "," giảm ") &amp; TEXT(ABS(U25)/1000,"0") &amp; "K = " &amp; TEXT(G25/1000,"#.##0") &amp; "K")</f>
        <v/>
      </c>
    </row>
    <row r="26">
      <c r="A26" t="inlineStr">
        <is>
          <t>AW S11 (42mm GPS)</t>
        </is>
      </c>
      <c r="B26" s="3" t="n"/>
      <c r="C26" s="136" t="n">
        <v>11190000</v>
      </c>
      <c r="D26" s="136" t="n">
        <v>11190000</v>
      </c>
      <c r="E26" s="140" t="n">
        <v>10690000</v>
      </c>
      <c r="F26" s="133" t="n">
        <v>11190000</v>
      </c>
      <c r="G26" s="113" t="n">
        <v>10990000</v>
      </c>
      <c r="H26" s="154" t="n"/>
      <c r="M26" s="149">
        <f>IFERROR(C26-W13Q2FY26!C26,"OOS")</f>
        <v/>
      </c>
      <c r="N26" s="147">
        <f>IF(M26=0,"",$A26 &amp; IF(M26&gt;0," tăng "," giảm ") &amp; TEXT(ABS(M26)/1000,"0") &amp; "K = " &amp; TEXT(C26/1000,"#.##0") &amp; "K")</f>
        <v/>
      </c>
      <c r="O26" s="150">
        <f>IFERROR(D26-W13Q2FY26!D26,"OOS")</f>
        <v/>
      </c>
      <c r="P26" s="147">
        <f>IF(O26=0,"",$A26 &amp; IF(O26&gt;0," tăng "," giảm ") &amp; TEXT(ABS(O26)/1000,"0") &amp; "K = " &amp; TEXT(D26/1000,"#.##0") &amp; "K")</f>
        <v/>
      </c>
      <c r="Q26" s="150">
        <f>IFERROR(E26-W13Q2FY26!E26,"OOS")</f>
        <v/>
      </c>
      <c r="R26" s="147">
        <f>IF(Q26=0,"",$A26 &amp; IF(Q26&gt;0," tăng "," giảm ") &amp; TEXT(ABS(Q26)/1000,"0") &amp; "K = " &amp; TEXT(E26/1000,"#.##0") &amp; "K")</f>
        <v/>
      </c>
      <c r="S26" s="150">
        <f>IFERROR(F26-W13Q2FY26!F26,"OOS")</f>
        <v/>
      </c>
      <c r="T26" s="147">
        <f>IF(S26=0,"",$A26 &amp; IF(S26&gt;0," tăng "," giảm ") &amp; TEXT(ABS(S26)/1000,"0") &amp; "K = " &amp; TEXT(F26/1000,"#.##0") &amp; "K")</f>
        <v/>
      </c>
      <c r="U26" s="150">
        <f>IFERROR(G26-W13Q2FY26!G26,"OOS")</f>
        <v/>
      </c>
      <c r="V26" s="147">
        <f>IF(U26=0,"",$A26 &amp; IF(U26&gt;0," tăng "," giảm ") &amp; TEXT(ABS(U26)/1000,"0") &amp; "K = " &amp; TEXT(G26/1000,"#.##0") &amp; "K")</f>
        <v/>
      </c>
    </row>
    <row r="27">
      <c r="A27" t="inlineStr">
        <is>
          <t>AW S11 (42mm CEL)</t>
        </is>
      </c>
      <c r="B27" s="3" t="n"/>
      <c r="C27" s="141" t="inlineStr">
        <is>
          <t>OOS</t>
        </is>
      </c>
      <c r="D27" s="136" t="n">
        <v>14090000</v>
      </c>
      <c r="E27" s="140" t="n">
        <v>13990000</v>
      </c>
      <c r="F27" s="133" t="n">
        <v>14090000</v>
      </c>
      <c r="G27" s="113" t="n">
        <v>13990000</v>
      </c>
      <c r="H27" s="154" t="n"/>
      <c r="M27" s="149">
        <f>IFERROR(C27-W13Q2FY26!C27,"OOS")</f>
        <v/>
      </c>
      <c r="N27" s="147">
        <f>IF(M27=0,"",$A27 &amp; IF(M27&gt;0," tăng "," giảm ") &amp; TEXT(ABS(M27)/1000,"0") &amp; "K = " &amp; TEXT(C27/1000,"#.##0") &amp; "K")</f>
        <v/>
      </c>
      <c r="O27" s="150">
        <f>IFERROR(D27-W13Q2FY26!D27,"OOS")</f>
        <v/>
      </c>
      <c r="P27" s="147">
        <f>IF(O27=0,"",$A27 &amp; IF(O27&gt;0," tăng "," giảm ") &amp; TEXT(ABS(O27)/1000,"0") &amp; "K = " &amp; TEXT(D27/1000,"#.##0") &amp; "K")</f>
        <v/>
      </c>
      <c r="Q27" s="150">
        <f>IFERROR(E27-W13Q2FY26!E27,"OOS")</f>
        <v/>
      </c>
      <c r="R27" s="147">
        <f>IF(Q27=0,"",$A27 &amp; IF(Q27&gt;0," tăng "," giảm ") &amp; TEXT(ABS(Q27)/1000,"0") &amp; "K = " &amp; TEXT(E27/1000,"#.##0") &amp; "K")</f>
        <v/>
      </c>
      <c r="S27" s="150">
        <f>IFERROR(F27-W13Q2FY26!F27,"OOS")</f>
        <v/>
      </c>
      <c r="T27" s="147">
        <f>IF(S27=0,"",$A27 &amp; IF(S27&gt;0," tăng "," giảm ") &amp; TEXT(ABS(S27)/1000,"0") &amp; "K = " &amp; TEXT(F27/1000,"#.##0") &amp; "K")</f>
        <v/>
      </c>
      <c r="U27" s="150">
        <f>IFERROR(G27-W13Q2FY26!G27,"OOS")</f>
        <v/>
      </c>
      <c r="V27" s="147">
        <f>IF(U27=0,"",$A27 &amp; IF(U27&gt;0," tăng "," giảm ") &amp; TEXT(ABS(U27)/1000,"0") &amp; "K = " &amp; TEXT(G27/1000,"#.##0") &amp; "K")</f>
        <v/>
      </c>
    </row>
    <row r="28">
      <c r="A28" t="inlineStr">
        <is>
          <t>AW S11 (46mm GPS)</t>
        </is>
      </c>
      <c r="B28" s="3" t="n"/>
      <c r="C28" s="136" t="n">
        <v>11990000</v>
      </c>
      <c r="D28" s="136" t="n">
        <v>11990000</v>
      </c>
      <c r="E28" s="140" t="n">
        <v>11490000</v>
      </c>
      <c r="F28" s="133" t="n">
        <v>11990000</v>
      </c>
      <c r="G28" s="113" t="n">
        <v>11890000</v>
      </c>
      <c r="H28" s="154" t="n"/>
      <c r="M28" s="149">
        <f>IFERROR(C28-W13Q2FY26!C28,"OOS")</f>
        <v/>
      </c>
      <c r="N28" s="147">
        <f>IF(M28=0,"",$A28 &amp; IF(M28&gt;0," tăng "," giảm ") &amp; TEXT(ABS(M28)/1000,"0") &amp; "K = " &amp; TEXT(C28/1000,"#.##0") &amp; "K")</f>
        <v/>
      </c>
      <c r="O28" s="150">
        <f>IFERROR(D28-W13Q2FY26!D28,"OOS")</f>
        <v/>
      </c>
      <c r="P28" s="147">
        <f>IF(O28=0,"",$A28 &amp; IF(O28&gt;0," tăng "," giảm ") &amp; TEXT(ABS(O28)/1000,"0") &amp; "K = " &amp; TEXT(D28/1000,"#.##0") &amp; "K")</f>
        <v/>
      </c>
      <c r="Q28" s="150">
        <f>IFERROR(E28-W13Q2FY26!E28,"OOS")</f>
        <v/>
      </c>
      <c r="R28" s="147">
        <f>IF(Q28=0,"",$A28 &amp; IF(Q28&gt;0," tăng "," giảm ") &amp; TEXT(ABS(Q28)/1000,"0") &amp; "K = " &amp; TEXT(E28/1000,"#.##0") &amp; "K")</f>
        <v/>
      </c>
      <c r="S28" s="150">
        <f>IFERROR(F28-W13Q2FY26!F28,"OOS")</f>
        <v/>
      </c>
      <c r="T28" s="147">
        <f>IF(S28=0,"",$A28 &amp; IF(S28&gt;0," tăng "," giảm ") &amp; TEXT(ABS(S28)/1000,"0") &amp; "K = " &amp; TEXT(F28/1000,"#.##0") &amp; "K")</f>
        <v/>
      </c>
      <c r="U28" s="150">
        <f>IFERROR(G28-W13Q2FY26!G28,"OOS")</f>
        <v/>
      </c>
      <c r="V28" s="147">
        <f>IF(U28=0,"",$A28 &amp; IF(U28&gt;0," tăng "," giảm ") &amp; TEXT(ABS(U28)/1000,"0") &amp; "K = " &amp; TEXT(G28/1000,"#.##0") &amp; "K")</f>
        <v/>
      </c>
    </row>
    <row r="29">
      <c r="A29" t="inlineStr">
        <is>
          <t>AW S11 (46mm CEL)</t>
        </is>
      </c>
      <c r="B29" s="3" t="n"/>
      <c r="C29" s="136" t="inlineStr">
        <is>
          <t>OOS</t>
        </is>
      </c>
      <c r="D29" s="136" t="n">
        <v>14990000</v>
      </c>
      <c r="E29" s="140" t="n">
        <v>14490000</v>
      </c>
      <c r="F29" s="133" t="n">
        <v>14990000</v>
      </c>
      <c r="G29" s="113" t="n">
        <v>14890000</v>
      </c>
      <c r="H29" s="154" t="n"/>
      <c r="M29" s="149">
        <f>IFERROR(C29-W13Q2FY26!C29,"OOS")</f>
        <v/>
      </c>
      <c r="N29" s="147">
        <f>IF(M29=0,"",$A29 &amp; IF(M29&gt;0," tăng "," giảm ") &amp; TEXT(ABS(M29)/1000,"0") &amp; "K = " &amp; TEXT(C29/1000,"#.##0") &amp; "K")</f>
        <v/>
      </c>
      <c r="O29" s="150">
        <f>IFERROR(D29-W13Q2FY26!D29,"OOS")</f>
        <v/>
      </c>
      <c r="P29" s="147">
        <f>IF(O29=0,"",$A29 &amp; IF(O29&gt;0," tăng "," giảm ") &amp; TEXT(ABS(O29)/1000,"0") &amp; "K = " &amp; TEXT(D29/1000,"#.##0") &amp; "K")</f>
        <v/>
      </c>
      <c r="Q29" s="150">
        <f>IFERROR(E29-W13Q2FY26!E29,"OOS")</f>
        <v/>
      </c>
      <c r="R29" s="147">
        <f>IF(Q29=0,"",$A29 &amp; IF(Q29&gt;0," tăng "," giảm ") &amp; TEXT(ABS(Q29)/1000,"0") &amp; "K = " &amp; TEXT(E29/1000,"#.##0") &amp; "K")</f>
        <v/>
      </c>
      <c r="S29" s="150">
        <f>IFERROR(F29-W13Q2FY26!F29,"OOS")</f>
        <v/>
      </c>
      <c r="T29" s="147">
        <f>IF(S29=0,"",$A29 &amp; IF(S29&gt;0," tăng "," giảm ") &amp; TEXT(ABS(S29)/1000,"0") &amp; "K = " &amp; TEXT(F29/1000,"#.##0") &amp; "K")</f>
        <v/>
      </c>
      <c r="U29" s="150">
        <f>IFERROR(G29-W13Q2FY26!G29,"OOS")</f>
        <v/>
      </c>
      <c r="V29" s="147">
        <f>IF(U29=0,"",$A29 &amp; IF(U29&gt;0," tăng "," giảm ") &amp; TEXT(ABS(U29)/1000,"0") &amp; "K = " &amp; TEXT(G29/1000,"#.##0") &amp; "K")</f>
        <v/>
      </c>
    </row>
    <row r="30">
      <c r="A30" t="inlineStr">
        <is>
          <t>AW Ultra 3 (49mm)</t>
        </is>
      </c>
      <c r="B30" s="25" t="n"/>
      <c r="C30" s="136" t="n">
        <v>23490000</v>
      </c>
      <c r="D30" s="136" t="n">
        <v>22990000</v>
      </c>
      <c r="E30" s="113" t="n">
        <v>22490000</v>
      </c>
      <c r="F30" s="133" t="n">
        <v>23190000</v>
      </c>
      <c r="G30" s="111" t="n">
        <v>22990000</v>
      </c>
      <c r="H30" s="154" t="n"/>
      <c r="M30" s="149">
        <f>IFERROR(C30-W13Q2FY26!C30,"OOS")</f>
        <v/>
      </c>
      <c r="N30" s="147">
        <f>IF(M30=0,"",$A30 &amp; IF(M30&gt;0," tăng "," giảm ") &amp; TEXT(ABS(M30)/1000,"0") &amp; "K = " &amp; TEXT(C30/1000,"#.##0") &amp; "K")</f>
        <v/>
      </c>
      <c r="O30" s="150">
        <f>IFERROR(D30-W13Q2FY26!D30,"OOS")</f>
        <v/>
      </c>
      <c r="P30" s="147">
        <f>IF(O30=0,"",$A30 &amp; IF(O30&gt;0," tăng "," giảm ") &amp; TEXT(ABS(O30)/1000,"0") &amp; "K = " &amp; TEXT(D30/1000,"#.##0") &amp; "K")</f>
        <v/>
      </c>
      <c r="Q30" s="150">
        <f>IFERROR(E30-W13Q2FY26!E30,"OOS")</f>
        <v/>
      </c>
      <c r="R30" s="147">
        <f>IF(Q30=0,"",$A30 &amp; IF(Q30&gt;0," tăng "," giảm ") &amp; TEXT(ABS(Q30)/1000,"0") &amp; "K = " &amp; TEXT(E30/1000,"#.##0") &amp; "K")</f>
        <v/>
      </c>
      <c r="S30" s="150">
        <f>IFERROR(F30-W13Q2FY26!F30,"OOS")</f>
        <v/>
      </c>
      <c r="T30" s="147">
        <f>IF(S30=0,"",$A30 &amp; IF(S30&gt;0," tăng "," giảm ") &amp; TEXT(ABS(S30)/1000,"0") &amp; "K = " &amp; TEXT(F30/1000,"#.##0") &amp; "K")</f>
        <v/>
      </c>
      <c r="U30" s="150">
        <f>IFERROR(G30-W13Q2FY26!G30,"OOS")</f>
        <v/>
      </c>
      <c r="V30" s="147">
        <f>IF(U30=0,"",$A30 &amp; IF(U30&gt;0," tăng "," giảm ") &amp; TEXT(ABS(U30)/1000,"0") &amp; "K = " &amp; TEXT(G30/1000,"#.##0") &amp; "K")</f>
        <v/>
      </c>
    </row>
    <row r="31">
      <c r="A31" t="inlineStr">
        <is>
          <t>AirPods Pro 2 - 2023 (C-Type)</t>
        </is>
      </c>
      <c r="B31" s="3" t="n"/>
      <c r="C31" s="136" t="n">
        <v>5190000</v>
      </c>
      <c r="D31" s="136" t="inlineStr">
        <is>
          <t>OOS</t>
        </is>
      </c>
      <c r="E31" s="131" t="inlineStr">
        <is>
          <t>OOS</t>
        </is>
      </c>
      <c r="F31" s="133" t="n">
        <v>5190000</v>
      </c>
      <c r="G31" s="111" t="n">
        <v>5590000</v>
      </c>
      <c r="H31" s="154" t="n"/>
      <c r="M31" s="149">
        <f>IFERROR(C31-W13Q2FY26!C31,"OOS")</f>
        <v/>
      </c>
      <c r="N31" s="147">
        <f>IF(M31=0,"",$A31 &amp; IF(M31&gt;0," tăng "," giảm ") &amp; TEXT(ABS(M31)/1000,"0") &amp; "K = " &amp; TEXT(C31/1000,"#.##0") &amp; "K")</f>
        <v/>
      </c>
      <c r="O31" s="150">
        <f>IFERROR(D31-W13Q2FY26!D31,"OOS")</f>
        <v/>
      </c>
      <c r="P31" s="147">
        <f>IF(O31=0,"",$A31 &amp; IF(O31&gt;0," tăng "," giảm ") &amp; TEXT(ABS(O31)/1000,"0") &amp; "K = " &amp; TEXT(D31/1000,"#.##0") &amp; "K")</f>
        <v/>
      </c>
      <c r="Q31" s="150">
        <f>IFERROR(E31-W13Q2FY26!E31,"OOS")</f>
        <v/>
      </c>
      <c r="R31" s="147">
        <f>IF(Q31=0,"",$A31 &amp; IF(Q31&gt;0," tăng "," giảm ") &amp; TEXT(ABS(Q31)/1000,"0") &amp; "K = " &amp; TEXT(E31/1000,"#.##0") &amp; "K")</f>
        <v/>
      </c>
      <c r="S31" s="150">
        <f>IFERROR(F31-W13Q2FY26!F31,"OOS")</f>
        <v/>
      </c>
      <c r="T31" s="147">
        <f>IF(S31=0,"",$A31 &amp; IF(S31&gt;0," tăng "," giảm ") &amp; TEXT(ABS(S31)/1000,"0") &amp; "K = " &amp; TEXT(F31/1000,"#.##0") &amp; "K")</f>
        <v/>
      </c>
      <c r="U31" s="150">
        <f>IFERROR(G31-W13Q2FY26!G31,"OOS")</f>
        <v/>
      </c>
      <c r="V31" s="147">
        <f>IF(U31=0,"",$A31 &amp; IF(U31&gt;0," tăng "," giảm ") &amp; TEXT(ABS(U31)/1000,"0") &amp; "K = " &amp; TEXT(G31/1000,"#.##0") &amp; "K")</f>
        <v/>
      </c>
    </row>
    <row r="32">
      <c r="A32" t="inlineStr">
        <is>
          <t>AirPods 4 ANC</t>
        </is>
      </c>
      <c r="B32" s="3" t="n"/>
      <c r="C32" s="136" t="n">
        <v>4690000</v>
      </c>
      <c r="D32" s="136" t="n">
        <v>4590000</v>
      </c>
      <c r="E32" s="155" t="n">
        <v>4290000</v>
      </c>
      <c r="F32" s="133" t="n">
        <v>4690000</v>
      </c>
      <c r="G32" s="112" t="n">
        <v>4490000</v>
      </c>
      <c r="H32" s="154" t="n"/>
      <c r="M32" s="149">
        <f>IFERROR(C32-W13Q2FY26!C32,"OOS")</f>
        <v/>
      </c>
      <c r="N32" s="147">
        <f>IF(M32=0,"",$A32 &amp; IF(M32&gt;0," tăng "," giảm ") &amp; TEXT(ABS(M32)/1000,"0") &amp; "K = " &amp; TEXT(C32/1000,"#.##0") &amp; "K")</f>
        <v/>
      </c>
      <c r="O32" s="150">
        <f>IFERROR(D32-W13Q2FY26!D32,"OOS")</f>
        <v/>
      </c>
      <c r="P32" s="147">
        <f>IF(O32=0,"",$A32 &amp; IF(O32&gt;0," tăng "," giảm ") &amp; TEXT(ABS(O32)/1000,"0") &amp; "K = " &amp; TEXT(D32/1000,"#.##0") &amp; "K")</f>
        <v/>
      </c>
      <c r="Q32" s="150">
        <f>IFERROR(E32-W13Q2FY26!E32,"OOS")</f>
        <v/>
      </c>
      <c r="R32" s="147">
        <f>IF(Q32=0,"",$A32 &amp; IF(Q32&gt;0," tăng "," giảm ") &amp; TEXT(ABS(Q32)/1000,"0") &amp; "K = " &amp; TEXT(E32/1000,"#.##0") &amp; "K")</f>
        <v/>
      </c>
      <c r="S32" s="150">
        <f>IFERROR(F32-W13Q2FY26!F32,"OOS")</f>
        <v/>
      </c>
      <c r="T32" s="147">
        <f>IF(S32=0,"",$A32 &amp; IF(S32&gt;0," tăng "," giảm ") &amp; TEXT(ABS(S32)/1000,"0") &amp; "K = " &amp; TEXT(F32/1000,"#.##0") &amp; "K")</f>
        <v/>
      </c>
      <c r="U32" s="150">
        <f>IFERROR(G32-W13Q2FY26!G32,"OOS")</f>
        <v/>
      </c>
      <c r="V32" s="147">
        <f>IF(U32=0,"",$A32 &amp; IF(U32&gt;0," tăng "," giảm ") &amp; TEXT(ABS(U32)/1000,"0") &amp; "K = " &amp; TEXT(G32/1000,"#.##0") &amp; "K")</f>
        <v/>
      </c>
    </row>
    <row r="33">
      <c r="A33" t="inlineStr">
        <is>
          <t>AirPods 4 with charging case</t>
        </is>
      </c>
      <c r="B33" s="3" t="n"/>
      <c r="C33" s="136" t="n">
        <v>3490000</v>
      </c>
      <c r="D33" s="136" t="n">
        <v>3490000</v>
      </c>
      <c r="E33" s="155" t="n">
        <v>3290000</v>
      </c>
      <c r="F33" s="133" t="n">
        <v>3490000</v>
      </c>
      <c r="G33" s="124" t="n">
        <v>3590000</v>
      </c>
      <c r="H33" s="154" t="n"/>
      <c r="M33" s="149">
        <f>IFERROR(C33-W13Q2FY26!C33,"OOS")</f>
        <v/>
      </c>
      <c r="N33" s="147">
        <f>IF(M33=0,"",$A33 &amp; IF(M33&gt;0," tăng "," giảm ") &amp; TEXT(ABS(M33)/1000,"0") &amp; "K = " &amp; TEXT(C33/1000,"#.##0") &amp; "K")</f>
        <v/>
      </c>
      <c r="O33" s="150">
        <f>IFERROR(D33-W13Q2FY26!D33,"OOS")</f>
        <v/>
      </c>
      <c r="P33" s="147">
        <f>IF(O33=0,"",$A33 &amp; IF(O33&gt;0," tăng "," giảm ") &amp; TEXT(ABS(O33)/1000,"0") &amp; "K = " &amp; TEXT(D33/1000,"#.##0") &amp; "K")</f>
        <v/>
      </c>
      <c r="Q33" s="150">
        <f>IFERROR(E33-W13Q2FY26!E33,"OOS")</f>
        <v/>
      </c>
      <c r="R33" s="147">
        <f>IF(Q33=0,"",$A33 &amp; IF(Q33&gt;0," tăng "," giảm ") &amp; TEXT(ABS(Q33)/1000,"0") &amp; "K = " &amp; TEXT(E33/1000,"#.##0") &amp; "K")</f>
        <v/>
      </c>
      <c r="S33" s="150">
        <f>IFERROR(F33-W13Q2FY26!F33,"OOS")</f>
        <v/>
      </c>
      <c r="T33" s="147">
        <f>IF(S33=0,"",$A33 &amp; IF(S33&gt;0," tăng "," giảm ") &amp; TEXT(ABS(S33)/1000,"0") &amp; "K = " &amp; TEXT(F33/1000,"#.##0") &amp; "K")</f>
        <v/>
      </c>
      <c r="U33" s="150">
        <f>IFERROR(G33-W13Q2FY26!G33,"OOS")</f>
        <v/>
      </c>
      <c r="V33" s="147">
        <f>IF(U33=0,"",$A33 &amp; IF(U33&gt;0," tăng "," giảm ") &amp; TEXT(ABS(U33)/1000,"0") &amp; "K = " &amp; TEXT(G33/1000,"#.##0") &amp; "K")</f>
        <v/>
      </c>
    </row>
    <row r="34">
      <c r="A34" t="inlineStr">
        <is>
          <t>AirPods Pro 3</t>
        </is>
      </c>
      <c r="B34" s="3" t="n"/>
      <c r="C34" s="136" t="n">
        <v>6590000</v>
      </c>
      <c r="D34" s="136" t="n">
        <v>6590000</v>
      </c>
      <c r="E34" s="135" t="n">
        <v>6290000</v>
      </c>
      <c r="F34" s="133" t="n">
        <v>6590000</v>
      </c>
      <c r="G34" s="113" t="n">
        <v>6390000</v>
      </c>
      <c r="H34" s="154" t="n"/>
      <c r="M34" s="149">
        <f>IFERROR(C34-W13Q2FY26!C34,"OOS")</f>
        <v/>
      </c>
      <c r="N34" s="147">
        <f>IF(M34=0,"",$A34 &amp; IF(M34&gt;0," tăng "," giảm ") &amp; TEXT(ABS(M34)/1000,"0") &amp; "K = " &amp; TEXT(C34/1000,"#.##0") &amp; "K")</f>
        <v/>
      </c>
      <c r="O34" s="150">
        <f>IFERROR(D34-W13Q2FY26!D34,"OOS")</f>
        <v/>
      </c>
      <c r="P34" s="147">
        <f>IF(O34=0,"",$A34 &amp; IF(O34&gt;0," tăng "," giảm ") &amp; TEXT(ABS(O34)/1000,"0") &amp; "K = " &amp; TEXT(D34/1000,"#.##0") &amp; "K")</f>
        <v/>
      </c>
      <c r="Q34" s="150">
        <f>IFERROR(E34-W13Q2FY26!E34,"OOS")</f>
        <v/>
      </c>
      <c r="R34" s="147">
        <f>IF(Q34=0,"",$A34 &amp; IF(Q34&gt;0," tăng "," giảm ") &amp; TEXT(ABS(Q34)/1000,"0") &amp; "K = " &amp; TEXT(E34/1000,"#.##0") &amp; "K")</f>
        <v/>
      </c>
      <c r="S34" s="150">
        <f>IFERROR(F34-W13Q2FY26!F34,"OOS")</f>
        <v/>
      </c>
      <c r="T34" s="147">
        <f>IF(S34=0,"",$A34 &amp; IF(S34&gt;0," tăng "," giảm ") &amp; TEXT(ABS(S34)/1000,"0") &amp; "K = " &amp; TEXT(F34/1000,"#.##0") &amp; "K")</f>
        <v/>
      </c>
      <c r="U34" s="150">
        <f>IFERROR(G34-W13Q2FY26!G34,"OOS")</f>
        <v/>
      </c>
      <c r="V34" s="147">
        <f>IF(U34=0,"",$A34 &amp; IF(U34&gt;0," tăng "," giảm ") &amp; TEXT(ABS(U34)/1000,"0") &amp; "K = " &amp; TEXT(G34/1000,"#.##0") &amp; "K")</f>
        <v/>
      </c>
    </row>
    <row r="35">
      <c r="A35" t="inlineStr">
        <is>
          <t>MacBook Air 13" M2 16/256GB</t>
        </is>
      </c>
      <c r="B35" s="25" t="n"/>
      <c r="C35" s="141" t="inlineStr">
        <is>
          <t>OOS</t>
        </is>
      </c>
      <c r="D35" s="136" t="n">
        <v>19990000</v>
      </c>
      <c r="E35" s="143" t="n"/>
      <c r="F35" s="134" t="n">
        <v>21990000</v>
      </c>
      <c r="G35" s="112" t="inlineStr">
        <is>
          <t>OOS</t>
        </is>
      </c>
      <c r="H35" s="154" t="n"/>
      <c r="M35" s="149">
        <f>IFERROR(C35-W13Q2FY26!C35,"OOS")</f>
        <v/>
      </c>
      <c r="N35" s="147">
        <f>IF(M35=0,"",$A35 &amp; IF(M35&gt;0," tăng "," giảm ") &amp; TEXT(ABS(M35)/1000,"0") &amp; "K = " &amp; TEXT(C35/1000,"#.##0") &amp; "K")</f>
        <v/>
      </c>
      <c r="O35" s="150">
        <f>IFERROR(D35-W13Q2FY26!D35,"OOS")</f>
        <v/>
      </c>
      <c r="P35" s="147">
        <f>IF(O35=0,"",$A35 &amp; IF(O35&gt;0," tăng "," giảm ") &amp; TEXT(ABS(O35)/1000,"0") &amp; "K = " &amp; TEXT(D35/1000,"#.##0") &amp; "K")</f>
        <v/>
      </c>
      <c r="Q35" s="150">
        <f>IFERROR(E35-W13Q2FY26!E35,"OOS")</f>
        <v/>
      </c>
      <c r="R35" s="147">
        <f>IF(Q35=0,"",$A35 &amp; IF(Q35&gt;0," tăng "," giảm ") &amp; TEXT(ABS(Q35)/1000,"0") &amp; "K = " &amp; TEXT(E35/1000,"#.##0") &amp; "K")</f>
        <v/>
      </c>
      <c r="S35" s="150">
        <f>IFERROR(F35-W13Q2FY26!F35,"OOS")</f>
        <v/>
      </c>
      <c r="T35" s="147">
        <f>IF(S35=0,"",$A35 &amp; IF(S35&gt;0," tăng "," giảm ") &amp; TEXT(ABS(S35)/1000,"0") &amp; "K = " &amp; TEXT(F35/1000,"#.##0") &amp; "K")</f>
        <v/>
      </c>
      <c r="U35" s="150">
        <f>IFERROR(G35-W13Q2FY26!G35,"OOS")</f>
        <v/>
      </c>
      <c r="V35" s="147">
        <f>IF(U35=0,"",$A35 &amp; IF(U35&gt;0," tăng "," giảm ") &amp; TEXT(ABS(U35)/1000,"0") &amp; "K = " &amp; TEXT(G35/1000,"#.##0") &amp; "K")</f>
        <v/>
      </c>
    </row>
    <row r="36">
      <c r="A36" t="inlineStr">
        <is>
          <t>MacBook Air 13" M5 16/512GB</t>
        </is>
      </c>
      <c r="B36" s="25" t="n"/>
      <c r="C36" s="136" t="n">
        <v>29990000</v>
      </c>
      <c r="D36" s="136" t="n">
        <v>29990000</v>
      </c>
      <c r="E36" s="143" t="n"/>
      <c r="F36" s="111" t="n">
        <v>29990000</v>
      </c>
      <c r="G36" s="111" t="n">
        <v>29990000</v>
      </c>
      <c r="H36" s="154" t="n"/>
      <c r="M36" s="149">
        <f>IFERROR(C36-W13Q2FY26!C36,"OOS")</f>
        <v/>
      </c>
      <c r="N36" s="147">
        <f>IF(M36=0,"",$A36 &amp; IF(M36&gt;0," tăng "," giảm ") &amp; TEXT(ABS(M36)/1000,"0") &amp; "K = " &amp; TEXT(C36/1000,"#.##0") &amp; "K")</f>
        <v/>
      </c>
      <c r="O36" s="150">
        <f>IFERROR(D36-W13Q2FY26!D36,"OOS")</f>
        <v/>
      </c>
      <c r="P36" s="147">
        <f>IF(O36=0,"",$A36 &amp; IF(O36&gt;0," tăng "," giảm ") &amp; TEXT(ABS(O36)/1000,"0") &amp; "K = " &amp; TEXT(D36/1000,"#.##0") &amp; "K")</f>
        <v/>
      </c>
      <c r="Q36" s="150">
        <f>IFERROR(E36-W13Q2FY26!E36,"OOS")</f>
        <v/>
      </c>
      <c r="R36" s="147">
        <f>IF(Q36=0,"",$A36 &amp; IF(Q36&gt;0," tăng "," giảm ") &amp; TEXT(ABS(Q36)/1000,"0") &amp; "K = " &amp; TEXT(E36/1000,"#.##0") &amp; "K")</f>
        <v/>
      </c>
      <c r="S36" s="150">
        <f>IFERROR(F36-W13Q2FY26!F36,"OOS")</f>
        <v/>
      </c>
      <c r="T36" s="147">
        <f>IF(S36=0,"",$A36 &amp; IF(S36&gt;0," tăng "," giảm ") &amp; TEXT(ABS(S36)/1000,"0") &amp; "K = " &amp; TEXT(F36/1000,"#.##0") &amp; "K")</f>
        <v/>
      </c>
      <c r="U36" s="150">
        <f>IFERROR(G36-W13Q2FY26!G36,"OOS")</f>
        <v/>
      </c>
      <c r="V36" s="147">
        <f>IF(U36=0,"",$A36 &amp; IF(U36&gt;0," tăng "," giảm ") &amp; TEXT(ABS(U36)/1000,"0") &amp; "K = " &amp; TEXT(G36/1000,"#.##0") &amp; "K")</f>
        <v/>
      </c>
    </row>
    <row r="37">
      <c r="A37" t="inlineStr">
        <is>
          <t>MacBook NEO A18 Pro ( 8/256GB)</t>
        </is>
      </c>
      <c r="B37" s="25" t="n"/>
      <c r="C37" s="136" t="n">
        <v>16490000</v>
      </c>
      <c r="D37" s="136" t="n">
        <v>16490000</v>
      </c>
      <c r="E37" s="143" t="n"/>
      <c r="F37" s="111" t="n">
        <v>16490000</v>
      </c>
      <c r="G37" s="111" t="n">
        <v>16499000</v>
      </c>
      <c r="H37" s="154" t="n"/>
      <c r="M37" s="149">
        <f>IFERROR(C37-W13Q2FY26!C37,"OOS")</f>
        <v/>
      </c>
      <c r="N37" s="147">
        <f>IF(M37=0,"",$A37 &amp; IF(M37&gt;0," tăng "," giảm ") &amp; TEXT(ABS(M37)/1000,"0") &amp; "K = " &amp; TEXT(C37/1000,"#.##0") &amp; "K")</f>
        <v/>
      </c>
      <c r="O37" s="150">
        <f>IFERROR(D37-W13Q2FY26!D37,"OOS")</f>
        <v/>
      </c>
      <c r="P37" s="147">
        <f>IF(O37=0,"",$A37 &amp; IF(O37&gt;0," tăng "," giảm ") &amp; TEXT(ABS(O37)/1000,"0") &amp; "K = " &amp; TEXT(D37/1000,"#.##0") &amp; "K")</f>
        <v/>
      </c>
      <c r="Q37" s="150">
        <f>IFERROR(E37-W13Q2FY26!E37,"OOS")</f>
        <v/>
      </c>
      <c r="R37" s="147">
        <f>IF(Q37=0,"",$A37 &amp; IF(Q37&gt;0," tăng "," giảm ") &amp; TEXT(ABS(Q37)/1000,"0") &amp; "K = " &amp; TEXT(E37/1000,"#.##0") &amp; "K")</f>
        <v/>
      </c>
      <c r="S37" s="150">
        <f>IFERROR(F37-W13Q2FY26!F37,"OOS")</f>
        <v/>
      </c>
      <c r="T37" s="147">
        <f>IF(S37=0,"",$A37 &amp; IF(S37&gt;0," tăng "," giảm ") &amp; TEXT(ABS(S37)/1000,"0") &amp; "K = " &amp; TEXT(F37/1000,"#.##0") &amp; "K")</f>
        <v/>
      </c>
      <c r="U37" s="150">
        <f>IFERROR(G37-W13Q2FY26!G37,"OOS")</f>
        <v/>
      </c>
      <c r="V37" s="147">
        <f>IF(U37=0,"",$A37 &amp; IF(U37&gt;0," tăng "," giảm ") &amp; TEXT(ABS(U37)/1000,"0") &amp; "K = " &amp; TEXT(G37/1000,"#.##0") &amp; "K")</f>
        <v/>
      </c>
    </row>
    <row r="38">
      <c r="A38" t="inlineStr">
        <is>
          <t>MacBook Air 13" M4 16/256GB</t>
        </is>
      </c>
      <c r="B38" s="3" t="n"/>
      <c r="C38" s="141" t="n">
        <v>25290000</v>
      </c>
      <c r="D38" s="136" t="n">
        <v>24490000</v>
      </c>
      <c r="E38" s="143" t="n"/>
      <c r="F38" s="134" t="n">
        <v>24990000</v>
      </c>
      <c r="G38" s="111" t="n">
        <v>24590000</v>
      </c>
      <c r="H38" s="154" t="n"/>
      <c r="M38" s="149">
        <f>IFERROR(C38-W13Q2FY26!C38,"OOS")</f>
        <v/>
      </c>
      <c r="N38" s="147">
        <f>IF(M38=0,"",$A38 &amp; IF(M38&gt;0," tăng "," giảm ") &amp; TEXT(ABS(M38)/1000,"0") &amp; "K = " &amp; TEXT(C38/1000,"#.##0") &amp; "K")</f>
        <v/>
      </c>
      <c r="O38" s="150">
        <f>IFERROR(D38-W13Q2FY26!D38,"OOS")</f>
        <v/>
      </c>
      <c r="P38" s="147">
        <f>IF(O38=0,"",$A38 &amp; IF(O38&gt;0," tăng "," giảm ") &amp; TEXT(ABS(O38)/1000,"0") &amp; "K = " &amp; TEXT(D38/1000,"#.##0") &amp; "K")</f>
        <v/>
      </c>
      <c r="Q38" s="150">
        <f>IFERROR(E38-W13Q2FY26!E38,"OOS")</f>
        <v/>
      </c>
      <c r="R38" s="147">
        <f>IF(Q38=0,"",$A38 &amp; IF(Q38&gt;0," tăng "," giảm ") &amp; TEXT(ABS(Q38)/1000,"0") &amp; "K = " &amp; TEXT(E38/1000,"#.##0") &amp; "K")</f>
        <v/>
      </c>
      <c r="S38" s="150">
        <f>IFERROR(F38-W13Q2FY26!F38,"OOS")</f>
        <v/>
      </c>
      <c r="T38" s="147">
        <f>IF(S38=0,"",$A38 &amp; IF(S38&gt;0," tăng "," giảm ") &amp; TEXT(ABS(S38)/1000,"0") &amp; "K = " &amp; TEXT(F38/1000,"#.##0") &amp; "K")</f>
        <v/>
      </c>
      <c r="U38" s="150">
        <f>IFERROR(G38-W13Q2FY26!G38,"OOS")</f>
        <v/>
      </c>
      <c r="V38" s="147">
        <f>IF(U38=0,"",$A38 &amp; IF(U38&gt;0," tăng "," giảm ") &amp; TEXT(ABS(U38)/1000,"0") &amp; "K = " &amp; TEXT(G38/1000,"#.##0") &amp; "K")</f>
        <v/>
      </c>
    </row>
    <row r="39">
      <c r="A39" t="inlineStr">
        <is>
          <t>MacBook Air 15" M4 16/256GB</t>
        </is>
      </c>
      <c r="B39" s="25" t="n"/>
      <c r="C39" s="136" t="n">
        <v>29990000</v>
      </c>
      <c r="D39" s="136" t="n">
        <v>29990000</v>
      </c>
      <c r="E39" s="143" t="n"/>
      <c r="F39" s="133" t="n">
        <v>29990000</v>
      </c>
      <c r="G39" s="111" t="n">
        <v>28990000</v>
      </c>
      <c r="H39" s="154" t="n"/>
      <c r="M39" s="149">
        <f>IFERROR(C39-W13Q2FY26!C39,"OOS")</f>
        <v/>
      </c>
      <c r="N39" s="147">
        <f>IF(M39=0,"",$A39 &amp; IF(M39&gt;0," tăng "," giảm ") &amp; TEXT(ABS(M39)/1000,"0") &amp; "K = " &amp; TEXT(C39/1000,"#.##0") &amp; "K")</f>
        <v/>
      </c>
      <c r="O39" s="150">
        <f>IFERROR(D39-W13Q2FY26!D39,"OOS")</f>
        <v/>
      </c>
      <c r="P39" s="147">
        <f>IF(O39=0,"",$A39 &amp; IF(O39&gt;0," tăng "," giảm ") &amp; TEXT(ABS(O39)/1000,"0") &amp; "K = " &amp; TEXT(D39/1000,"#.##0") &amp; "K")</f>
        <v/>
      </c>
      <c r="Q39" s="150">
        <f>IFERROR(E39-W13Q2FY26!E39,"OOS")</f>
        <v/>
      </c>
      <c r="R39" s="147">
        <f>IF(Q39=0,"",$A39 &amp; IF(Q39&gt;0," tăng "," giảm ") &amp; TEXT(ABS(Q39)/1000,"0") &amp; "K = " &amp; TEXT(E39/1000,"#.##0") &amp; "K")</f>
        <v/>
      </c>
      <c r="S39" s="150">
        <f>IFERROR(F39-W13Q2FY26!F39,"OOS")</f>
        <v/>
      </c>
      <c r="T39" s="147">
        <f>IF(S39=0,"",$A39 &amp; IF(S39&gt;0," tăng "," giảm ") &amp; TEXT(ABS(S39)/1000,"0") &amp; "K = " &amp; TEXT(F39/1000,"#.##0") &amp; "K")</f>
        <v/>
      </c>
      <c r="U39" s="150">
        <f>IFERROR(G39-W13Q2FY26!G39,"OOS")</f>
        <v/>
      </c>
      <c r="V39" s="147">
        <f>IF(U39=0,"",$A39 &amp; IF(U39&gt;0," tăng "," giảm ") &amp; TEXT(ABS(U39)/1000,"0") &amp; "K = " &amp; TEXT(G39/1000,"#.##0") &amp; "K")</f>
        <v/>
      </c>
    </row>
    <row r="40">
      <c r="A40" t="inlineStr">
        <is>
          <t>MacBook Pro 14" M4 16/512GB</t>
        </is>
      </c>
      <c r="B40" s="25" t="n"/>
      <c r="C40" s="136" t="inlineStr">
        <is>
          <t>OOS</t>
        </is>
      </c>
      <c r="D40" s="136" t="inlineStr">
        <is>
          <t>OOS</t>
        </is>
      </c>
      <c r="E40" s="143" t="n"/>
      <c r="F40" s="133" t="n">
        <v>38590000</v>
      </c>
      <c r="G40" s="111" t="n">
        <v>38390000</v>
      </c>
      <c r="H40" s="154" t="n"/>
      <c r="M40" s="149">
        <f>IFERROR(C40-W13Q2FY26!C40,"OOS")</f>
        <v/>
      </c>
      <c r="N40" s="147">
        <f>IF(M40=0,"",$A40 &amp; IF(M40&gt;0," tăng "," giảm ") &amp; TEXT(ABS(M40)/1000,"0") &amp; "K = " &amp; TEXT(C40/1000,"#.##0") &amp; "K")</f>
        <v/>
      </c>
      <c r="O40" s="150">
        <f>IFERROR(D40-W13Q2FY26!D40,"OOS")</f>
        <v/>
      </c>
      <c r="P40" s="147">
        <f>IF(O40=0,"",$A40 &amp; IF(O40&gt;0," tăng "," giảm ") &amp; TEXT(ABS(O40)/1000,"0") &amp; "K = " &amp; TEXT(D40/1000,"#.##0") &amp; "K")</f>
        <v/>
      </c>
      <c r="Q40" s="150">
        <f>IFERROR(E40-W13Q2FY26!E40,"OOS")</f>
        <v/>
      </c>
      <c r="R40" s="147">
        <f>IF(Q40=0,"",$A40 &amp; IF(Q40&gt;0," tăng "," giảm ") &amp; TEXT(ABS(Q40)/1000,"0") &amp; "K = " &amp; TEXT(E40/1000,"#.##0") &amp; "K")</f>
        <v/>
      </c>
      <c r="S40" s="150">
        <f>IFERROR(F40-W13Q2FY26!F40,"OOS")</f>
        <v/>
      </c>
      <c r="T40" s="147">
        <f>IF(S40=0,"",$A40 &amp; IF(S40&gt;0," tăng "," giảm ") &amp; TEXT(ABS(S40)/1000,"0") &amp; "K = " &amp; TEXT(F40/1000,"#.##0") &amp; "K")</f>
        <v/>
      </c>
      <c r="U40" s="150">
        <f>IFERROR(G40-W13Q2FY26!G40,"OOS")</f>
        <v/>
      </c>
      <c r="V40" s="147">
        <f>IF(U40=0,"",$A40 &amp; IF(U40&gt;0," tăng "," giảm ") &amp; TEXT(ABS(U40)/1000,"0") &amp; "K = " &amp; TEXT(G40/1000,"#.##0") &amp; "K")</f>
        <v/>
      </c>
    </row>
    <row r="41">
      <c r="A41" t="inlineStr">
        <is>
          <t>MacBook Pro 14" M5 16/512GB</t>
        </is>
      </c>
      <c r="B41" s="25" t="n"/>
      <c r="C41" s="141" t="n">
        <v>41490000</v>
      </c>
      <c r="D41" s="136" t="n">
        <v>41490000</v>
      </c>
      <c r="E41" s="143" t="n"/>
      <c r="F41" s="133" t="n">
        <v>41490000</v>
      </c>
      <c r="G41" s="111" t="n">
        <v>40690000</v>
      </c>
      <c r="H41" s="154" t="n"/>
      <c r="M41" s="149">
        <f>IFERROR(C41-W13Q2FY26!C41,"OOS")</f>
        <v/>
      </c>
      <c r="N41" s="147">
        <f>IF(M41=0,"",$A41 &amp; IF(M41&gt;0," tăng "," giảm ") &amp; TEXT(ABS(M41)/1000,"0") &amp; "K = " &amp; TEXT(C41/1000,"#.##0") &amp; "K")</f>
        <v/>
      </c>
      <c r="O41" s="150">
        <f>IFERROR(D41-W13Q2FY26!D41,"OOS")</f>
        <v/>
      </c>
      <c r="P41" s="147">
        <f>IF(O41=0,"",$A41 &amp; IF(O41&gt;0," tăng "," giảm ") &amp; TEXT(ABS(O41)/1000,"0") &amp; "K = " &amp; TEXT(D41/1000,"#.##0") &amp; "K")</f>
        <v/>
      </c>
      <c r="Q41" s="150">
        <f>IFERROR(E41-W13Q2FY26!E41,"OOS")</f>
        <v/>
      </c>
      <c r="R41" s="147">
        <f>IF(Q41=0,"",$A41 &amp; IF(Q41&gt;0," tăng "," giảm ") &amp; TEXT(ABS(Q41)/1000,"0") &amp; "K = " &amp; TEXT(E41/1000,"#.##0") &amp; "K")</f>
        <v/>
      </c>
      <c r="S41" s="150">
        <f>IFERROR(F41-W13Q2FY26!F41,"OOS")</f>
        <v/>
      </c>
      <c r="T41" s="147">
        <f>IF(S41=0,"",$A41 &amp; IF(S41&gt;0," tăng "," giảm ") &amp; TEXT(ABS(S41)/1000,"0") &amp; "K = " &amp; TEXT(F41/1000,"#.##0") &amp; "K")</f>
        <v/>
      </c>
      <c r="U41" s="150">
        <f>IFERROR(G41-W13Q2FY26!G41,"OOS")</f>
        <v/>
      </c>
      <c r="V41" s="147">
        <f>IF(U41=0,"",$A41 &amp; IF(U41&gt;0," tăng "," giảm ") &amp; TEXT(ABS(U41)/1000,"0") &amp; "K = " &amp; TEXT(G41/1000,"#.##0") &amp; "K")</f>
        <v/>
      </c>
    </row>
    <row r="42">
      <c r="A42" t="inlineStr">
        <is>
          <t>MacBook Pro 16" M4 24/512GB</t>
        </is>
      </c>
      <c r="B42" s="25" t="n"/>
      <c r="C42" s="136" t="inlineStr">
        <is>
          <t>OOS</t>
        </is>
      </c>
      <c r="D42" s="141" t="n">
        <v>63990000</v>
      </c>
      <c r="E42" s="143" t="n"/>
      <c r="F42" s="133" t="n">
        <v>62990000</v>
      </c>
      <c r="G42" s="111" t="n">
        <v>63990000</v>
      </c>
      <c r="H42" s="154" t="n"/>
      <c r="M42" s="149">
        <f>IFERROR(C42-W13Q2FY26!C42,"OOS")</f>
        <v/>
      </c>
      <c r="N42" s="147">
        <f>IF(M42=0,"",$A42 &amp; IF(M42&gt;0," tăng "," giảm ") &amp; TEXT(ABS(M42)/1000,"0") &amp; "K = " &amp; TEXT(C42/1000,"#.##0") &amp; "K")</f>
        <v/>
      </c>
      <c r="O42" s="150">
        <f>IFERROR(D42-W13Q2FY26!D42,"OOS")</f>
        <v/>
      </c>
      <c r="P42" s="147">
        <f>IF(O42=0,"",$A42 &amp; IF(O42&gt;0," tăng "," giảm ") &amp; TEXT(ABS(O42)/1000,"0") &amp; "K = " &amp; TEXT(D42/1000,"#.##0") &amp; "K")</f>
        <v/>
      </c>
      <c r="Q42" s="150">
        <f>IFERROR(E42-W13Q2FY26!E42,"OOS")</f>
        <v/>
      </c>
      <c r="R42" s="147">
        <f>IF(Q42=0,"",$A42 &amp; IF(Q42&gt;0," tăng "," giảm ") &amp; TEXT(ABS(Q42)/1000,"0") &amp; "K = " &amp; TEXT(E42/1000,"#.##0") &amp; "K")</f>
        <v/>
      </c>
      <c r="S42" s="150">
        <f>IFERROR(F42-W13Q2FY26!F42,"OOS")</f>
        <v/>
      </c>
      <c r="T42" s="147">
        <f>IF(S42=0,"",$A42 &amp; IF(S42&gt;0," tăng "," giảm ") &amp; TEXT(ABS(S42)/1000,"0") &amp; "K = " &amp; TEXT(F42/1000,"#.##0") &amp; "K")</f>
        <v/>
      </c>
      <c r="U42" s="150">
        <f>IFERROR(G42-W13Q2FY26!G42,"OOS")</f>
        <v/>
      </c>
      <c r="V42" s="147">
        <f>IF(U42=0,"",$A42 &amp; IF(U42&gt;0," tăng "," giảm ") &amp; TEXT(ABS(U42)/1000,"0") &amp; "K = " &amp; TEXT(G42/1000,"#.##0") &amp; "K")</f>
        <v/>
      </c>
    </row>
    <row r="43">
      <c r="C43" s="125" t="n"/>
      <c r="D43" s="125" t="n"/>
    </row>
    <row r="44">
      <c r="C44" s="125" t="n"/>
      <c r="D44" s="125" t="n"/>
    </row>
    <row r="45">
      <c r="C45" s="125" t="n"/>
      <c r="D45" s="125" t="n"/>
    </row>
    <row r="46">
      <c r="C46" s="125" t="n"/>
      <c r="D46" s="125" t="n"/>
    </row>
    <row r="47">
      <c r="C47" s="125" t="n"/>
      <c r="D47" s="125" t="n"/>
    </row>
    <row r="48">
      <c r="C48" s="125" t="n"/>
      <c r="D48" s="125" t="n"/>
    </row>
    <row r="49">
      <c r="C49" s="125" t="n"/>
      <c r="D49" s="125" t="n"/>
    </row>
    <row r="50">
      <c r="C50" s="125" t="n"/>
      <c r="D50" s="125" t="n"/>
    </row>
    <row r="51">
      <c r="C51" s="125" t="n"/>
      <c r="D51" s="125" t="n"/>
    </row>
    <row r="52">
      <c r="C52" s="125" t="n"/>
      <c r="D52" s="125" t="n"/>
    </row>
    <row r="53">
      <c r="C53" s="125" t="n"/>
      <c r="D53" s="125" t="n"/>
    </row>
    <row r="54">
      <c r="C54" s="125" t="n"/>
      <c r="D54" s="125" t="n"/>
    </row>
    <row r="55">
      <c r="C55" s="125" t="n"/>
      <c r="D55" s="125" t="n"/>
    </row>
    <row r="56">
      <c r="C56" s="125" t="n"/>
      <c r="D56" s="125" t="n"/>
    </row>
    <row r="57">
      <c r="C57" s="125" t="n"/>
      <c r="D57" s="125" t="n"/>
    </row>
    <row r="58">
      <c r="C58" s="125" t="n"/>
      <c r="D58" s="125" t="n"/>
    </row>
    <row r="59">
      <c r="C59" s="125" t="n"/>
      <c r="D59" s="125" t="n"/>
    </row>
    <row r="60">
      <c r="C60" s="125" t="n"/>
      <c r="D60" s="125" t="n"/>
    </row>
    <row r="61">
      <c r="C61" s="125" t="n"/>
      <c r="D61" s="125" t="n"/>
    </row>
    <row r="62">
      <c r="C62" s="125" t="n"/>
      <c r="D62" s="125" t="n"/>
    </row>
    <row r="63">
      <c r="C63" s="125" t="n"/>
      <c r="D63" s="125" t="n"/>
    </row>
    <row r="64">
      <c r="C64" s="125" t="n"/>
      <c r="D64" s="125" t="n"/>
    </row>
    <row r="65">
      <c r="C65" s="125" t="n"/>
      <c r="D65" s="125" t="n"/>
    </row>
    <row r="66">
      <c r="C66" s="125" t="n"/>
      <c r="D66" s="125" t="n"/>
    </row>
    <row r="67">
      <c r="C67" s="125" t="n"/>
      <c r="D67" s="125" t="n"/>
    </row>
    <row r="68">
      <c r="C68" s="125" t="n"/>
      <c r="D68" s="125" t="n"/>
    </row>
    <row r="69">
      <c r="C69" s="125" t="n"/>
      <c r="D69" s="125" t="n"/>
    </row>
    <row r="70">
      <c r="C70" s="125" t="n"/>
      <c r="D70" s="125" t="n"/>
    </row>
    <row r="71">
      <c r="C71" s="125" t="n"/>
      <c r="D71" s="125" t="n"/>
    </row>
    <row r="72">
      <c r="C72" s="125" t="n"/>
      <c r="D72" s="125" t="n"/>
    </row>
    <row r="73">
      <c r="C73" s="125" t="n"/>
      <c r="D73" s="125" t="n"/>
    </row>
    <row r="74">
      <c r="C74" s="125" t="n"/>
      <c r="D74" s="125" t="n"/>
    </row>
    <row r="75">
      <c r="C75" s="125" t="n"/>
      <c r="D75" s="125" t="n"/>
    </row>
    <row r="76">
      <c r="C76" s="125" t="n"/>
      <c r="D76" s="125" t="n"/>
    </row>
    <row r="77">
      <c r="C77" s="125" t="n"/>
      <c r="D77" s="125" t="n"/>
    </row>
    <row r="78">
      <c r="C78" s="125" t="n"/>
      <c r="D78" s="125" t="n"/>
    </row>
    <row r="79">
      <c r="C79" s="125" t="n"/>
      <c r="D79" s="125" t="n"/>
    </row>
    <row r="80">
      <c r="C80" s="125" t="n"/>
      <c r="D80" s="125" t="n"/>
    </row>
    <row r="81">
      <c r="C81" s="125" t="n"/>
      <c r="D81" s="125" t="n"/>
    </row>
    <row r="82">
      <c r="C82" s="125" t="n"/>
      <c r="D82" s="125" t="n"/>
    </row>
    <row r="83">
      <c r="C83" s="125" t="n"/>
      <c r="D83" s="125" t="n"/>
    </row>
    <row r="84">
      <c r="C84" s="125" t="n"/>
      <c r="D84" s="125" t="n"/>
    </row>
    <row r="85">
      <c r="C85" s="125" t="n"/>
      <c r="D85" s="125" t="n"/>
    </row>
    <row r="86">
      <c r="C86" s="125" t="n"/>
      <c r="D86" s="125" t="n"/>
    </row>
    <row r="87">
      <c r="C87" s="125" t="n"/>
      <c r="D87" s="125" t="n"/>
    </row>
    <row r="88">
      <c r="C88" s="125" t="n"/>
      <c r="D88" s="125" t="n"/>
    </row>
    <row r="89">
      <c r="C89" s="125" t="n"/>
      <c r="D89" s="125" t="n"/>
    </row>
    <row r="90">
      <c r="C90" s="125" t="n"/>
      <c r="D90" s="125" t="n"/>
    </row>
    <row r="91">
      <c r="C91" s="125" t="n"/>
      <c r="D91" s="125" t="n"/>
    </row>
    <row r="92">
      <c r="C92" s="125" t="n"/>
      <c r="D92" s="125" t="n"/>
    </row>
    <row r="93">
      <c r="C93" s="125" t="n"/>
      <c r="D93" s="125" t="n"/>
    </row>
    <row r="94">
      <c r="C94" s="125" t="n"/>
      <c r="D94" s="125" t="n"/>
    </row>
    <row r="95">
      <c r="C95" s="125" t="n"/>
      <c r="D95" s="125" t="n"/>
    </row>
    <row r="96">
      <c r="C96" s="125" t="n"/>
      <c r="D96" s="125" t="n"/>
    </row>
    <row r="97">
      <c r="C97" s="125" t="n"/>
      <c r="D97" s="125" t="n"/>
    </row>
    <row r="98">
      <c r="C98" s="125" t="n"/>
      <c r="D98" s="125" t="n"/>
    </row>
    <row r="99">
      <c r="C99" s="125" t="n"/>
      <c r="D99" s="125" t="n"/>
    </row>
    <row r="100">
      <c r="C100" s="125" t="n"/>
      <c r="D100" s="125" t="n"/>
    </row>
    <row r="101">
      <c r="C101" s="125" t="n"/>
      <c r="D101" s="125" t="n"/>
    </row>
    <row r="102">
      <c r="C102" s="125" t="n"/>
      <c r="D102" s="125" t="n"/>
    </row>
    <row r="103">
      <c r="C103" s="125" t="n"/>
      <c r="D103" s="125" t="n"/>
    </row>
    <row r="104">
      <c r="C104" s="125" t="n"/>
      <c r="D104" s="125" t="n"/>
    </row>
    <row r="105">
      <c r="C105" s="125" t="n"/>
      <c r="D105" s="125" t="n"/>
    </row>
    <row r="106">
      <c r="C106" s="125" t="n"/>
      <c r="D106" s="125" t="n"/>
    </row>
    <row r="107">
      <c r="C107" s="125" t="n"/>
      <c r="D107" s="125" t="n"/>
    </row>
    <row r="108">
      <c r="C108" s="125" t="n"/>
      <c r="D108" s="125" t="n"/>
    </row>
    <row r="109">
      <c r="C109" s="125" t="n"/>
      <c r="D109" s="125" t="n"/>
    </row>
    <row r="110">
      <c r="C110" s="125" t="n"/>
      <c r="D110" s="125" t="n"/>
    </row>
    <row r="111">
      <c r="C111" s="125" t="n"/>
      <c r="D111" s="125" t="n"/>
    </row>
    <row r="112">
      <c r="C112" s="125" t="n"/>
      <c r="D112" s="125" t="n"/>
    </row>
    <row r="113">
      <c r="C113" s="125" t="n"/>
      <c r="D113" s="125" t="n"/>
    </row>
    <row r="114">
      <c r="C114" s="125" t="n"/>
      <c r="D114" s="125" t="n"/>
    </row>
    <row r="115">
      <c r="C115" s="125" t="n"/>
      <c r="D115" s="125" t="n"/>
    </row>
    <row r="116">
      <c r="C116" s="125" t="n"/>
      <c r="D116" s="125" t="n"/>
    </row>
    <row r="117">
      <c r="C117" s="125" t="n"/>
      <c r="D117" s="125" t="n"/>
    </row>
    <row r="118">
      <c r="C118" s="125" t="n"/>
      <c r="D118" s="125" t="n"/>
    </row>
    <row r="119">
      <c r="C119" s="125" t="n"/>
      <c r="D119" s="125" t="n"/>
    </row>
    <row r="120">
      <c r="C120" s="125" t="n"/>
      <c r="D120" s="125" t="n"/>
    </row>
    <row r="121">
      <c r="C121" s="125" t="n"/>
      <c r="D121" s="125" t="n"/>
    </row>
    <row r="122">
      <c r="C122" s="125" t="n"/>
      <c r="D122" s="125" t="n"/>
    </row>
    <row r="123">
      <c r="C123" s="125" t="n"/>
      <c r="D123" s="125" t="n"/>
    </row>
    <row r="124">
      <c r="C124" s="125" t="n"/>
      <c r="D124" s="125" t="n"/>
    </row>
    <row r="125">
      <c r="C125" s="125" t="n"/>
      <c r="D125" s="125" t="n"/>
    </row>
    <row r="126">
      <c r="C126" s="125" t="n"/>
      <c r="D126" s="125" t="n"/>
    </row>
    <row r="127">
      <c r="C127" s="125" t="n"/>
      <c r="D127" s="125" t="n"/>
    </row>
    <row r="128">
      <c r="C128" s="125" t="n"/>
      <c r="D128" s="125" t="n"/>
    </row>
    <row r="129">
      <c r="C129" s="125" t="n"/>
      <c r="D129" s="125" t="n"/>
    </row>
    <row r="130">
      <c r="C130" s="125" t="n"/>
      <c r="D130" s="125" t="n"/>
    </row>
    <row r="131">
      <c r="C131" s="125" t="n"/>
      <c r="D131" s="125" t="n"/>
    </row>
    <row r="132">
      <c r="C132" s="125" t="n"/>
      <c r="D132" s="125" t="n"/>
    </row>
    <row r="133">
      <c r="C133" s="125" t="n"/>
      <c r="D133" s="125" t="n"/>
    </row>
    <row r="134">
      <c r="C134" s="125" t="n"/>
      <c r="D134" s="125" t="n"/>
    </row>
    <row r="135">
      <c r="C135" s="125" t="n"/>
      <c r="D135" s="125" t="n"/>
    </row>
    <row r="136">
      <c r="C136" s="125" t="n"/>
      <c r="D136" s="125" t="n"/>
    </row>
    <row r="137">
      <c r="C137" s="125" t="n"/>
      <c r="D137" s="125" t="n"/>
    </row>
    <row r="138">
      <c r="C138" s="125" t="n"/>
      <c r="D138" s="125" t="n"/>
    </row>
    <row r="139">
      <c r="C139" s="125" t="n"/>
      <c r="D139" s="125" t="n"/>
    </row>
    <row r="140">
      <c r="C140" s="125" t="n"/>
      <c r="D140" s="125" t="n"/>
    </row>
    <row r="141">
      <c r="C141" s="125" t="n"/>
      <c r="D141" s="125" t="n"/>
    </row>
    <row r="142">
      <c r="C142" s="125" t="n"/>
      <c r="D142" s="125" t="n"/>
    </row>
    <row r="143">
      <c r="C143" s="125" t="n"/>
      <c r="D143" s="125" t="n"/>
    </row>
    <row r="144">
      <c r="C144" s="125" t="n"/>
      <c r="D144" s="125" t="n"/>
    </row>
    <row r="145">
      <c r="C145" s="125" t="n"/>
      <c r="D145" s="125" t="n"/>
    </row>
    <row r="146">
      <c r="C146" s="125" t="n"/>
      <c r="D146" s="125" t="n"/>
    </row>
    <row r="147">
      <c r="C147" s="125" t="n"/>
      <c r="D147" s="125" t="n"/>
    </row>
    <row r="148">
      <c r="C148" s="125" t="n"/>
      <c r="D148" s="125" t="n"/>
    </row>
    <row r="149">
      <c r="C149" s="125" t="n"/>
      <c r="D149" s="125" t="n"/>
    </row>
    <row r="150">
      <c r="C150" s="125" t="n"/>
      <c r="D150" s="125" t="n"/>
    </row>
    <row r="151">
      <c r="C151" s="125" t="n"/>
      <c r="D151" s="125" t="n"/>
    </row>
    <row r="152">
      <c r="C152" s="125" t="n"/>
      <c r="D152" s="125" t="n"/>
    </row>
    <row r="153">
      <c r="C153" s="125" t="n"/>
      <c r="D153" s="125" t="n"/>
    </row>
    <row r="154">
      <c r="C154" s="125" t="n"/>
      <c r="D154" s="125" t="n"/>
    </row>
  </sheetData>
  <conditionalFormatting sqref="E3:E42">
    <cfRule type="expression" priority="5" dxfId="3" stopIfTrue="1">
      <formula>$Q3=0</formula>
    </cfRule>
    <cfRule type="expression" priority="6" dxfId="2" stopIfTrue="1">
      <formula>AND($Q3&lt;&gt;0,$Q3&lt;&gt;"")</formula>
    </cfRule>
  </conditionalFormatting>
  <conditionalFormatting sqref="G10:G11">
    <cfRule type="expression" priority="1" dxfId="3" stopIfTrue="1">
      <formula>$Q10=0</formula>
    </cfRule>
    <cfRule type="expression" priority="2" dxfId="2" stopIfTrue="1">
      <formula>AND($Q10&lt;&gt;0,$Q10&lt;&gt;"")</formula>
    </cfRule>
  </conditionalFormatting>
  <conditionalFormatting sqref="N2:N42 P2:P42 R2:R42 T2:T42 V2:V42">
    <cfRule type="containsText" priority="3" operator="containsText" dxfId="1" text="Tăng">
      <formula>NOT(ISERROR(SEARCH("Tăng",N2)))</formula>
    </cfRule>
    <cfRule type="containsText" priority="4"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2.xml><?xml version="1.0" encoding="utf-8"?>
<worksheet xmlns="http://schemas.openxmlformats.org/spreadsheetml/2006/main">
  <sheetPr>
    <outlinePr summaryBelow="1" summaryRight="1"/>
    <pageSetUpPr/>
  </sheetPr>
  <dimension ref="A1:Y155"/>
  <sheetViews>
    <sheetView showGridLines="0" zoomScale="80" zoomScaleNormal="80" workbookViewId="0">
      <pane xSplit="2" ySplit="1" topLeftCell="R2" activePane="bottomRight" state="frozen"/>
      <selection pane="bottomRight" activeCell="C1" sqref="C1"/>
      <selection pane="bottomLeft" activeCell="A2" sqref="A2"/>
      <selection pane="topRight" activeCell="C1" sqref="C1"/>
    </sheetView>
  </sheetViews>
  <sheetFormatPr baseColWidth="8" defaultColWidth="11" defaultRowHeight="15.75" customHeight="1"/>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3.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ht="15.95" customHeight="1" s="35">
      <c r="A2" t="inlineStr">
        <is>
          <t>iPhone 17e 256GB</t>
        </is>
      </c>
      <c r="B2" s="83" t="n"/>
      <c r="C2" s="127" t="n">
        <v>17990000</v>
      </c>
      <c r="D2" s="128" t="n">
        <v>17790000</v>
      </c>
      <c r="E2" s="135" t="n">
        <v>17290000</v>
      </c>
      <c r="F2" s="158" t="n">
        <v>17690000</v>
      </c>
      <c r="G2" s="112" t="n">
        <v>17590000</v>
      </c>
      <c r="H2" s="154" t="n"/>
      <c r="M2" s="149">
        <f>IFERROR(C2-W1Q3FY26!C2,"OOS")</f>
        <v/>
      </c>
      <c r="N2" s="147">
        <f>IF(M2=0,"",$A2 &amp; IF(M2&gt;0," tăng "," giảm ") &amp; TEXT(ABS(M2)/1000,"0") &amp; "K = " &amp; TEXT(C2/1000,"#.##0") &amp; "K")</f>
        <v/>
      </c>
      <c r="O2" s="150">
        <f>IFERROR(D2-W1Q3FY26!D2,"OOS")</f>
        <v/>
      </c>
      <c r="P2" s="147">
        <f>IF(O2=0,"",$A2 &amp; IF(O2&gt;0," tăng "," giảm ") &amp; TEXT(ABS(O2)/1000,"0") &amp; "K = " &amp; TEXT(D2/1000,"#.##0") &amp; "K")</f>
        <v/>
      </c>
      <c r="Q2" s="150">
        <f>IFERROR(E2-W1Q3FY26!E2,"OOS")</f>
        <v/>
      </c>
      <c r="R2" s="147">
        <f>IF(Q2=0,"",$A2 &amp; IF(Q2&gt;0," tăng "," giảm ") &amp; TEXT(ABS(Q2)/1000,"0") &amp; "K = " &amp; TEXT(E2/1000,"#.##0") &amp; "K")</f>
        <v/>
      </c>
      <c r="S2" s="150">
        <f>IFERROR(F2-W1Q3FY26!F2,"OOS")</f>
        <v/>
      </c>
      <c r="T2" s="147">
        <f>IF(S2=0,"",$A2 &amp; IF(S2&gt;0," tăng "," giảm ") &amp; TEXT(ABS(S2)/1000,"0") &amp; "K = " &amp; TEXT(F2/1000,"#.##0") &amp; "K")</f>
        <v/>
      </c>
      <c r="U2" s="150">
        <f>IFERROR(G2-W1Q3FY26!G2,"OOS")</f>
        <v/>
      </c>
      <c r="V2" s="147">
        <f>IF(U2=0,"",$A2 &amp; IF(U2&gt;0," tăng "," giảm ") &amp; TEXT(ABS(U2)/1000,"0") &amp; "K = " &amp; TEXT(G2/1000,"#.##0") &amp; "K")</f>
        <v/>
      </c>
    </row>
    <row r="3" ht="15.95" customHeight="1" s="35">
      <c r="A3" t="inlineStr">
        <is>
          <t>iPhone 17  256GB</t>
        </is>
      </c>
      <c r="B3" s="83" t="n"/>
      <c r="C3" s="130" t="n">
        <v>24490000</v>
      </c>
      <c r="D3" s="130" t="n">
        <v>24490000</v>
      </c>
      <c r="E3" s="131" t="n">
        <v>24190000</v>
      </c>
      <c r="F3" s="132" t="n">
        <v>24390000</v>
      </c>
      <c r="G3" s="111" t="n">
        <v>24190000</v>
      </c>
      <c r="H3" s="154" t="n"/>
      <c r="M3" s="149">
        <f>IFERROR(C3-W1Q3FY26!C3,"OOS")</f>
        <v/>
      </c>
      <c r="N3" s="147">
        <f>IF(M3=0,"",$A3 &amp; IF(M3&gt;0," tăng "," giảm ") &amp; TEXT(ABS(M3)/1000,"0") &amp; "K = " &amp; TEXT(C3/1000,"#.##0") &amp; "K")</f>
        <v/>
      </c>
      <c r="O3" s="150">
        <f>IFERROR(D3-W1Q3FY26!D3,"OOS")</f>
        <v/>
      </c>
      <c r="P3" s="147">
        <f>IF(O3=0,"",$A3 &amp; IF(O3&gt;0," tăng "," giảm ") &amp; TEXT(ABS(O3)/1000,"0") &amp; "K = " &amp; TEXT(D3/1000,"#.##0") &amp; "K")</f>
        <v/>
      </c>
      <c r="Q3" s="150">
        <f>IFERROR(E3-W1Q3FY26!E3,"OOS")</f>
        <v/>
      </c>
      <c r="R3" s="147">
        <f>IF(Q3=0,"",$A3 &amp; IF(Q3&gt;0," tăng "," giảm ") &amp; TEXT(ABS(Q3)/1000,"0") &amp; "K = " &amp; TEXT(E3/1000,"#.##0") &amp; "K")</f>
        <v/>
      </c>
      <c r="S3" s="150">
        <f>IFERROR(F3-W1Q3FY26!F3,"OOS")</f>
        <v/>
      </c>
      <c r="T3" s="147">
        <f>IF(S3=0,"",$A3 &amp; IF(S3&gt;0," tăng "," giảm ") &amp; TEXT(ABS(S3)/1000,"0") &amp; "K = " &amp; TEXT(F3/1000,"#.##0") &amp; "K")</f>
        <v/>
      </c>
      <c r="U3" s="150">
        <f>IFERROR(G3-W1Q3FY26!G3,"OOS")</f>
        <v/>
      </c>
      <c r="V3" s="147">
        <f>IF(U3=0,"",$A3 &amp; IF(U3&gt;0," tăng "," giảm ") &amp; TEXT(ABS(U3)/1000,"0") &amp; "K = " &amp; TEXT(G3/1000,"#.##0") &amp; "K")</f>
        <v/>
      </c>
    </row>
    <row r="4" ht="15.95" customHeight="1" s="35">
      <c r="A4" t="inlineStr">
        <is>
          <t>iPhone Air 256G</t>
        </is>
      </c>
      <c r="B4" s="83" t="n"/>
      <c r="C4" s="130" t="n">
        <v>22990000</v>
      </c>
      <c r="D4" s="130" t="n">
        <v>22490000</v>
      </c>
      <c r="E4" s="131" t="n">
        <v>23490000</v>
      </c>
      <c r="F4" s="134" t="n">
        <v>22990000</v>
      </c>
      <c r="G4" s="111" t="n">
        <v>23990000</v>
      </c>
      <c r="H4" s="154" t="n"/>
      <c r="M4" s="149">
        <f>IFERROR(C4-W1Q3FY26!C4,"OOS")</f>
        <v/>
      </c>
      <c r="N4" s="147">
        <f>IF(M4=0,"",$A4 &amp; IF(M4&gt;0," tăng "," giảm ") &amp; TEXT(ABS(M4)/1000,"0") &amp; "K = " &amp; TEXT(C4/1000,"#.##0") &amp; "K")</f>
        <v/>
      </c>
      <c r="O4" s="150">
        <f>IFERROR(D4-W1Q3FY26!D4,"OOS")</f>
        <v/>
      </c>
      <c r="P4" s="147">
        <f>IF(O4=0,"",$A4 &amp; IF(O4&gt;0," tăng "," giảm ") &amp; TEXT(ABS(O4)/1000,"0") &amp; "K = " &amp; TEXT(D4/1000,"#.##0") &amp; "K")</f>
        <v/>
      </c>
      <c r="Q4" s="150">
        <f>IFERROR(E4-W1Q3FY26!E4,"OOS")</f>
        <v/>
      </c>
      <c r="R4" s="147">
        <f>IF(Q4=0,"",$A4 &amp; IF(Q4&gt;0," tăng "," giảm ") &amp; TEXT(ABS(Q4)/1000,"0") &amp; "K = " &amp; TEXT(E4/1000,"#.##0") &amp; "K")</f>
        <v/>
      </c>
      <c r="S4" s="150">
        <f>IFERROR(F4-W1Q3FY26!F4,"OOS")</f>
        <v/>
      </c>
      <c r="T4" s="147">
        <f>IF(S4=0,"",$A4 &amp; IF(S4&gt;0," tăng "," giảm ") &amp; TEXT(ABS(S4)/1000,"0") &amp; "K = " &amp; TEXT(F4/1000,"#.##0") &amp; "K")</f>
        <v/>
      </c>
      <c r="U4" s="150">
        <f>IFERROR(G4-W1Q3FY26!G4,"OOS")</f>
        <v/>
      </c>
      <c r="V4" s="147">
        <f>IF(U4=0,"",$A4 &amp; IF(U4&gt;0," tăng "," giảm ") &amp; TEXT(ABS(U4)/1000,"0") &amp; "K = " &amp; TEXT(G4/1000,"#.##0") &amp; "K")</f>
        <v/>
      </c>
    </row>
    <row r="5" ht="15.95" customHeight="1" s="35">
      <c r="A5" t="inlineStr">
        <is>
          <t>iPhone 17 Pro 256GB</t>
        </is>
      </c>
      <c r="B5" s="83" t="n"/>
      <c r="C5" s="128" t="n">
        <v>34790000</v>
      </c>
      <c r="D5" s="130" t="n">
        <v>34690000</v>
      </c>
      <c r="E5" s="131" t="n">
        <v>33190000</v>
      </c>
      <c r="F5" s="134" t="n">
        <v>34790000</v>
      </c>
      <c r="G5" s="112" t="n">
        <v>33690000</v>
      </c>
      <c r="H5" s="154" t="n"/>
      <c r="M5" s="149">
        <f>IFERROR(C5-W1Q3FY26!C5,"OOS")</f>
        <v/>
      </c>
      <c r="N5" s="147">
        <f>IF(M5=0,"",$A5 &amp; IF(M5&gt;0," tăng "," giảm ") &amp; TEXT(ABS(M5)/1000,"0") &amp; "K = " &amp; TEXT(C5/1000,"#.##0") &amp; "K")</f>
        <v/>
      </c>
      <c r="O5" s="150">
        <f>IFERROR(D5-W1Q3FY26!D5,"OOS")</f>
        <v/>
      </c>
      <c r="P5" s="147">
        <f>IF(O5=0,"",$A5 &amp; IF(O5&gt;0," tăng "," giảm ") &amp; TEXT(ABS(O5)/1000,"0") &amp; "K = " &amp; TEXT(D5/1000,"#.##0") &amp; "K")</f>
        <v/>
      </c>
      <c r="Q5" s="150">
        <f>IFERROR(E5-W1Q3FY26!E5,"OOS")</f>
        <v/>
      </c>
      <c r="R5" s="147">
        <f>IF(Q5=0,"",$A5 &amp; IF(Q5&gt;0," tăng "," giảm ") &amp; TEXT(ABS(Q5)/1000,"0") &amp; "K = " &amp; TEXT(E5/1000,"#.##0") &amp; "K")</f>
        <v/>
      </c>
      <c r="S5" s="150">
        <f>IFERROR(F5-W1Q3FY26!F5,"OOS")</f>
        <v/>
      </c>
      <c r="T5" s="147">
        <f>IF(S5=0,"",$A5 &amp; IF(S5&gt;0," tăng "," giảm ") &amp; TEXT(ABS(S5)/1000,"0") &amp; "K = " &amp; TEXT(F5/1000,"#.##0") &amp; "K")</f>
        <v/>
      </c>
      <c r="U5" s="150">
        <f>IFERROR(G5-W1Q3FY26!G5,"OOS")</f>
        <v/>
      </c>
      <c r="V5" s="147">
        <f>IF(U5=0,"",$A5 &amp; IF(U5&gt;0," tăng "," giảm ") &amp; TEXT(ABS(U5)/1000,"0") &amp; "K = " &amp; TEXT(G5/1000,"#.##0") &amp; "K")</f>
        <v/>
      </c>
    </row>
    <row r="6" ht="15.95" customHeight="1" s="35">
      <c r="A6" t="inlineStr">
        <is>
          <t>iPhone 17 Pro Max 256GB</t>
        </is>
      </c>
      <c r="B6" s="83" t="n"/>
      <c r="C6" s="130" t="n">
        <v>37890000</v>
      </c>
      <c r="D6" s="128" t="n">
        <v>37790000</v>
      </c>
      <c r="E6" s="135" t="n">
        <v>36290000</v>
      </c>
      <c r="F6" s="134" t="n">
        <v>37890000</v>
      </c>
      <c r="G6" s="112" t="n">
        <v>36790000</v>
      </c>
      <c r="H6" s="154" t="n"/>
      <c r="M6" s="149">
        <f>IFERROR(C6-W1Q3FY26!C6,"OOS")</f>
        <v/>
      </c>
      <c r="N6" s="147">
        <f>IF(M6=0,"",$A6 &amp; IF(M6&gt;0," tăng "," giảm ") &amp; TEXT(ABS(M6)/1000,"0") &amp; "K = " &amp; TEXT(C6/1000,"#.##0") &amp; "K")</f>
        <v/>
      </c>
      <c r="O6" s="150">
        <f>IFERROR(D6-W1Q3FY26!D6,"OOS")</f>
        <v/>
      </c>
      <c r="P6" s="147">
        <f>IF(O6=0,"",$A6 &amp; IF(O6&gt;0," tăng "," giảm ") &amp; TEXT(ABS(O6)/1000,"0") &amp; "K = " &amp; TEXT(D6/1000,"#.##0") &amp; "K")</f>
        <v/>
      </c>
      <c r="Q6" s="150">
        <f>IFERROR(E6-W1Q3FY26!E6,"OOS")</f>
        <v/>
      </c>
      <c r="R6" s="147">
        <f>IF(Q6=0,"",$A6 &amp; IF(Q6&gt;0," tăng "," giảm ") &amp; TEXT(ABS(Q6)/1000,"0") &amp; "K = " &amp; TEXT(E6/1000,"#.##0") &amp; "K")</f>
        <v/>
      </c>
      <c r="S6" s="150">
        <f>IFERROR(F6-W1Q3FY26!F6,"OOS")</f>
        <v/>
      </c>
      <c r="T6" s="147">
        <f>IF(S6=0,"",$A6 &amp; IF(S6&gt;0," tăng "," giảm ") &amp; TEXT(ABS(S6)/1000,"0") &amp; "K = " &amp; TEXT(F6/1000,"#.##0") &amp; "K")</f>
        <v/>
      </c>
      <c r="U6" s="150">
        <f>IFERROR(G6-W1Q3FY26!G6,"OOS")</f>
        <v/>
      </c>
      <c r="V6" s="147">
        <f>IF(U6=0,"",$A6 &amp; IF(U6&gt;0," tăng "," giảm ") &amp; TEXT(ABS(U6)/1000,"0") &amp; "K = " &amp; TEXT(G6/1000,"#.##0") &amp; "K")</f>
        <v/>
      </c>
    </row>
    <row r="7" ht="15.95" customHeight="1" s="35">
      <c r="A7" t="inlineStr">
        <is>
          <t>iPhone 16e  128GB</t>
        </is>
      </c>
      <c r="B7" s="83" t="n"/>
      <c r="C7" s="130" t="n">
        <v>15990000</v>
      </c>
      <c r="D7" s="136" t="n">
        <v>16690000</v>
      </c>
      <c r="E7" s="135" t="n">
        <v>11990000</v>
      </c>
      <c r="F7" s="159" t="n">
        <v>11990000</v>
      </c>
      <c r="G7" s="111" t="n">
        <v>15190000</v>
      </c>
      <c r="H7" s="154" t="n"/>
      <c r="M7" s="149">
        <f>IFERROR(C7-W1Q3FY26!C7,"OOS")</f>
        <v/>
      </c>
      <c r="N7" s="147">
        <f>IF(M7=0,"",$A7 &amp; IF(M7&gt;0," tăng "," giảm ") &amp; TEXT(ABS(M7)/1000,"0") &amp; "K = " &amp; TEXT(C7/1000,"#.##0") &amp; "K")</f>
        <v/>
      </c>
      <c r="O7" s="150">
        <f>IFERROR(D7-W1Q3FY26!D7,"OOS")</f>
        <v/>
      </c>
      <c r="P7" s="147">
        <f>IF(O7=0,"",$A7 &amp; IF(O7&gt;0," tăng "," giảm ") &amp; TEXT(ABS(O7)/1000,"0") &amp; "K = " &amp; TEXT(D7/1000,"#.##0") &amp; "K")</f>
        <v/>
      </c>
      <c r="Q7" s="150">
        <f>IFERROR(E7-W1Q3FY26!E7,"OOS")</f>
        <v/>
      </c>
      <c r="R7" s="147">
        <f>IF(Q7=0,"",$A7 &amp; IF(Q7&gt;0," tăng "," giảm ") &amp; TEXT(ABS(Q7)/1000,"0") &amp; "K = " &amp; TEXT(E7/1000,"#.##0") &amp; "K")</f>
        <v/>
      </c>
      <c r="S7" s="150">
        <f>IFERROR(F7-W1Q3FY26!F7,"OOS")</f>
        <v/>
      </c>
      <c r="T7" s="147">
        <f>IF(S7=0,"",$A7 &amp; IF(S7&gt;0," tăng "," giảm ") &amp; TEXT(ABS(S7)/1000,"0") &amp; "K = " &amp; TEXT(F7/1000,"#.##0") &amp; "K")</f>
        <v/>
      </c>
      <c r="U7" s="150">
        <f>IFERROR(G7-W1Q3FY26!G7,"OOS")</f>
        <v/>
      </c>
      <c r="V7" s="147">
        <f>IF(U7=0,"",$A7 &amp; IF(U7&gt;0," tăng "," giảm ") &amp; TEXT(ABS(U7)/1000,"0") &amp; "K = " &amp; TEXT(G7/1000,"#.##0") &amp; "K")</f>
        <v/>
      </c>
    </row>
    <row r="8" ht="15.95" customHeight="1" s="35">
      <c r="A8" t="inlineStr">
        <is>
          <t>iPhone 16 128GB</t>
        </is>
      </c>
      <c r="B8" s="71" t="n"/>
      <c r="C8" s="138" t="n">
        <v>20590000</v>
      </c>
      <c r="D8" s="138" t="n">
        <v>20590000</v>
      </c>
      <c r="E8" s="140" t="n">
        <v>20490000</v>
      </c>
      <c r="F8" s="134" t="n">
        <v>20490000</v>
      </c>
      <c r="G8" s="111" t="n">
        <v>20790000</v>
      </c>
      <c r="H8" s="154" t="n"/>
      <c r="M8" s="149">
        <f>IFERROR(C8-W1Q3FY26!C8,"OOS")</f>
        <v/>
      </c>
      <c r="N8" s="147">
        <f>IF(M8=0,"",$A8 &amp; IF(M8&gt;0," tăng "," giảm ") &amp; TEXT(ABS(M8)/1000,"0") &amp; "K = " &amp; TEXT(C8/1000,"#.##0") &amp; "K")</f>
        <v/>
      </c>
      <c r="O8" s="150">
        <f>IFERROR(D8-W1Q3FY26!D8,"OOS")</f>
        <v/>
      </c>
      <c r="P8" s="147">
        <f>IF(O8=0,"",$A8 &amp; IF(O8&gt;0," tăng "," giảm ") &amp; TEXT(ABS(O8)/1000,"0") &amp; "K = " &amp; TEXT(D8/1000,"#.##0") &amp; "K")</f>
        <v/>
      </c>
      <c r="Q8" s="150">
        <f>IFERROR(E8-W1Q3FY26!E8,"OOS")</f>
        <v/>
      </c>
      <c r="R8" s="147">
        <f>IF(Q8=0,"",$A8 &amp; IF(Q8&gt;0," tăng "," giảm ") &amp; TEXT(ABS(Q8)/1000,"0") &amp; "K = " &amp; TEXT(E8/1000,"#.##0") &amp; "K")</f>
        <v/>
      </c>
      <c r="S8" s="150">
        <f>IFERROR(F8-W1Q3FY26!F8,"OOS")</f>
        <v/>
      </c>
      <c r="T8" s="147">
        <f>IF(S8=0,"",$A8 &amp; IF(S8&gt;0," tăng "," giảm ") &amp; TEXT(ABS(S8)/1000,"0") &amp; "K = " &amp; TEXT(F8/1000,"#.##0") &amp; "K")</f>
        <v/>
      </c>
      <c r="U8" s="150">
        <f>IFERROR(G8-W1Q3FY26!G8,"OOS")</f>
        <v/>
      </c>
      <c r="V8" s="147">
        <f>IF(U8=0,"",$A8 &amp; IF(U8&gt;0," tăng "," giảm ") &amp; TEXT(ABS(U8)/1000,"0") &amp; "K = " &amp; TEXT(G8/1000,"#.##0") &amp; "K")</f>
        <v/>
      </c>
    </row>
    <row r="9" ht="15.95" customHeight="1" s="35">
      <c r="A9" t="inlineStr">
        <is>
          <t>iPhone 16  Plus 128GB</t>
        </is>
      </c>
      <c r="B9" s="3" t="n"/>
      <c r="C9" s="141" t="n">
        <v>24290000</v>
      </c>
      <c r="D9" s="141" t="n">
        <v>24590000</v>
      </c>
      <c r="E9" s="140" t="n">
        <v>23990000</v>
      </c>
      <c r="F9" s="134" t="n">
        <v>24490000</v>
      </c>
      <c r="G9" s="111" t="n">
        <v>23990000</v>
      </c>
      <c r="H9" s="154" t="n"/>
      <c r="M9" s="149">
        <f>IFERROR(C9-W1Q3FY26!C9,"OOS")</f>
        <v/>
      </c>
      <c r="N9" s="147">
        <f>IF(M9=0,"",$A9 &amp; IF(M9&gt;0," tăng "," giảm ") &amp; TEXT(ABS(M9)/1000,"0") &amp; "K = " &amp; TEXT(C9/1000,"#.##0") &amp; "K")</f>
        <v/>
      </c>
      <c r="O9" s="150">
        <f>IFERROR(D9-W1Q3FY26!D9,"OOS")</f>
        <v/>
      </c>
      <c r="P9" s="147">
        <f>IF(O9=0,"",$A9 &amp; IF(O9&gt;0," tăng "," giảm ") &amp; TEXT(ABS(O9)/1000,"0") &amp; "K = " &amp; TEXT(D9/1000,"#.##0") &amp; "K")</f>
        <v/>
      </c>
      <c r="Q9" s="150">
        <f>IFERROR(E9-W1Q3FY26!E9,"OOS")</f>
        <v/>
      </c>
      <c r="R9" s="147">
        <f>IF(Q9=0,"",$A9 &amp; IF(Q9&gt;0," tăng "," giảm ") &amp; TEXT(ABS(Q9)/1000,"0") &amp; "K = " &amp; TEXT(E9/1000,"#.##0") &amp; "K")</f>
        <v/>
      </c>
      <c r="S9" s="150">
        <f>IFERROR(F9-W1Q3FY26!F9,"OOS")</f>
        <v/>
      </c>
      <c r="T9" s="147">
        <f>IF(S9=0,"",$A9 &amp; IF(S9&gt;0," tăng "," giảm ") &amp; TEXT(ABS(S9)/1000,"0") &amp; "K = " &amp; TEXT(F9/1000,"#.##0") &amp; "K")</f>
        <v/>
      </c>
      <c r="U9" s="150">
        <f>IFERROR(G9-W1Q3FY26!G9,"OOS")</f>
        <v/>
      </c>
      <c r="V9" s="147">
        <f>IF(U9=0,"",$A9 &amp; IF(U9&gt;0," tăng "," giảm ") &amp; TEXT(ABS(U9)/1000,"0") &amp; "K = " &amp; TEXT(G9/1000,"#.##0") &amp; "K")</f>
        <v/>
      </c>
    </row>
    <row r="10" ht="15.95" customHeight="1" s="35">
      <c r="A10" t="inlineStr">
        <is>
          <t>iPhone 16 Pro 128GB</t>
        </is>
      </c>
      <c r="B10" s="25" t="n"/>
      <c r="C10" s="136" t="inlineStr">
        <is>
          <t>OOS</t>
        </is>
      </c>
      <c r="D10" s="111" t="n">
        <v>25590000</v>
      </c>
      <c r="E10" s="113" t="inlineStr">
        <is>
          <t>OOS</t>
        </is>
      </c>
      <c r="F10" s="134" t="n">
        <v>24990000</v>
      </c>
      <c r="G10" s="111" t="inlineStr">
        <is>
          <t>OOS</t>
        </is>
      </c>
      <c r="H10" s="154" t="n"/>
      <c r="M10" s="149">
        <f>IFERROR(C10-W1Q3FY26!C10,"OOS")</f>
        <v/>
      </c>
      <c r="N10" s="147">
        <f>IF(M10=0,"",$A10 &amp; IF(M10&gt;0," tăng "," giảm ") &amp; TEXT(ABS(M10)/1000,"0") &amp; "K = " &amp; TEXT(C10/1000,"#.##0") &amp; "K")</f>
        <v/>
      </c>
      <c r="O10" s="150">
        <f>IFERROR(D10-W1Q3FY26!D10,"OOS")</f>
        <v/>
      </c>
      <c r="P10" s="147">
        <f>IF(O10=0,"",$A10 &amp; IF(O10&gt;0," tăng "," giảm ") &amp; TEXT(ABS(O10)/1000,"0") &amp; "K = " &amp; TEXT(D10/1000,"#.##0") &amp; "K")</f>
        <v/>
      </c>
      <c r="Q10" s="150">
        <f>IFERROR(E10-W1Q3FY26!E10,"OOS")</f>
        <v/>
      </c>
      <c r="R10" s="147">
        <f>IF(Q10=0,"",$A10 &amp; IF(Q10&gt;0," tăng "," giảm ") &amp; TEXT(ABS(Q10)/1000,"0") &amp; "K = " &amp; TEXT(E10/1000,"#.##0") &amp; "K")</f>
        <v/>
      </c>
      <c r="S10" s="150">
        <f>IFERROR(F10-W1Q3FY26!F10,"OOS")</f>
        <v/>
      </c>
      <c r="T10" s="147">
        <f>IF(S10=0,"",$A10 &amp; IF(S10&gt;0," tăng "," giảm ") &amp; TEXT(ABS(S10)/1000,"0") &amp; "K = " &amp; TEXT(F10/1000,"#.##0") &amp; "K")</f>
        <v/>
      </c>
      <c r="U10" s="150">
        <f>IFERROR(G10-W1Q3FY26!G10,"OOS")</f>
        <v/>
      </c>
      <c r="V10" s="147">
        <f>IF(U10=0,"",$A10 &amp; IF(U10&gt;0," tăng "," giảm ") &amp; TEXT(ABS(U10)/1000,"0") &amp; "K = " &amp; TEXT(G10/1000,"#.##0") &amp; "K")</f>
        <v/>
      </c>
    </row>
    <row r="11" ht="15.95" customHeight="1" s="35">
      <c r="A11" t="inlineStr">
        <is>
          <t>iPhone 16 Pro Max 256GB</t>
        </is>
      </c>
      <c r="B11" s="3" t="n"/>
      <c r="C11" s="141" t="n">
        <v>31590000</v>
      </c>
      <c r="D11" s="113" t="inlineStr">
        <is>
          <t>OOS</t>
        </is>
      </c>
      <c r="E11" s="113" t="inlineStr">
        <is>
          <t>OOS</t>
        </is>
      </c>
      <c r="F11" s="133" t="n">
        <v>31590000</v>
      </c>
      <c r="G11" s="111" t="inlineStr">
        <is>
          <t>OOS</t>
        </is>
      </c>
      <c r="H11" s="154" t="n"/>
      <c r="M11" s="149">
        <f>IFERROR(C11-W1Q3FY26!C11,"OOS")</f>
        <v/>
      </c>
      <c r="N11" s="147">
        <f>IF(M11=0,"",$A11 &amp; IF(M11&gt;0," tăng "," giảm ") &amp; TEXT(ABS(M11)/1000,"0") &amp; "K = " &amp; TEXT(C11/1000,"#.##0") &amp; "K")</f>
        <v/>
      </c>
      <c r="O11" s="150">
        <f>IFERROR(D11-W1Q3FY26!D11,"OOS")</f>
        <v/>
      </c>
      <c r="P11" s="147">
        <f>IF(O11=0,"",$A11 &amp; IF(O11&gt;0," tăng "," giảm ") &amp; TEXT(ABS(O11)/1000,"0") &amp; "K = " &amp; TEXT(D11/1000,"#.##0") &amp; "K")</f>
        <v/>
      </c>
      <c r="Q11" s="150">
        <f>IFERROR(E11-W1Q3FY26!E11,"OOS")</f>
        <v/>
      </c>
      <c r="R11" s="147">
        <f>IF(Q11=0,"",$A11 &amp; IF(Q11&gt;0," tăng "," giảm ") &amp; TEXT(ABS(Q11)/1000,"0") &amp; "K = " &amp; TEXT(E11/1000,"#.##0") &amp; "K")</f>
        <v/>
      </c>
      <c r="S11" s="150">
        <f>IFERROR(F11-W1Q3FY26!F11,"OOS")</f>
        <v/>
      </c>
      <c r="T11" s="147">
        <f>IF(S11=0,"",$A11 &amp; IF(S11&gt;0," tăng "," giảm ") &amp; TEXT(ABS(S11)/1000,"0") &amp; "K = " &amp; TEXT(F11/1000,"#.##0") &amp; "K")</f>
        <v/>
      </c>
      <c r="U11" s="150">
        <f>IFERROR(G11-W1Q3FY26!G11,"OOS")</f>
        <v/>
      </c>
      <c r="V11" s="147">
        <f>IF(U11=0,"",$A11 &amp; IF(U11&gt;0," tăng "," giảm ") &amp; TEXT(ABS(U11)/1000,"0") &amp; "K = " &amp; TEXT(G11/1000,"#.##0") &amp; "K")</f>
        <v/>
      </c>
    </row>
    <row r="12" ht="15.95" customHeight="1" s="35">
      <c r="A12" t="inlineStr">
        <is>
          <t>iPhone 15  128GB</t>
        </is>
      </c>
      <c r="B12" s="25" t="n"/>
      <c r="C12" s="141" t="n">
        <v>17890000</v>
      </c>
      <c r="D12" s="141" t="n">
        <v>17890000</v>
      </c>
      <c r="E12" s="155" t="n">
        <v>17690000</v>
      </c>
      <c r="F12" s="134" t="n">
        <v>17590000</v>
      </c>
      <c r="G12" s="111" t="n">
        <v>17690000</v>
      </c>
      <c r="H12" s="154" t="n"/>
      <c r="M12" s="149">
        <f>IFERROR(C12-W1Q3FY26!C12,"OOS")</f>
        <v/>
      </c>
      <c r="N12" s="147">
        <f>IF(M12=0,"",$A12 &amp; IF(M12&gt;0," tăng "," giảm ") &amp; TEXT(ABS(M12)/1000,"0") &amp; "K = " &amp; TEXT(C12/1000,"#.##0") &amp; "K")</f>
        <v/>
      </c>
      <c r="O12" s="150">
        <f>IFERROR(D12-W1Q3FY26!D12,"OOS")</f>
        <v/>
      </c>
      <c r="P12" s="147">
        <f>IF(O12=0,"",$A12 &amp; IF(O12&gt;0," tăng "," giảm ") &amp; TEXT(ABS(O12)/1000,"0") &amp; "K = " &amp; TEXT(D12/1000,"#.##0") &amp; "K")</f>
        <v/>
      </c>
      <c r="Q12" s="150">
        <f>IFERROR(E12-W1Q3FY26!E12,"OOS")</f>
        <v/>
      </c>
      <c r="R12" s="147">
        <f>IF(Q12=0,"",$A12 &amp; IF(Q12&gt;0," tăng "," giảm ") &amp; TEXT(ABS(Q12)/1000,"0") &amp; "K = " &amp; TEXT(E12/1000,"#.##0") &amp; "K")</f>
        <v/>
      </c>
      <c r="S12" s="150">
        <f>IFERROR(F12-W1Q3FY26!F12,"OOS")</f>
        <v/>
      </c>
      <c r="T12" s="147">
        <f>IF(S12=0,"",$A12 &amp; IF(S12&gt;0," tăng "," giảm ") &amp; TEXT(ABS(S12)/1000,"0") &amp; "K = " &amp; TEXT(F12/1000,"#.##0") &amp; "K")</f>
        <v/>
      </c>
      <c r="U12" s="150">
        <f>IFERROR(G12-W1Q3FY26!G12,"OOS")</f>
        <v/>
      </c>
      <c r="V12" s="147">
        <f>IF(U12=0,"",$A12 &amp; IF(U12&gt;0," tăng "," giảm ") &amp; TEXT(ABS(U12)/1000,"0") &amp; "K = " &amp; TEXT(G12/1000,"#.##0") &amp; "K")</f>
        <v/>
      </c>
    </row>
    <row r="13" ht="15.95" customHeight="1" s="35">
      <c r="A13" t="inlineStr">
        <is>
          <t>iPhone 15  Plus 128GB</t>
        </is>
      </c>
      <c r="B13" s="25" t="n"/>
      <c r="C13" s="141" t="n">
        <v>17990000</v>
      </c>
      <c r="D13" s="136" t="inlineStr">
        <is>
          <t>OOS</t>
        </is>
      </c>
      <c r="E13" s="131" t="inlineStr">
        <is>
          <t>OOS</t>
        </is>
      </c>
      <c r="F13" s="133" t="n">
        <v>17690000</v>
      </c>
      <c r="G13" s="111" t="inlineStr">
        <is>
          <t>OOS</t>
        </is>
      </c>
      <c r="H13" s="154" t="n"/>
      <c r="M13" s="149">
        <f>IFERROR(C13-W1Q3FY26!C13,"OOS")</f>
        <v/>
      </c>
      <c r="N13" s="147">
        <f>IF(M13=0,"",$A13 &amp; IF(M13&gt;0," tăng "," giảm ") &amp; TEXT(ABS(M13)/1000,"0") &amp; "K = " &amp; TEXT(C13/1000,"#.##0") &amp; "K")</f>
        <v/>
      </c>
      <c r="O13" s="150">
        <f>IFERROR(D13-W1Q3FY26!D13,"OOS")</f>
        <v/>
      </c>
      <c r="P13" s="147">
        <f>IF(O13=0,"",$A13 &amp; IF(O13&gt;0," tăng "," giảm ") &amp; TEXT(ABS(O13)/1000,"0") &amp; "K = " &amp; TEXT(D13/1000,"#.##0") &amp; "K")</f>
        <v/>
      </c>
      <c r="Q13" s="150">
        <f>IFERROR(E13-W1Q3FY26!E13,"OOS")</f>
        <v/>
      </c>
      <c r="R13" s="147">
        <f>IF(Q13=0,"",$A13 &amp; IF(Q13&gt;0," tăng "," giảm ") &amp; TEXT(ABS(Q13)/1000,"0") &amp; "K = " &amp; TEXT(E13/1000,"#.##0") &amp; "K")</f>
        <v/>
      </c>
      <c r="S13" s="150">
        <f>IFERROR(F13-W1Q3FY26!F13,"OOS")</f>
        <v/>
      </c>
      <c r="T13" s="147">
        <f>IF(S13=0,"",$A13 &amp; IF(S13&gt;0," tăng "," giảm ") &amp; TEXT(ABS(S13)/1000,"0") &amp; "K = " &amp; TEXT(F13/1000,"#.##0") &amp; "K")</f>
        <v/>
      </c>
      <c r="U13" s="150">
        <f>IFERROR(G13-W1Q3FY26!G13,"OOS")</f>
        <v/>
      </c>
      <c r="V13" s="147">
        <f>IF(U13=0,"",$A13 &amp; IF(U13&gt;0," tăng "," giảm ") &amp; TEXT(ABS(U13)/1000,"0") &amp; "K = " &amp; TEXT(G13/1000,"#.##0") &amp; "K")</f>
        <v/>
      </c>
    </row>
    <row r="14" ht="15.95" customHeight="1" s="35">
      <c r="A14" t="inlineStr">
        <is>
          <t>iPhone 14 128GB</t>
        </is>
      </c>
      <c r="B14" s="25" t="n"/>
      <c r="C14" s="136" t="n">
        <v>13990000</v>
      </c>
      <c r="D14" s="136" t="n">
        <v>13990000</v>
      </c>
      <c r="E14" s="131" t="n">
        <v>13790000</v>
      </c>
      <c r="F14" s="133" t="n">
        <v>13990000</v>
      </c>
      <c r="G14" s="111" t="n">
        <v>12990000</v>
      </c>
      <c r="H14" s="154" t="n"/>
      <c r="M14" s="149">
        <f>IFERROR(C14-W1Q3FY26!C14,"OOS")</f>
        <v/>
      </c>
      <c r="N14" s="147">
        <f>IF(M14=0,"",$A14 &amp; IF(M14&gt;0," tăng "," giảm ") &amp; TEXT(ABS(M14)/1000,"0") &amp; "K = " &amp; TEXT(C14/1000,"#.##0") &amp; "K")</f>
        <v/>
      </c>
      <c r="O14" s="150">
        <f>IFERROR(D14-W1Q3FY26!D14,"OOS")</f>
        <v/>
      </c>
      <c r="P14" s="147">
        <f>IF(O14=0,"",$A14 &amp; IF(O14&gt;0," tăng "," giảm ") &amp; TEXT(ABS(O14)/1000,"0") &amp; "K = " &amp; TEXT(D14/1000,"#.##0") &amp; "K")</f>
        <v/>
      </c>
      <c r="Q14" s="150">
        <f>IFERROR(E14-W1Q3FY26!E14,"OOS")</f>
        <v/>
      </c>
      <c r="R14" s="147">
        <f>IF(Q14=0,"",$A14 &amp; IF(Q14&gt;0," tăng "," giảm ") &amp; TEXT(ABS(Q14)/1000,"0") &amp; "K = " &amp; TEXT(E14/1000,"#.##0") &amp; "K")</f>
        <v/>
      </c>
      <c r="S14" s="150">
        <f>IFERROR(F14-W1Q3FY26!F14,"OOS")</f>
        <v/>
      </c>
      <c r="T14" s="147">
        <f>IF(S14=0,"",$A14 &amp; IF(S14&gt;0," tăng "," giảm ") &amp; TEXT(ABS(S14)/1000,"0") &amp; "K = " &amp; TEXT(F14/1000,"#.##0") &amp; "K")</f>
        <v/>
      </c>
      <c r="U14" s="150">
        <f>IFERROR(G14-W1Q3FY26!G14,"OOS")</f>
        <v/>
      </c>
      <c r="V14" s="147">
        <f>IF(U14=0,"",$A14 &amp; IF(U14&gt;0," tăng "," giảm ") &amp; TEXT(ABS(U14)/1000,"0") &amp; "K = " &amp; TEXT(G14/1000,"#.##0") &amp; "K")</f>
        <v/>
      </c>
    </row>
    <row r="15" ht="15.95" customHeight="1" s="35">
      <c r="A15" t="inlineStr">
        <is>
          <t>iPhone 13  128GB</t>
        </is>
      </c>
      <c r="B15" s="3" t="n"/>
      <c r="C15" s="136" t="n">
        <v>11990000</v>
      </c>
      <c r="D15" s="136" t="n">
        <v>11990000</v>
      </c>
      <c r="E15" s="140" t="n">
        <v>12090000</v>
      </c>
      <c r="F15" s="133" t="n">
        <v>11990000</v>
      </c>
      <c r="G15" s="111" t="n">
        <v>11890000</v>
      </c>
      <c r="H15" s="154" t="n"/>
      <c r="M15" s="149">
        <f>IFERROR(C15-W1Q3FY26!C15,"OOS")</f>
        <v/>
      </c>
      <c r="N15" s="147">
        <f>IF(M15=0,"",$A15 &amp; IF(M15&gt;0," tăng "," giảm ") &amp; TEXT(ABS(M15)/1000,"0") &amp; "K = " &amp; TEXT(C15/1000,"#.##0") &amp; "K")</f>
        <v/>
      </c>
      <c r="O15" s="150">
        <f>IFERROR(D15-W1Q3FY26!D15,"OOS")</f>
        <v/>
      </c>
      <c r="P15" s="147">
        <f>IF(O15=0,"",$A15 &amp; IF(O15&gt;0," tăng "," giảm ") &amp; TEXT(ABS(O15)/1000,"0") &amp; "K = " &amp; TEXT(D15/1000,"#.##0") &amp; "K")</f>
        <v/>
      </c>
      <c r="Q15" s="150">
        <f>IFERROR(E15-W1Q3FY26!E15,"OOS")</f>
        <v/>
      </c>
      <c r="R15" s="147">
        <f>IF(Q15=0,"",$A15 &amp; IF(Q15&gt;0," tăng "," giảm ") &amp; TEXT(ABS(Q15)/1000,"0") &amp; "K = " &amp; TEXT(E15/1000,"#.##0") &amp; "K")</f>
        <v/>
      </c>
      <c r="S15" s="150">
        <f>IFERROR(F15-W1Q3FY26!F15,"OOS")</f>
        <v/>
      </c>
      <c r="T15" s="147">
        <f>IF(S15=0,"",$A15 &amp; IF(S15&gt;0," tăng "," giảm ") &amp; TEXT(ABS(S15)/1000,"0") &amp; "K = " &amp; TEXT(F15/1000,"#.##0") &amp; "K")</f>
        <v/>
      </c>
      <c r="U15" s="150">
        <f>IFERROR(G15-W1Q3FY26!G15,"OOS")</f>
        <v/>
      </c>
      <c r="V15" s="147">
        <f>IF(U15=0,"",$A15 &amp; IF(U15&gt;0," tăng "," giảm ") &amp; TEXT(ABS(U15)/1000,"0") &amp; "K = " &amp; TEXT(G15/1000,"#.##0") &amp; "K")</f>
        <v/>
      </c>
    </row>
    <row r="16" ht="15.95" customHeight="1" s="35">
      <c r="A16" t="inlineStr">
        <is>
          <t>iPad Mini 7 128GB Wifi</t>
        </is>
      </c>
      <c r="B16" s="25" t="n"/>
      <c r="C16" s="141" t="n">
        <v>13190000</v>
      </c>
      <c r="D16" s="141" t="n">
        <v>13190000</v>
      </c>
      <c r="E16" s="140" t="n">
        <v>13290000</v>
      </c>
      <c r="F16" s="134" t="n">
        <v>13190000</v>
      </c>
      <c r="G16" s="111" t="n">
        <v>13390000</v>
      </c>
      <c r="H16" s="154" t="n"/>
      <c r="M16" s="149">
        <f>IFERROR(C16-W1Q3FY26!C16,"OOS")</f>
        <v/>
      </c>
      <c r="N16" s="147">
        <f>IF(M16=0,"",$A16 &amp; IF(M16&gt;0," tăng "," giảm ") &amp; TEXT(ABS(M16)/1000,"0") &amp; "K = " &amp; TEXT(C16/1000,"#.##0") &amp; "K")</f>
        <v/>
      </c>
      <c r="O16" s="150">
        <f>IFERROR(D16-W1Q3FY26!D16,"OOS")</f>
        <v/>
      </c>
      <c r="P16" s="147">
        <f>IF(O16=0,"",$A16 &amp; IF(O16&gt;0," tăng "," giảm ") &amp; TEXT(ABS(O16)/1000,"0") &amp; "K = " &amp; TEXT(D16/1000,"#.##0") &amp; "K")</f>
        <v/>
      </c>
      <c r="Q16" s="150">
        <f>IFERROR(E16-W1Q3FY26!E16,"OOS")</f>
        <v/>
      </c>
      <c r="R16" s="147">
        <f>IF(Q16=0,"",$A16 &amp; IF(Q16&gt;0," tăng "," giảm ") &amp; TEXT(ABS(Q16)/1000,"0") &amp; "K = " &amp; TEXT(E16/1000,"#.##0") &amp; "K")</f>
        <v/>
      </c>
      <c r="S16" s="150">
        <f>IFERROR(F16-W1Q3FY26!F16,"OOS")</f>
        <v/>
      </c>
      <c r="T16" s="147">
        <f>IF(S16=0,"",$A16 &amp; IF(S16&gt;0," tăng "," giảm ") &amp; TEXT(ABS(S16)/1000,"0") &amp; "K = " &amp; TEXT(F16/1000,"#.##0") &amp; "K")</f>
        <v/>
      </c>
      <c r="U16" s="150">
        <f>IFERROR(G16-W1Q3FY26!G16,"OOS")</f>
        <v/>
      </c>
      <c r="V16" s="147">
        <f>IF(U16=0,"",$A16 &amp; IF(U16&gt;0," tăng "," giảm ") &amp; TEXT(ABS(U16)/1000,"0") &amp; "K = " &amp; TEXT(G16/1000,"#.##0") &amp; "K")</f>
        <v/>
      </c>
    </row>
    <row r="17" ht="15.95" customHeight="1" s="35">
      <c r="A17" t="inlineStr">
        <is>
          <t>iPad Gen 11th  128GB Wifi</t>
        </is>
      </c>
      <c r="B17" s="3" t="n"/>
      <c r="C17" s="136" t="n">
        <v>9490000</v>
      </c>
      <c r="D17" s="136" t="n">
        <v>9490000</v>
      </c>
      <c r="E17" s="155" t="n">
        <v>9190000</v>
      </c>
      <c r="F17" s="133" t="n">
        <v>9490000</v>
      </c>
      <c r="G17" s="111" t="n">
        <v>9390000</v>
      </c>
      <c r="H17" s="154" t="n"/>
      <c r="M17" s="149">
        <f>IFERROR(C17-W1Q3FY26!C17,"OOS")</f>
        <v/>
      </c>
      <c r="N17" s="147">
        <f>IF(M17=0,"",$A17 &amp; IF(M17&gt;0," tăng "," giảm ") &amp; TEXT(ABS(M17)/1000,"0") &amp; "K = " &amp; TEXT(C17/1000,"#.##0") &amp; "K")</f>
        <v/>
      </c>
      <c r="O17" s="150">
        <f>IFERROR(D17-W1Q3FY26!D17,"OOS")</f>
        <v/>
      </c>
      <c r="P17" s="147">
        <f>IF(O17=0,"",$A17 &amp; IF(O17&gt;0," tăng "," giảm ") &amp; TEXT(ABS(O17)/1000,"0") &amp; "K = " &amp; TEXT(D17/1000,"#.##0") &amp; "K")</f>
        <v/>
      </c>
      <c r="Q17" s="150">
        <f>IFERROR(E17-W1Q3FY26!E17,"OOS")</f>
        <v/>
      </c>
      <c r="R17" s="147">
        <f>IF(Q17=0,"",$A17 &amp; IF(Q17&gt;0," tăng "," giảm ") &amp; TEXT(ABS(Q17)/1000,"0") &amp; "K = " &amp; TEXT(E17/1000,"#.##0") &amp; "K")</f>
        <v/>
      </c>
      <c r="S17" s="150">
        <f>IFERROR(F17-W1Q3FY26!F17,"OOS")</f>
        <v/>
      </c>
      <c r="T17" s="147">
        <f>IF(S17=0,"",$A17 &amp; IF(S17&gt;0," tăng "," giảm ") &amp; TEXT(ABS(S17)/1000,"0") &amp; "K = " &amp; TEXT(F17/1000,"#.##0") &amp; "K")</f>
        <v/>
      </c>
      <c r="U17" s="150">
        <f>IFERROR(G17-W1Q3FY26!G17,"OOS")</f>
        <v/>
      </c>
      <c r="V17" s="147">
        <f>IF(U17=0,"",$A17 &amp; IF(U17&gt;0," tăng "," giảm ") &amp; TEXT(ABS(U17)/1000,"0") &amp; "K = " &amp; TEXT(G17/1000,"#.##0") &amp; "K")</f>
        <v/>
      </c>
      <c r="W17" t="inlineStr">
        <is>
          <t xml:space="preserve">MW </t>
        </is>
      </c>
      <c r="X17" t="inlineStr">
        <is>
          <t>Hải</t>
        </is>
      </c>
      <c r="Y17" t="b">
        <v>1</v>
      </c>
    </row>
    <row r="18" ht="15.95" customHeight="1" s="35">
      <c r="A18" t="inlineStr">
        <is>
          <t>iPad Air M3  11" 128 GB Wifi</t>
        </is>
      </c>
      <c r="B18" s="3" t="n"/>
      <c r="C18" s="141" t="n">
        <v>15490000</v>
      </c>
      <c r="D18" s="136" t="n">
        <v>15490000</v>
      </c>
      <c r="E18" s="155" t="n">
        <v>14290000</v>
      </c>
      <c r="F18" s="134" t="n">
        <v>15490000</v>
      </c>
      <c r="G18" s="111" t="n">
        <v>14990000</v>
      </c>
      <c r="H18" s="154" t="n"/>
      <c r="M18" s="149">
        <f>IFERROR(C18-W1Q3FY26!C18,"OOS")</f>
        <v/>
      </c>
      <c r="N18" s="147">
        <f>IF(M18=0,"",$A18 &amp; IF(M18&gt;0," tăng "," giảm ") &amp; TEXT(ABS(M18)/1000,"0") &amp; "K = " &amp; TEXT(C18/1000,"#.##0") &amp; "K")</f>
        <v/>
      </c>
      <c r="O18" s="150">
        <f>IFERROR(D18-W1Q3FY26!D18,"OOS")</f>
        <v/>
      </c>
      <c r="P18" s="147">
        <f>IF(O18=0,"",$A18 &amp; IF(O18&gt;0," tăng "," giảm ") &amp; TEXT(ABS(O18)/1000,"0") &amp; "K = " &amp; TEXT(D18/1000,"#.##0") &amp; "K")</f>
        <v/>
      </c>
      <c r="Q18" s="150">
        <f>IFERROR(E18-W1Q3FY26!E18,"OOS")</f>
        <v/>
      </c>
      <c r="R18" s="147">
        <f>IF(Q18=0,"",$A18 &amp; IF(Q18&gt;0," tăng "," giảm ") &amp; TEXT(ABS(Q18)/1000,"0") &amp; "K = " &amp; TEXT(E18/1000,"#.##0") &amp; "K")</f>
        <v/>
      </c>
      <c r="S18" s="150">
        <f>IFERROR(F18-W1Q3FY26!F18,"OOS")</f>
        <v/>
      </c>
      <c r="T18" s="147">
        <f>IF(S18=0,"",$A18 &amp; IF(S18&gt;0," tăng "," giảm ") &amp; TEXT(ABS(S18)/1000,"0") &amp; "K = " &amp; TEXT(F18/1000,"#.##0") &amp; "K")</f>
        <v/>
      </c>
      <c r="U18" s="150">
        <f>IFERROR(G18-W1Q3FY26!G18,"OOS")</f>
        <v/>
      </c>
      <c r="V18" s="147">
        <f>IF(U18=0,"",$A18 &amp; IF(U18&gt;0," tăng "," giảm ") &amp; TEXT(ABS(U18)/1000,"0") &amp; "K = " &amp; TEXT(G18/1000,"#.##0") &amp; "K")</f>
        <v/>
      </c>
      <c r="W18" t="inlineStr">
        <is>
          <t>FPT</t>
        </is>
      </c>
      <c r="X18" t="inlineStr">
        <is>
          <t>Trang</t>
        </is>
      </c>
      <c r="Y18" t="b">
        <v>0</v>
      </c>
    </row>
    <row r="19" ht="15.95" customHeight="1" s="35">
      <c r="B19" s="3" t="n"/>
      <c r="C19" s="141" t="n"/>
      <c r="D19" s="136" t="n"/>
      <c r="E19" s="155" t="n"/>
      <c r="F19" s="134" t="n"/>
      <c r="G19" s="160" t="n"/>
      <c r="H19" s="154" t="n"/>
      <c r="M19" s="149" t="n"/>
      <c r="N19" s="147" t="n"/>
      <c r="O19" s="150" t="n"/>
      <c r="P19" s="147" t="n"/>
      <c r="Q19" s="150" t="n"/>
      <c r="R19" s="147" t="n"/>
      <c r="S19" s="150" t="n"/>
      <c r="T19" s="147" t="n"/>
      <c r="U19" s="150" t="n"/>
      <c r="V19" s="147" t="n"/>
      <c r="Y19" t="b">
        <v>0</v>
      </c>
    </row>
    <row r="20" ht="15.95" customHeight="1" s="35">
      <c r="A20" t="inlineStr">
        <is>
          <t>iPad Air M3  13" 128 GB Wifi</t>
        </is>
      </c>
      <c r="B20" s="25" t="n"/>
      <c r="C20" s="141" t="n">
        <v>20690000</v>
      </c>
      <c r="D20" s="136" t="n">
        <v>19990000</v>
      </c>
      <c r="E20" s="155" t="n">
        <v>19190000</v>
      </c>
      <c r="F20" s="133" t="n">
        <v>18990000</v>
      </c>
      <c r="G20" s="134" t="n">
        <v>18990000</v>
      </c>
      <c r="H20" s="154" t="n"/>
      <c r="M20" s="149">
        <f>IFERROR(C20-W1Q3FY26!C19,"OOS")</f>
        <v/>
      </c>
      <c r="N20" s="147">
        <f>IF(M20=0,"",$A20 &amp; IF(M20&gt;0," tăng "," giảm ") &amp; TEXT(ABS(M20)/1000,"0") &amp; "K = " &amp; TEXT(C20/1000,"#.##0") &amp; "K")</f>
        <v/>
      </c>
      <c r="O20" s="150">
        <f>IFERROR(D20-W1Q3FY26!D19,"OOS")</f>
        <v/>
      </c>
      <c r="P20" s="147">
        <f>IF(O20=0,"",$A20 &amp; IF(O20&gt;0," tăng "," giảm ") &amp; TEXT(ABS(O20)/1000,"0") &amp; "K = " &amp; TEXT(D20/1000,"#.##0") &amp; "K")</f>
        <v/>
      </c>
      <c r="Q20" s="150">
        <f>IFERROR(E20-W1Q3FY26!E19,"OOS")</f>
        <v/>
      </c>
      <c r="R20" s="147">
        <f>IF(Q20=0,"",$A20 &amp; IF(Q20&gt;0," tăng "," giảm ") &amp; TEXT(ABS(Q20)/1000,"0") &amp; "K = " &amp; TEXT(E20/1000,"#.##0") &amp; "K")</f>
        <v/>
      </c>
      <c r="S20" s="150">
        <f>IFERROR(F20-W1Q3FY26!F19,"OOS")</f>
        <v/>
      </c>
      <c r="T20" s="147">
        <f>IF(S20=0,"",$A20 &amp; IF(S20&gt;0," tăng "," giảm ") &amp; TEXT(ABS(S20)/1000,"0") &amp; "K = " &amp; TEXT(F20/1000,"#.##0") &amp; "K")</f>
        <v/>
      </c>
      <c r="U20" s="150">
        <f>IFERROR(G20-W1Q3FY26!G19,"OOS")</f>
        <v/>
      </c>
      <c r="V20" s="147">
        <f>IF(U20=0,"",$A20 &amp; IF(U20&gt;0," tăng "," giảm ") &amp; TEXT(ABS(U20)/1000,"0") &amp; "K = " &amp; TEXT(G20/1000,"#.##0") &amp; "K")</f>
        <v/>
      </c>
      <c r="W20" t="inlineStr">
        <is>
          <t>Viettel</t>
        </is>
      </c>
      <c r="X20" t="inlineStr">
        <is>
          <t>Nghĩa</t>
        </is>
      </c>
      <c r="Y20" t="b">
        <v>0</v>
      </c>
    </row>
    <row r="21" ht="15.95" customHeight="1" s="35">
      <c r="A21" t="inlineStr">
        <is>
          <t>iPad Pro M5 11” 256GB Wifi</t>
        </is>
      </c>
      <c r="B21" s="3" t="n"/>
      <c r="C21" s="141" t="n">
        <v>28990000</v>
      </c>
      <c r="D21" s="141" t="n">
        <v>28490000</v>
      </c>
      <c r="E21" s="124" t="n">
        <v>28490000</v>
      </c>
      <c r="F21" s="134" t="n">
        <v>28490000</v>
      </c>
      <c r="G21" s="111" t="n">
        <v>28990000</v>
      </c>
      <c r="H21" s="154" t="n"/>
      <c r="M21" s="149">
        <f>IFERROR(C21-W1Q3FY26!C20,"OOS")</f>
        <v/>
      </c>
      <c r="N21" s="147">
        <f>IF(M21=0,"",$A21 &amp; IF(M21&gt;0," tăng "," giảm ") &amp; TEXT(ABS(M21)/1000,"0") &amp; "K = " &amp; TEXT(C21/1000,"#.##0") &amp; "K")</f>
        <v/>
      </c>
      <c r="O21" s="150">
        <f>IFERROR(D21-W1Q3FY26!D20,"OOS")</f>
        <v/>
      </c>
      <c r="P21" s="147">
        <f>IF(O21=0,"",$A21 &amp; IF(O21&gt;0," tăng "," giảm ") &amp; TEXT(ABS(O21)/1000,"0") &amp; "K = " &amp; TEXT(D21/1000,"#.##0") &amp; "K")</f>
        <v/>
      </c>
      <c r="Q21" s="150">
        <f>IFERROR(E21-W1Q3FY26!E20,"OOS")</f>
        <v/>
      </c>
      <c r="R21" s="147">
        <f>IF(Q21=0,"",$A21 &amp; IF(Q21&gt;0," tăng "," giảm ") &amp; TEXT(ABS(Q21)/1000,"0") &amp; "K = " &amp; TEXT(E21/1000,"#.##0") &amp; "K")</f>
        <v/>
      </c>
      <c r="S21" s="150">
        <f>IFERROR(F21-W1Q3FY26!F20,"OOS")</f>
        <v/>
      </c>
      <c r="T21" s="147">
        <f>IF(S21=0,"",$A21 &amp; IF(S21&gt;0," tăng "," giảm ") &amp; TEXT(ABS(S21)/1000,"0") &amp; "K = " &amp; TEXT(F21/1000,"#.##0") &amp; "K")</f>
        <v/>
      </c>
      <c r="U21" s="150">
        <f>IFERROR(G21-W1Q3FY26!G20,"OOS")</f>
        <v/>
      </c>
      <c r="V21" s="147">
        <f>IF(U21=0,"",$A21 &amp; IF(U21&gt;0," tăng "," giảm ") &amp; TEXT(ABS(U21)/1000,"0") &amp; "K = " &amp; TEXT(G21/1000,"#.##0") &amp; "K")</f>
        <v/>
      </c>
      <c r="W21" t="inlineStr">
        <is>
          <t>CPS</t>
        </is>
      </c>
      <c r="X21" t="inlineStr">
        <is>
          <t>Duy</t>
        </is>
      </c>
      <c r="Y21" t="b">
        <v>1</v>
      </c>
    </row>
    <row r="22" ht="15.95" customHeight="1" s="35">
      <c r="A22" t="inlineStr">
        <is>
          <t>iPad Pro M5 13” 256GB Wifi</t>
        </is>
      </c>
      <c r="B22" s="3" t="n"/>
      <c r="C22" s="141" t="n">
        <v>38990000</v>
      </c>
      <c r="D22" s="142" t="n">
        <v>38990000</v>
      </c>
      <c r="E22" s="113" t="n">
        <v>37990000</v>
      </c>
      <c r="F22" s="133" t="n">
        <v>38990000</v>
      </c>
      <c r="G22" s="111" t="n">
        <v>38990000</v>
      </c>
      <c r="H22" s="154" t="n"/>
      <c r="M22" s="149">
        <f>IFERROR(C22-W1Q3FY26!C21,"OOS")</f>
        <v/>
      </c>
      <c r="N22" s="147">
        <f>IF(M22=0,"",$A22 &amp; IF(M22&gt;0," tăng "," giảm ") &amp; TEXT(ABS(M22)/1000,"0") &amp; "K = " &amp; TEXT(C22/1000,"#.##0") &amp; "K")</f>
        <v/>
      </c>
      <c r="O22" s="150">
        <f>IFERROR(D22-W1Q3FY26!D21,"OOS")</f>
        <v/>
      </c>
      <c r="P22" s="147">
        <f>IF(O22=0,"",$A22 &amp; IF(O22&gt;0," tăng "," giảm ") &amp; TEXT(ABS(O22)/1000,"0") &amp; "K = " &amp; TEXT(D22/1000,"#.##0") &amp; "K")</f>
        <v/>
      </c>
      <c r="Q22" s="150">
        <f>IFERROR(E22-W1Q3FY26!E21,"OOS")</f>
        <v/>
      </c>
      <c r="R22" s="147">
        <f>IF(Q22=0,"",$A22 &amp; IF(Q22&gt;0," tăng "," giảm ") &amp; TEXT(ABS(Q22)/1000,"0") &amp; "K = " &amp; TEXT(E22/1000,"#.##0") &amp; "K")</f>
        <v/>
      </c>
      <c r="S22" s="150">
        <f>IFERROR(F22-W1Q3FY26!F21,"OOS")</f>
        <v/>
      </c>
      <c r="T22" s="147">
        <f>IF(S22=0,"",$A22 &amp; IF(S22&gt;0," tăng "," giảm ") &amp; TEXT(ABS(S22)/1000,"0") &amp; "K = " &amp; TEXT(F22/1000,"#.##0") &amp; "K")</f>
        <v/>
      </c>
      <c r="U22" s="150">
        <f>IFERROR(G22-W1Q3FY26!G21,"OOS")</f>
        <v/>
      </c>
      <c r="V22" s="147">
        <f>IF(U22=0,"",$A22 &amp; IF(U22&gt;0," tăng "," giảm ") &amp; TEXT(ABS(U22)/1000,"0") &amp; "K = " &amp; TEXT(G22/1000,"#.##0") &amp; "K")</f>
        <v/>
      </c>
      <c r="W22" t="inlineStr">
        <is>
          <t>ShopDunk</t>
        </is>
      </c>
      <c r="X22" t="inlineStr">
        <is>
          <t>Đạt</t>
        </is>
      </c>
      <c r="Y22" t="b">
        <v>1</v>
      </c>
    </row>
    <row r="23" ht="15.95" customHeight="1" s="35">
      <c r="A23" t="inlineStr">
        <is>
          <t>AW SE 3 (40mm GPS)</t>
        </is>
      </c>
      <c r="B23" s="25" t="n"/>
      <c r="C23" s="141" t="n">
        <v>6590000</v>
      </c>
      <c r="D23" s="141" t="n">
        <v>6590000</v>
      </c>
      <c r="E23" s="140" t="n">
        <v>5990000</v>
      </c>
      <c r="F23" s="134" t="n">
        <v>6590000</v>
      </c>
      <c r="G23" s="111" t="n">
        <v>6490000</v>
      </c>
      <c r="H23" s="154" t="n"/>
      <c r="M23" s="149">
        <f>IFERROR(C23-W1Q3FY26!C22,"OOS")</f>
        <v/>
      </c>
      <c r="N23" s="147">
        <f>IF(M23=0,"",$A23 &amp; IF(M23&gt;0," tăng "," giảm ") &amp; TEXT(ABS(M23)/1000,"0") &amp; "K = " &amp; TEXT(C23/1000,"#.##0") &amp; "K")</f>
        <v/>
      </c>
      <c r="O23" s="150">
        <f>IFERROR(D23-W1Q3FY26!D22,"OOS")</f>
        <v/>
      </c>
      <c r="P23" s="147">
        <f>IF(O23=0,"",$A23 &amp; IF(O23&gt;0," tăng "," giảm ") &amp; TEXT(ABS(O23)/1000,"0") &amp; "K = " &amp; TEXT(D23/1000,"#.##0") &amp; "K")</f>
        <v/>
      </c>
      <c r="Q23" s="150">
        <f>IFERROR(E23-W1Q3FY26!E22,"OOS")</f>
        <v/>
      </c>
      <c r="R23" s="147">
        <f>IF(Q23=0,"",$A23 &amp; IF(Q23&gt;0," tăng "," giảm ") &amp; TEXT(ABS(Q23)/1000,"0") &amp; "K = " &amp; TEXT(E23/1000,"#.##0") &amp; "K")</f>
        <v/>
      </c>
      <c r="S23" s="150">
        <f>IFERROR(F23-W1Q3FY26!F22,"OOS")</f>
        <v/>
      </c>
      <c r="T23" s="147">
        <f>IF(S23=0,"",$A23 &amp; IF(S23&gt;0," tăng "," giảm ") &amp; TEXT(ABS(S23)/1000,"0") &amp; "K = " &amp; TEXT(F23/1000,"#.##0") &amp; "K")</f>
        <v/>
      </c>
      <c r="U23" s="150">
        <f>IFERROR(G23-W1Q3FY26!G22,"OOS")</f>
        <v/>
      </c>
      <c r="V23" s="147">
        <f>IF(U23=0,"",$A23 &amp; IF(U23&gt;0," tăng "," giảm ") &amp; TEXT(ABS(U23)/1000,"0") &amp; "K = " &amp; TEXT(G23/1000,"#.##0") &amp; "K")</f>
        <v/>
      </c>
    </row>
    <row r="24" ht="15.95" customHeight="1" s="35">
      <c r="A24" t="inlineStr">
        <is>
          <t>AW SE 3 (40mm LTE)</t>
        </is>
      </c>
      <c r="B24" s="25" t="n"/>
      <c r="C24" s="141" t="n">
        <v>7690000</v>
      </c>
      <c r="D24" s="136" t="n">
        <v>8290000</v>
      </c>
      <c r="E24" s="155" t="n">
        <v>7490000</v>
      </c>
      <c r="F24" s="133" t="n">
        <v>8390000</v>
      </c>
      <c r="G24" s="111" t="n">
        <v>8190000</v>
      </c>
      <c r="H24" s="154" t="n"/>
      <c r="M24" s="149">
        <f>IFERROR(C24-W1Q3FY26!C23,"OOS")</f>
        <v/>
      </c>
      <c r="N24" s="147">
        <f>IF(M24=0,"",$A24 &amp; IF(M24&gt;0," tăng "," giảm ") &amp; TEXT(ABS(M24)/1000,"0") &amp; "K = " &amp; TEXT(C24/1000,"#.##0") &amp; "K")</f>
        <v/>
      </c>
      <c r="O24" s="150">
        <f>IFERROR(D24-W1Q3FY26!D23,"OOS")</f>
        <v/>
      </c>
      <c r="P24" s="147">
        <f>IF(O24=0,"",$A24 &amp; IF(O24&gt;0," tăng "," giảm ") &amp; TEXT(ABS(O24)/1000,"0") &amp; "K = " &amp; TEXT(D24/1000,"#.##0") &amp; "K")</f>
        <v/>
      </c>
      <c r="Q24" s="150">
        <f>IFERROR(E24-W1Q3FY26!E23,"OOS")</f>
        <v/>
      </c>
      <c r="R24" s="147">
        <f>IF(Q24=0,"",$A24 &amp; IF(Q24&gt;0," tăng "," giảm ") &amp; TEXT(ABS(Q24)/1000,"0") &amp; "K = " &amp; TEXT(E24/1000,"#.##0") &amp; "K")</f>
        <v/>
      </c>
      <c r="S24" s="150">
        <f>IFERROR(F24-W1Q3FY26!F23,"OOS")</f>
        <v/>
      </c>
      <c r="T24" s="147">
        <f>IF(S24=0,"",$A24 &amp; IF(S24&gt;0," tăng "," giảm ") &amp; TEXT(ABS(S24)/1000,"0") &amp; "K = " &amp; TEXT(F24/1000,"#.##0") &amp; "K")</f>
        <v/>
      </c>
      <c r="U24" s="150">
        <f>IFERROR(G24-W1Q3FY26!G23,"OOS")</f>
        <v/>
      </c>
      <c r="V24" s="147">
        <f>IF(U24=0,"",$A24 &amp; IF(U24&gt;0," tăng "," giảm ") &amp; TEXT(ABS(U24)/1000,"0") &amp; "K = " &amp; TEXT(G24/1000,"#.##0") &amp; "K")</f>
        <v/>
      </c>
    </row>
    <row r="25" ht="15.95" customHeight="1" s="35">
      <c r="A25" t="inlineStr">
        <is>
          <t>AW SE 3 (44mm GPS)</t>
        </is>
      </c>
      <c r="B25" s="25" t="n"/>
      <c r="C25" s="136" t="n">
        <v>7690000</v>
      </c>
      <c r="D25" s="136" t="n">
        <v>7690000</v>
      </c>
      <c r="E25" s="140" t="n">
        <v>6890000</v>
      </c>
      <c r="F25" s="133" t="n">
        <v>7690000</v>
      </c>
      <c r="G25" s="112" t="n">
        <v>7190000</v>
      </c>
      <c r="H25" s="154" t="n"/>
      <c r="M25" s="149">
        <f>IFERROR(C25-W1Q3FY26!C24,"OOS")</f>
        <v/>
      </c>
      <c r="N25" s="147">
        <f>IF(M25=0,"",$A25 &amp; IF(M25&gt;0," tăng "," giảm ") &amp; TEXT(ABS(M25)/1000,"0") &amp; "K = " &amp; TEXT(C25/1000,"#.##0") &amp; "K")</f>
        <v/>
      </c>
      <c r="O25" s="150">
        <f>IFERROR(D25-W1Q3FY26!D24,"OOS")</f>
        <v/>
      </c>
      <c r="P25" s="147">
        <f>IF(O25=0,"",$A25 &amp; IF(O25&gt;0," tăng "," giảm ") &amp; TEXT(ABS(O25)/1000,"0") &amp; "K = " &amp; TEXT(D25/1000,"#.##0") &amp; "K")</f>
        <v/>
      </c>
      <c r="Q25" s="150">
        <f>IFERROR(E25-W1Q3FY26!E24,"OOS")</f>
        <v/>
      </c>
      <c r="R25" s="147">
        <f>IF(Q25=0,"",$A25 &amp; IF(Q25&gt;0," tăng "," giảm ") &amp; TEXT(ABS(Q25)/1000,"0") &amp; "K = " &amp; TEXT(E25/1000,"#.##0") &amp; "K")</f>
        <v/>
      </c>
      <c r="S25" s="150">
        <f>IFERROR(F25-W1Q3FY26!F24,"OOS")</f>
        <v/>
      </c>
      <c r="T25" s="147">
        <f>IF(S25=0,"",$A25 &amp; IF(S25&gt;0," tăng "," giảm ") &amp; TEXT(ABS(S25)/1000,"0") &amp; "K = " &amp; TEXT(F25/1000,"#.##0") &amp; "K")</f>
        <v/>
      </c>
      <c r="U25" s="150">
        <f>IFERROR(G25-W1Q3FY26!G24,"OOS")</f>
        <v/>
      </c>
      <c r="V25" s="147">
        <f>IF(U25=0,"",$A25 &amp; IF(U25&gt;0," tăng "," giảm ") &amp; TEXT(ABS(U25)/1000,"0") &amp; "K = " &amp; TEXT(G25/1000,"#.##0") &amp; "K")</f>
        <v/>
      </c>
    </row>
    <row r="26" ht="15.95" customHeight="1" s="35">
      <c r="A26" t="inlineStr">
        <is>
          <t>AW SE 3 (44mm LTE)</t>
        </is>
      </c>
      <c r="B26" s="25" t="n"/>
      <c r="C26" s="136" t="n">
        <v>9190000</v>
      </c>
      <c r="D26" s="136" t="n">
        <v>9190000</v>
      </c>
      <c r="E26" s="140" t="n">
        <v>8490000</v>
      </c>
      <c r="F26" s="133" t="n">
        <v>9190000</v>
      </c>
      <c r="G26" s="111" t="n">
        <v>8790000</v>
      </c>
      <c r="H26" s="154" t="n"/>
      <c r="M26" s="149">
        <f>IFERROR(C26-W1Q3FY26!C25,"OOS")</f>
        <v/>
      </c>
      <c r="N26" s="147">
        <f>IF(M26=0,"",$A26 &amp; IF(M26&gt;0," tăng "," giảm ") &amp; TEXT(ABS(M26)/1000,"0") &amp; "K = " &amp; TEXT(C26/1000,"#.##0") &amp; "K")</f>
        <v/>
      </c>
      <c r="O26" s="150">
        <f>IFERROR(D26-W1Q3FY26!D25,"OOS")</f>
        <v/>
      </c>
      <c r="P26" s="147">
        <f>IF(O26=0,"",$A26 &amp; IF(O26&gt;0," tăng "," giảm ") &amp; TEXT(ABS(O26)/1000,"0") &amp; "K = " &amp; TEXT(D26/1000,"#.##0") &amp; "K")</f>
        <v/>
      </c>
      <c r="Q26" s="150">
        <f>IFERROR(E26-W1Q3FY26!E25,"OOS")</f>
        <v/>
      </c>
      <c r="R26" s="147">
        <f>IF(Q26=0,"",$A26 &amp; IF(Q26&gt;0," tăng "," giảm ") &amp; TEXT(ABS(Q26)/1000,"0") &amp; "K = " &amp; TEXT(E26/1000,"#.##0") &amp; "K")</f>
        <v/>
      </c>
      <c r="S26" s="150">
        <f>IFERROR(F26-W1Q3FY26!F25,"OOS")</f>
        <v/>
      </c>
      <c r="T26" s="147">
        <f>IF(S26=0,"",$A26 &amp; IF(S26&gt;0," tăng "," giảm ") &amp; TEXT(ABS(S26)/1000,"0") &amp; "K = " &amp; TEXT(F26/1000,"#.##0") &amp; "K")</f>
        <v/>
      </c>
      <c r="U26" s="150">
        <f>IFERROR(G26-W1Q3FY26!G25,"OOS")</f>
        <v/>
      </c>
      <c r="V26" s="147">
        <f>IF(U26=0,"",$A26 &amp; IF(U26&gt;0," tăng "," giảm ") &amp; TEXT(ABS(U26)/1000,"0") &amp; "K = " &amp; TEXT(G26/1000,"#.##0") &amp; "K")</f>
        <v/>
      </c>
    </row>
    <row r="27" ht="15.95" customHeight="1" s="35">
      <c r="A27" t="inlineStr">
        <is>
          <t>AW S11 (42mm GPS)</t>
        </is>
      </c>
      <c r="B27" s="3" t="n"/>
      <c r="C27" s="141" t="n">
        <v>10990000</v>
      </c>
      <c r="D27" s="141" t="n">
        <v>10990000</v>
      </c>
      <c r="E27" s="140" t="n">
        <v>10190000</v>
      </c>
      <c r="F27" s="134" t="n">
        <v>10990000</v>
      </c>
      <c r="G27" s="111" t="n">
        <v>10990000</v>
      </c>
      <c r="H27" s="154" t="n"/>
      <c r="M27" s="149">
        <f>IFERROR(C27-W1Q3FY26!C26,"OOS")</f>
        <v/>
      </c>
      <c r="N27" s="147">
        <f>IF(M27=0,"",$A27 &amp; IF(M27&gt;0," tăng "," giảm ") &amp; TEXT(ABS(M27)/1000,"0") &amp; "K = " &amp; TEXT(C27/1000,"#.##0") &amp; "K")</f>
        <v/>
      </c>
      <c r="O27" s="150">
        <f>IFERROR(D27-W1Q3FY26!D26,"OOS")</f>
        <v/>
      </c>
      <c r="P27" s="147">
        <f>IF(O27=0,"",$A27 &amp; IF(O27&gt;0," tăng "," giảm ") &amp; TEXT(ABS(O27)/1000,"0") &amp; "K = " &amp; TEXT(D27/1000,"#.##0") &amp; "K")</f>
        <v/>
      </c>
      <c r="Q27" s="150">
        <f>IFERROR(E27-W1Q3FY26!E26,"OOS")</f>
        <v/>
      </c>
      <c r="R27" s="147">
        <f>IF(Q27=0,"",$A27 &amp; IF(Q27&gt;0," tăng "," giảm ") &amp; TEXT(ABS(Q27)/1000,"0") &amp; "K = " &amp; TEXT(E27/1000,"#.##0") &amp; "K")</f>
        <v/>
      </c>
      <c r="S27" s="150">
        <f>IFERROR(F27-W1Q3FY26!F26,"OOS")</f>
        <v/>
      </c>
      <c r="T27" s="147">
        <f>IF(S27=0,"",$A27 &amp; IF(S27&gt;0," tăng "," giảm ") &amp; TEXT(ABS(S27)/1000,"0") &amp; "K = " &amp; TEXT(F27/1000,"#.##0") &amp; "K")</f>
        <v/>
      </c>
      <c r="U27" s="150">
        <f>IFERROR(G27-W1Q3FY26!G26,"OOS")</f>
        <v/>
      </c>
      <c r="V27" s="147">
        <f>IF(U27=0,"",$A27 &amp; IF(U27&gt;0," tăng "," giảm ") &amp; TEXT(ABS(U27)/1000,"0") &amp; "K = " &amp; TEXT(G27/1000,"#.##0") &amp; "K")</f>
        <v/>
      </c>
    </row>
    <row r="28" ht="15.95" customHeight="1" s="35">
      <c r="A28" t="inlineStr">
        <is>
          <t>AW S11 (42mm CEL)</t>
        </is>
      </c>
      <c r="B28" s="3" t="n"/>
      <c r="C28" s="141" t="n">
        <v>14090000</v>
      </c>
      <c r="D28" s="136" t="n">
        <v>14090000</v>
      </c>
      <c r="E28" s="140" t="n">
        <v>13490000</v>
      </c>
      <c r="F28" s="134" t="n">
        <v>13990000</v>
      </c>
      <c r="G28" s="111" t="n">
        <v>13990000</v>
      </c>
      <c r="H28" s="154" t="n"/>
      <c r="M28" s="149">
        <f>IFERROR(C28-W1Q3FY26!C27,"OOS")</f>
        <v/>
      </c>
      <c r="N28" s="147">
        <f>IF(M28=0,"",$A28 &amp; IF(M28&gt;0," tăng "," giảm ") &amp; TEXT(ABS(M28)/1000,"0") &amp; "K = " &amp; TEXT(C28/1000,"#.##0") &amp; "K")</f>
        <v/>
      </c>
      <c r="O28" s="150">
        <f>IFERROR(D28-W1Q3FY26!D27,"OOS")</f>
        <v/>
      </c>
      <c r="P28" s="147">
        <f>IF(O28=0,"",$A28 &amp; IF(O28&gt;0," tăng "," giảm ") &amp; TEXT(ABS(O28)/1000,"0") &amp; "K = " &amp; TEXT(D28/1000,"#.##0") &amp; "K")</f>
        <v/>
      </c>
      <c r="Q28" s="150">
        <f>IFERROR(E28-W1Q3FY26!E27,"OOS")</f>
        <v/>
      </c>
      <c r="R28" s="147">
        <f>IF(Q28=0,"",$A28 &amp; IF(Q28&gt;0," tăng "," giảm ") &amp; TEXT(ABS(Q28)/1000,"0") &amp; "K = " &amp; TEXT(E28/1000,"#.##0") &amp; "K")</f>
        <v/>
      </c>
      <c r="S28" s="150">
        <f>IFERROR(F28-W1Q3FY26!F27,"OOS")</f>
        <v/>
      </c>
      <c r="T28" s="147">
        <f>IF(S28=0,"",$A28 &amp; IF(S28&gt;0," tăng "," giảm ") &amp; TEXT(ABS(S28)/1000,"0") &amp; "K = " &amp; TEXT(F28/1000,"#.##0") &amp; "K")</f>
        <v/>
      </c>
      <c r="U28" s="150">
        <f>IFERROR(G28-W1Q3FY26!G27,"OOS")</f>
        <v/>
      </c>
      <c r="V28" s="147">
        <f>IF(U28=0,"",$A28 &amp; IF(U28&gt;0," tăng "," giảm ") &amp; TEXT(ABS(U28)/1000,"0") &amp; "K = " &amp; TEXT(G28/1000,"#.##0") &amp; "K")</f>
        <v/>
      </c>
    </row>
    <row r="29" ht="15.95" customHeight="1" s="35">
      <c r="A29" t="inlineStr">
        <is>
          <t>AW S11 (46mm GPS)</t>
        </is>
      </c>
      <c r="B29" s="3" t="n"/>
      <c r="C29" s="136" t="n">
        <v>11990000</v>
      </c>
      <c r="D29" s="136" t="n">
        <v>11990000</v>
      </c>
      <c r="E29" s="140" t="n">
        <v>10990000</v>
      </c>
      <c r="F29" s="133" t="n">
        <v>11990000</v>
      </c>
      <c r="G29" s="111" t="n">
        <v>11890000</v>
      </c>
      <c r="H29" s="154" t="n"/>
      <c r="M29" s="149">
        <f>IFERROR(C29-W1Q3FY26!C28,"OOS")</f>
        <v/>
      </c>
      <c r="N29" s="147">
        <f>IF(M29=0,"",$A29 &amp; IF(M29&gt;0," tăng "," giảm ") &amp; TEXT(ABS(M29)/1000,"0") &amp; "K = " &amp; TEXT(C29/1000,"#.##0") &amp; "K")</f>
        <v/>
      </c>
      <c r="O29" s="150">
        <f>IFERROR(D29-W1Q3FY26!D28,"OOS")</f>
        <v/>
      </c>
      <c r="P29" s="147">
        <f>IF(O29=0,"",$A29 &amp; IF(O29&gt;0," tăng "," giảm ") &amp; TEXT(ABS(O29)/1000,"0") &amp; "K = " &amp; TEXT(D29/1000,"#.##0") &amp; "K")</f>
        <v/>
      </c>
      <c r="Q29" s="150">
        <f>IFERROR(E29-W1Q3FY26!E28,"OOS")</f>
        <v/>
      </c>
      <c r="R29" s="147">
        <f>IF(Q29=0,"",$A29 &amp; IF(Q29&gt;0," tăng "," giảm ") &amp; TEXT(ABS(Q29)/1000,"0") &amp; "K = " &amp; TEXT(E29/1000,"#.##0") &amp; "K")</f>
        <v/>
      </c>
      <c r="S29" s="150">
        <f>IFERROR(F29-W1Q3FY26!F28,"OOS")</f>
        <v/>
      </c>
      <c r="T29" s="147">
        <f>IF(S29=0,"",$A29 &amp; IF(S29&gt;0," tăng "," giảm ") &amp; TEXT(ABS(S29)/1000,"0") &amp; "K = " &amp; TEXT(F29/1000,"#.##0") &amp; "K")</f>
        <v/>
      </c>
      <c r="U29" s="150">
        <f>IFERROR(G29-W1Q3FY26!G28,"OOS")</f>
        <v/>
      </c>
      <c r="V29" s="147">
        <f>IF(U29=0,"",$A29 &amp; IF(U29&gt;0," tăng "," giảm ") &amp; TEXT(ABS(U29)/1000,"0") &amp; "K = " &amp; TEXT(G29/1000,"#.##0") &amp; "K")</f>
        <v/>
      </c>
    </row>
    <row r="30" ht="15.95" customHeight="1" s="35">
      <c r="A30" t="inlineStr">
        <is>
          <t>AW S11 (46mm CEL)</t>
        </is>
      </c>
      <c r="B30" s="3" t="n"/>
      <c r="C30" s="141" t="n">
        <v>14990000</v>
      </c>
      <c r="D30" s="136" t="n">
        <v>14990000</v>
      </c>
      <c r="E30" s="140" t="n">
        <v>13990000</v>
      </c>
      <c r="F30" s="133" t="n">
        <v>14990000</v>
      </c>
      <c r="G30" s="111" t="n">
        <v>14890000</v>
      </c>
      <c r="H30" s="154" t="n"/>
      <c r="M30" s="149">
        <f>IFERROR(C30-W1Q3FY26!C29,"OOS")</f>
        <v/>
      </c>
      <c r="N30" s="147">
        <f>IF(M30=0,"",$A30 &amp; IF(M30&gt;0," tăng "," giảm ") &amp; TEXT(ABS(M30)/1000,"0") &amp; "K = " &amp; TEXT(C30/1000,"#.##0") &amp; "K")</f>
        <v/>
      </c>
      <c r="O30" s="150">
        <f>IFERROR(D30-W1Q3FY26!D29,"OOS")</f>
        <v/>
      </c>
      <c r="P30" s="147">
        <f>IF(O30=0,"",$A30 &amp; IF(O30&gt;0," tăng "," giảm ") &amp; TEXT(ABS(O30)/1000,"0") &amp; "K = " &amp; TEXT(D30/1000,"#.##0") &amp; "K")</f>
        <v/>
      </c>
      <c r="Q30" s="150">
        <f>IFERROR(E30-W1Q3FY26!E29,"OOS")</f>
        <v/>
      </c>
      <c r="R30" s="147">
        <f>IF(Q30=0,"",$A30 &amp; IF(Q30&gt;0," tăng "," giảm ") &amp; TEXT(ABS(Q30)/1000,"0") &amp; "K = " &amp; TEXT(E30/1000,"#.##0") &amp; "K")</f>
        <v/>
      </c>
      <c r="S30" s="150">
        <f>IFERROR(F30-W1Q3FY26!F29,"OOS")</f>
        <v/>
      </c>
      <c r="T30" s="147">
        <f>IF(S30=0,"",$A30 &amp; IF(S30&gt;0," tăng "," giảm ") &amp; TEXT(ABS(S30)/1000,"0") &amp; "K = " &amp; TEXT(F30/1000,"#.##0") &amp; "K")</f>
        <v/>
      </c>
      <c r="U30" s="150">
        <f>IFERROR(G30-W1Q3FY26!G29,"OOS")</f>
        <v/>
      </c>
      <c r="V30" s="147">
        <f>IF(U30=0,"",$A30 &amp; IF(U30&gt;0," tăng "," giảm ") &amp; TEXT(ABS(U30)/1000,"0") &amp; "K = " &amp; TEXT(G30/1000,"#.##0") &amp; "K")</f>
        <v/>
      </c>
    </row>
    <row r="31" ht="15.95" customHeight="1" s="35">
      <c r="A31" t="inlineStr">
        <is>
          <t>AW Ultra 3 (49mm)</t>
        </is>
      </c>
      <c r="B31" s="25" t="n"/>
      <c r="C31" s="136" t="n">
        <v>23490000</v>
      </c>
      <c r="D31" s="136" t="n">
        <v>22990000</v>
      </c>
      <c r="E31" s="113" t="n">
        <v>21990000</v>
      </c>
      <c r="F31" s="134" t="n">
        <v>22990000</v>
      </c>
      <c r="G31" s="111" t="n">
        <v>22990000</v>
      </c>
      <c r="H31" s="154" t="n"/>
      <c r="M31" s="149">
        <f>IFERROR(C31-W1Q3FY26!C30,"OOS")</f>
        <v/>
      </c>
      <c r="N31" s="147">
        <f>IF(M31=0,"",$A31 &amp; IF(M31&gt;0," tăng "," giảm ") &amp; TEXT(ABS(M31)/1000,"0") &amp; "K = " &amp; TEXT(C31/1000,"#.##0") &amp; "K")</f>
        <v/>
      </c>
      <c r="O31" s="150">
        <f>IFERROR(D31-W1Q3FY26!D30,"OOS")</f>
        <v/>
      </c>
      <c r="P31" s="147">
        <f>IF(O31=0,"",$A31 &amp; IF(O31&gt;0," tăng "," giảm ") &amp; TEXT(ABS(O31)/1000,"0") &amp; "K = " &amp; TEXT(D31/1000,"#.##0") &amp; "K")</f>
        <v/>
      </c>
      <c r="Q31" s="150">
        <f>IFERROR(E31-W1Q3FY26!E30,"OOS")</f>
        <v/>
      </c>
      <c r="R31" s="147">
        <f>IF(Q31=0,"",$A31 &amp; IF(Q31&gt;0," tăng "," giảm ") &amp; TEXT(ABS(Q31)/1000,"0") &amp; "K = " &amp; TEXT(E31/1000,"#.##0") &amp; "K")</f>
        <v/>
      </c>
      <c r="S31" s="150">
        <f>IFERROR(F31-W1Q3FY26!F30,"OOS")</f>
        <v/>
      </c>
      <c r="T31" s="147">
        <f>IF(S31=0,"",$A31 &amp; IF(S31&gt;0," tăng "," giảm ") &amp; TEXT(ABS(S31)/1000,"0") &amp; "K = " &amp; TEXT(F31/1000,"#.##0") &amp; "K")</f>
        <v/>
      </c>
      <c r="U31" s="150">
        <f>IFERROR(G31-W1Q3FY26!G30,"OOS")</f>
        <v/>
      </c>
      <c r="V31" s="147">
        <f>IF(U31=0,"",$A31 &amp; IF(U31&gt;0," tăng "," giảm ") &amp; TEXT(ABS(U31)/1000,"0") &amp; "K = " &amp; TEXT(G31/1000,"#.##0") &amp; "K")</f>
        <v/>
      </c>
    </row>
    <row r="32" ht="15.95" customHeight="1" s="35">
      <c r="A32" t="inlineStr">
        <is>
          <t>AirPods Pro 2 - 2023 (C-Type)</t>
        </is>
      </c>
      <c r="B32" s="3" t="n"/>
      <c r="C32" s="136" t="n">
        <v>5190000</v>
      </c>
      <c r="D32" s="136" t="inlineStr">
        <is>
          <t>OOS</t>
        </is>
      </c>
      <c r="E32" s="131" t="inlineStr">
        <is>
          <t>OOS</t>
        </is>
      </c>
      <c r="F32" s="134" t="n">
        <v>5090000</v>
      </c>
      <c r="G32" s="111" t="n">
        <v>5590000</v>
      </c>
      <c r="H32" s="154" t="n"/>
      <c r="M32" s="149">
        <f>IFERROR(C32-W1Q3FY26!C31,"OOS")</f>
        <v/>
      </c>
      <c r="N32" s="147">
        <f>IF(M32=0,"",$A32 &amp; IF(M32&gt;0," tăng "," giảm ") &amp; TEXT(ABS(M32)/1000,"0") &amp; "K = " &amp; TEXT(C32/1000,"#.##0") &amp; "K")</f>
        <v/>
      </c>
      <c r="O32" s="150">
        <f>IFERROR(D32-W1Q3FY26!D31,"OOS")</f>
        <v/>
      </c>
      <c r="P32" s="147">
        <f>IF(O32=0,"",$A32 &amp; IF(O32&gt;0," tăng "," giảm ") &amp; TEXT(ABS(O32)/1000,"0") &amp; "K = " &amp; TEXT(D32/1000,"#.##0") &amp; "K")</f>
        <v/>
      </c>
      <c r="Q32" s="150">
        <f>IFERROR(E32-W1Q3FY26!E31,"OOS")</f>
        <v/>
      </c>
      <c r="R32" s="147">
        <f>IF(Q32=0,"",$A32 &amp; IF(Q32&gt;0," tăng "," giảm ") &amp; TEXT(ABS(Q32)/1000,"0") &amp; "K = " &amp; TEXT(E32/1000,"#.##0") &amp; "K")</f>
        <v/>
      </c>
      <c r="S32" s="150">
        <f>IFERROR(F32-W1Q3FY26!F31,"OOS")</f>
        <v/>
      </c>
      <c r="T32" s="147">
        <f>IF(S32=0,"",$A32 &amp; IF(S32&gt;0," tăng "," giảm ") &amp; TEXT(ABS(S32)/1000,"0") &amp; "K = " &amp; TEXT(F32/1000,"#.##0") &amp; "K")</f>
        <v/>
      </c>
      <c r="U32" s="150">
        <f>IFERROR(G32-W1Q3FY26!G31,"OOS")</f>
        <v/>
      </c>
      <c r="V32" s="147">
        <f>IF(U32=0,"",$A32 &amp; IF(U32&gt;0," tăng "," giảm ") &amp; TEXT(ABS(U32)/1000,"0") &amp; "K = " &amp; TEXT(G32/1000,"#.##0") &amp; "K")</f>
        <v/>
      </c>
    </row>
    <row r="33" ht="15.95" customHeight="1" s="35">
      <c r="A33" t="inlineStr">
        <is>
          <t>AirPods 4 ANC</t>
        </is>
      </c>
      <c r="B33" s="3" t="n"/>
      <c r="C33" s="141" t="n">
        <v>4590000</v>
      </c>
      <c r="D33" s="136" t="n">
        <v>4590000</v>
      </c>
      <c r="E33" s="155" t="n">
        <v>4290000</v>
      </c>
      <c r="F33" s="134" t="n">
        <v>4650000</v>
      </c>
      <c r="G33" s="111" t="n">
        <v>4490000</v>
      </c>
      <c r="H33" s="154" t="n"/>
      <c r="M33" s="149">
        <f>IFERROR(C33-W1Q3FY26!C32,"OOS")</f>
        <v/>
      </c>
      <c r="N33" s="147">
        <f>IF(M33=0,"",$A33 &amp; IF(M33&gt;0," tăng "," giảm ") &amp; TEXT(ABS(M33)/1000,"0") &amp; "K = " &amp; TEXT(C33/1000,"#.##0") &amp; "K")</f>
        <v/>
      </c>
      <c r="O33" s="150">
        <f>IFERROR(D33-W1Q3FY26!D32,"OOS")</f>
        <v/>
      </c>
      <c r="P33" s="147">
        <f>IF(O33=0,"",$A33 &amp; IF(O33&gt;0," tăng "," giảm ") &amp; TEXT(ABS(O33)/1000,"0") &amp; "K = " &amp; TEXT(D33/1000,"#.##0") &amp; "K")</f>
        <v/>
      </c>
      <c r="Q33" s="150">
        <f>IFERROR(E33-W1Q3FY26!E32,"OOS")</f>
        <v/>
      </c>
      <c r="R33" s="147">
        <f>IF(Q33=0,"",$A33 &amp; IF(Q33&gt;0," tăng "," giảm ") &amp; TEXT(ABS(Q33)/1000,"0") &amp; "K = " &amp; TEXT(E33/1000,"#.##0") &amp; "K")</f>
        <v/>
      </c>
      <c r="S33" s="150">
        <f>IFERROR(F33-W1Q3FY26!F32,"OOS")</f>
        <v/>
      </c>
      <c r="T33" s="147">
        <f>IF(S33=0,"",$A33 &amp; IF(S33&gt;0," tăng "," giảm ") &amp; TEXT(ABS(S33)/1000,"0") &amp; "K = " &amp; TEXT(F33/1000,"#.##0") &amp; "K")</f>
        <v/>
      </c>
      <c r="U33" s="150">
        <f>IFERROR(G33-W1Q3FY26!G32,"OOS")</f>
        <v/>
      </c>
      <c r="V33" s="147">
        <f>IF(U33=0,"",$A33 &amp; IF(U33&gt;0," tăng "," giảm ") &amp; TEXT(ABS(U33)/1000,"0") &amp; "K = " &amp; TEXT(G33/1000,"#.##0") &amp; "K")</f>
        <v/>
      </c>
    </row>
    <row r="34" ht="15.95" customHeight="1" s="35">
      <c r="A34" t="inlineStr">
        <is>
          <t>AirPods 4 with charging case</t>
        </is>
      </c>
      <c r="B34" s="3" t="n"/>
      <c r="C34" s="136" t="n">
        <v>3490000</v>
      </c>
      <c r="D34" s="136" t="n">
        <v>3490000</v>
      </c>
      <c r="E34" s="155" t="n">
        <v>3290000</v>
      </c>
      <c r="F34" s="133" t="n">
        <v>3490000</v>
      </c>
      <c r="G34" s="112" t="n">
        <v>3350000</v>
      </c>
      <c r="H34" s="154" t="n"/>
      <c r="M34" s="149">
        <f>IFERROR(C34-W1Q3FY26!C33,"OOS")</f>
        <v/>
      </c>
      <c r="N34" s="147">
        <f>IF(M34=0,"",$A34 &amp; IF(M34&gt;0," tăng "," giảm ") &amp; TEXT(ABS(M34)/1000,"0") &amp; "K = " &amp; TEXT(C34/1000,"#.##0") &amp; "K")</f>
        <v/>
      </c>
      <c r="O34" s="150">
        <f>IFERROR(D34-W1Q3FY26!D33,"OOS")</f>
        <v/>
      </c>
      <c r="P34" s="147">
        <f>IF(O34=0,"",$A34 &amp; IF(O34&gt;0," tăng "," giảm ") &amp; TEXT(ABS(O34)/1000,"0") &amp; "K = " &amp; TEXT(D34/1000,"#.##0") &amp; "K")</f>
        <v/>
      </c>
      <c r="Q34" s="150">
        <f>IFERROR(E34-W1Q3FY26!E33,"OOS")</f>
        <v/>
      </c>
      <c r="R34" s="147">
        <f>IF(Q34=0,"",$A34 &amp; IF(Q34&gt;0," tăng "," giảm ") &amp; TEXT(ABS(Q34)/1000,"0") &amp; "K = " &amp; TEXT(E34/1000,"#.##0") &amp; "K")</f>
        <v/>
      </c>
      <c r="S34" s="150">
        <f>IFERROR(F34-W1Q3FY26!F33,"OOS")</f>
        <v/>
      </c>
      <c r="T34" s="147">
        <f>IF(S34=0,"",$A34 &amp; IF(S34&gt;0," tăng "," giảm ") &amp; TEXT(ABS(S34)/1000,"0") &amp; "K = " &amp; TEXT(F34/1000,"#.##0") &amp; "K")</f>
        <v/>
      </c>
      <c r="U34" s="150">
        <f>IFERROR(G34-W1Q3FY26!G33,"OOS")</f>
        <v/>
      </c>
      <c r="V34" s="147">
        <f>IF(U34=0,"",$A34 &amp; IF(U34&gt;0," tăng "," giảm ") &amp; TEXT(ABS(U34)/1000,"0") &amp; "K = " &amp; TEXT(G34/1000,"#.##0") &amp; "K")</f>
        <v/>
      </c>
    </row>
    <row r="35" ht="15.95" customHeight="1" s="35">
      <c r="A35" t="inlineStr">
        <is>
          <t>AirPods Pro 3</t>
        </is>
      </c>
      <c r="B35" s="3" t="n"/>
      <c r="C35" s="136" t="n">
        <v>6590000</v>
      </c>
      <c r="D35" s="136" t="n">
        <v>6590000</v>
      </c>
      <c r="E35" s="135" t="n">
        <v>6290000</v>
      </c>
      <c r="F35" s="133" t="n">
        <v>6590000</v>
      </c>
      <c r="G35" s="111" t="n">
        <v>6390000</v>
      </c>
      <c r="H35" s="154" t="n"/>
      <c r="M35" s="149">
        <f>IFERROR(C35-W1Q3FY26!C34,"OOS")</f>
        <v/>
      </c>
      <c r="N35" s="147">
        <f>IF(M35=0,"",$A35 &amp; IF(M35&gt;0," tăng "," giảm ") &amp; TEXT(ABS(M35)/1000,"0") &amp; "K = " &amp; TEXT(C35/1000,"#.##0") &amp; "K")</f>
        <v/>
      </c>
      <c r="O35" s="150">
        <f>IFERROR(D35-W1Q3FY26!D34,"OOS")</f>
        <v/>
      </c>
      <c r="P35" s="147">
        <f>IF(O35=0,"",$A35 &amp; IF(O35&gt;0," tăng "," giảm ") &amp; TEXT(ABS(O35)/1000,"0") &amp; "K = " &amp; TEXT(D35/1000,"#.##0") &amp; "K")</f>
        <v/>
      </c>
      <c r="Q35" s="150">
        <f>IFERROR(E35-W1Q3FY26!E34,"OOS")</f>
        <v/>
      </c>
      <c r="R35" s="147">
        <f>IF(Q35=0,"",$A35 &amp; IF(Q35&gt;0," tăng "," giảm ") &amp; TEXT(ABS(Q35)/1000,"0") &amp; "K = " &amp; TEXT(E35/1000,"#.##0") &amp; "K")</f>
        <v/>
      </c>
      <c r="S35" s="150">
        <f>IFERROR(F35-W1Q3FY26!F34,"OOS")</f>
        <v/>
      </c>
      <c r="T35" s="147">
        <f>IF(S35=0,"",$A35 &amp; IF(S35&gt;0," tăng "," giảm ") &amp; TEXT(ABS(S35)/1000,"0") &amp; "K = " &amp; TEXT(F35/1000,"#.##0") &amp; "K")</f>
        <v/>
      </c>
      <c r="U35" s="150">
        <f>IFERROR(G35-W1Q3FY26!G34,"OOS")</f>
        <v/>
      </c>
      <c r="V35" s="147">
        <f>IF(U35=0,"",$A35 &amp; IF(U35&gt;0," tăng "," giảm ") &amp; TEXT(ABS(U35)/1000,"0") &amp; "K = " &amp; TEXT(G35/1000,"#.##0") &amp; "K")</f>
        <v/>
      </c>
    </row>
    <row r="36" ht="15.95" customHeight="1" s="35">
      <c r="A36" t="inlineStr">
        <is>
          <t>MacBook Air 13" M2 16/256GB</t>
        </is>
      </c>
      <c r="B36" s="25" t="n"/>
      <c r="C36" s="141" t="inlineStr">
        <is>
          <t>OOS</t>
        </is>
      </c>
      <c r="D36" s="136" t="n">
        <v>19990000</v>
      </c>
      <c r="E36" s="143" t="n"/>
      <c r="F36" s="111" t="inlineStr">
        <is>
          <t>OOS</t>
        </is>
      </c>
      <c r="G36" s="111" t="inlineStr">
        <is>
          <t>OOS</t>
        </is>
      </c>
      <c r="H36" s="154" t="n"/>
      <c r="M36" s="149">
        <f>IFERROR(C36-W1Q3FY26!C35,"OOS")</f>
        <v/>
      </c>
      <c r="N36" s="147">
        <f>IF(M36=0,"",$A36 &amp; IF(M36&gt;0," tăng "," giảm ") &amp; TEXT(ABS(M36)/1000,"0") &amp; "K = " &amp; TEXT(C36/1000,"#.##0") &amp; "K")</f>
        <v/>
      </c>
      <c r="O36" s="150">
        <f>IFERROR(D36-W1Q3FY26!D35,"OOS")</f>
        <v/>
      </c>
      <c r="P36" s="147">
        <f>IF(O36=0,"",$A36 &amp; IF(O36&gt;0," tăng "," giảm ") &amp; TEXT(ABS(O36)/1000,"0") &amp; "K = " &amp; TEXT(D36/1000,"#.##0") &amp; "K")</f>
        <v/>
      </c>
      <c r="Q36" s="150">
        <f>IFERROR(E36-W1Q3FY26!E35,"OOS")</f>
        <v/>
      </c>
      <c r="R36" s="147">
        <f>IF(Q36=0,"",$A36 &amp; IF(Q36&gt;0," tăng "," giảm ") &amp; TEXT(ABS(Q36)/1000,"0") &amp; "K = " &amp; TEXT(E36/1000,"#.##0") &amp; "K")</f>
        <v/>
      </c>
      <c r="S36" s="150">
        <f>IFERROR(F36-W1Q3FY26!F35,"OOS")</f>
        <v/>
      </c>
      <c r="T36" s="147">
        <f>IF(S36=0,"",$A36 &amp; IF(S36&gt;0," tăng "," giảm ") &amp; TEXT(ABS(S36)/1000,"0") &amp; "K = " &amp; TEXT(F36/1000,"#.##0") &amp; "K")</f>
        <v/>
      </c>
      <c r="U36" s="150">
        <f>IFERROR(G36-W1Q3FY26!G35,"OOS")</f>
        <v/>
      </c>
      <c r="V36" s="147">
        <f>IF(U36=0,"",$A36 &amp; IF(U36&gt;0," tăng "," giảm ") &amp; TEXT(ABS(U36)/1000,"0") &amp; "K = " &amp; TEXT(G36/1000,"#.##0") &amp; "K")</f>
        <v/>
      </c>
    </row>
    <row r="37" ht="15.95" customHeight="1" s="35">
      <c r="A37" t="inlineStr">
        <is>
          <t>MacBook Air 13" M5 16/512GB</t>
        </is>
      </c>
      <c r="B37" s="25" t="n"/>
      <c r="C37" s="136" t="n">
        <v>29990000</v>
      </c>
      <c r="D37" s="136" t="n">
        <v>29990000</v>
      </c>
      <c r="E37" s="143" t="n"/>
      <c r="F37" s="111" t="n">
        <v>29990000</v>
      </c>
      <c r="G37" s="111" t="n">
        <v>29990000</v>
      </c>
      <c r="H37" s="154" t="n"/>
      <c r="M37" s="149">
        <f>IFERROR(C37-W1Q3FY26!C36,"OOS")</f>
        <v/>
      </c>
      <c r="N37" s="147">
        <f>IF(M37=0,"",$A37 &amp; IF(M37&gt;0," tăng "," giảm ") &amp; TEXT(ABS(M37)/1000,"0") &amp; "K = " &amp; TEXT(C37/1000,"#.##0") &amp; "K")</f>
        <v/>
      </c>
      <c r="O37" s="150">
        <f>IFERROR(D37-W1Q3FY26!D36,"OOS")</f>
        <v/>
      </c>
      <c r="P37" s="147">
        <f>IF(O37=0,"",$A37 &amp; IF(O37&gt;0," tăng "," giảm ") &amp; TEXT(ABS(O37)/1000,"0") &amp; "K = " &amp; TEXT(D37/1000,"#.##0") &amp; "K")</f>
        <v/>
      </c>
      <c r="Q37" s="150">
        <f>IFERROR(E37-W1Q3FY26!E36,"OOS")</f>
        <v/>
      </c>
      <c r="R37" s="147">
        <f>IF(Q37=0,"",$A37 &amp; IF(Q37&gt;0," tăng "," giảm ") &amp; TEXT(ABS(Q37)/1000,"0") &amp; "K = " &amp; TEXT(E37/1000,"#.##0") &amp; "K")</f>
        <v/>
      </c>
      <c r="S37" s="150">
        <f>IFERROR(F37-W1Q3FY26!F36,"OOS")</f>
        <v/>
      </c>
      <c r="T37" s="147">
        <f>IF(S37=0,"",$A37 &amp; IF(S37&gt;0," tăng "," giảm ") &amp; TEXT(ABS(S37)/1000,"0") &amp; "K = " &amp; TEXT(F37/1000,"#.##0") &amp; "K")</f>
        <v/>
      </c>
      <c r="U37" s="150">
        <f>IFERROR(G37-W1Q3FY26!G36,"OOS")</f>
        <v/>
      </c>
      <c r="V37" s="147">
        <f>IF(U37=0,"",$A37 &amp; IF(U37&gt;0," tăng "," giảm ") &amp; TEXT(ABS(U37)/1000,"0") &amp; "K = " &amp; TEXT(G37/1000,"#.##0") &amp; "K")</f>
        <v/>
      </c>
    </row>
    <row r="38" ht="15.95" customHeight="1" s="35">
      <c r="A38" t="inlineStr">
        <is>
          <t>MacBook NEO A18 Pro ( 8/256GB)</t>
        </is>
      </c>
      <c r="B38" s="25" t="n"/>
      <c r="C38" s="136" t="n">
        <v>16490000</v>
      </c>
      <c r="D38" s="136" t="n">
        <v>16490000</v>
      </c>
      <c r="E38" s="143" t="n"/>
      <c r="F38" s="111" t="n">
        <v>16490000</v>
      </c>
      <c r="G38" s="111" t="n">
        <v>16499000</v>
      </c>
      <c r="H38" s="154" t="n"/>
      <c r="M38" s="149">
        <f>IFERROR(C38-W1Q3FY26!C37,"OOS")</f>
        <v/>
      </c>
      <c r="N38" s="147">
        <f>IF(M38=0,"",$A38 &amp; IF(M38&gt;0," tăng "," giảm ") &amp; TEXT(ABS(M38)/1000,"0") &amp; "K = " &amp; TEXT(C38/1000,"#.##0") &amp; "K")</f>
        <v/>
      </c>
      <c r="O38" s="150">
        <f>IFERROR(D38-W1Q3FY26!D37,"OOS")</f>
        <v/>
      </c>
      <c r="P38" s="147">
        <f>IF(O38=0,"",$A38 &amp; IF(O38&gt;0," tăng "," giảm ") &amp; TEXT(ABS(O38)/1000,"0") &amp; "K = " &amp; TEXT(D38/1000,"#.##0") &amp; "K")</f>
        <v/>
      </c>
      <c r="Q38" s="150">
        <f>IFERROR(E38-W1Q3FY26!E37,"OOS")</f>
        <v/>
      </c>
      <c r="R38" s="147">
        <f>IF(Q38=0,"",$A38 &amp; IF(Q38&gt;0," tăng "," giảm ") &amp; TEXT(ABS(Q38)/1000,"0") &amp; "K = " &amp; TEXT(E38/1000,"#.##0") &amp; "K")</f>
        <v/>
      </c>
      <c r="S38" s="150">
        <f>IFERROR(F38-W1Q3FY26!F37,"OOS")</f>
        <v/>
      </c>
      <c r="T38" s="147">
        <f>IF(S38=0,"",$A38 &amp; IF(S38&gt;0," tăng "," giảm ") &amp; TEXT(ABS(S38)/1000,"0") &amp; "K = " &amp; TEXT(F38/1000,"#.##0") &amp; "K")</f>
        <v/>
      </c>
      <c r="U38" s="150">
        <f>IFERROR(G38-W1Q3FY26!G37,"OOS")</f>
        <v/>
      </c>
      <c r="V38" s="147">
        <f>IF(U38=0,"",$A38 &amp; IF(U38&gt;0," tăng "," giảm ") &amp; TEXT(ABS(U38)/1000,"0") &amp; "K = " &amp; TEXT(G38/1000,"#.##0") &amp; "K")</f>
        <v/>
      </c>
    </row>
    <row r="39" ht="15.95" customHeight="1" s="35">
      <c r="A39" t="inlineStr">
        <is>
          <t>MacBook Air 13" M4 16/256GB</t>
        </is>
      </c>
      <c r="B39" s="3" t="n"/>
      <c r="C39" s="141" t="n">
        <v>25590000</v>
      </c>
      <c r="D39" s="136" t="inlineStr">
        <is>
          <t>OOS</t>
        </is>
      </c>
      <c r="E39" s="143" t="n"/>
      <c r="F39" s="134" t="n">
        <v>25590000</v>
      </c>
      <c r="G39" s="111" t="n">
        <v>24590000</v>
      </c>
      <c r="H39" s="154" t="n"/>
      <c r="J39" t="inlineStr">
        <is>
          <t>`</t>
        </is>
      </c>
      <c r="M39" s="149">
        <f>IFERROR(C39-W1Q3FY26!C38,"OOS")</f>
        <v/>
      </c>
      <c r="N39" s="147">
        <f>IF(M39=0,"",$A39 &amp; IF(M39&gt;0," tăng "," giảm ") &amp; TEXT(ABS(M39)/1000,"0") &amp; "K = " &amp; TEXT(C39/1000,"#.##0") &amp; "K")</f>
        <v/>
      </c>
      <c r="O39" s="150">
        <f>IFERROR(D39-W1Q3FY26!D38,"OOS")</f>
        <v/>
      </c>
      <c r="P39" s="147">
        <f>IF(O39=0,"",$A39 &amp; IF(O39&gt;0," tăng "," giảm ") &amp; TEXT(ABS(O39)/1000,"0") &amp; "K = " &amp; TEXT(D39/1000,"#.##0") &amp; "K")</f>
        <v/>
      </c>
      <c r="Q39" s="150">
        <f>IFERROR(E39-W1Q3FY26!E38,"OOS")</f>
        <v/>
      </c>
      <c r="R39" s="147">
        <f>IF(Q39=0,"",$A39 &amp; IF(Q39&gt;0," tăng "," giảm ") &amp; TEXT(ABS(Q39)/1000,"0") &amp; "K = " &amp; TEXT(E39/1000,"#.##0") &amp; "K")</f>
        <v/>
      </c>
      <c r="S39" s="150">
        <f>IFERROR(F39-W1Q3FY26!F38,"OOS")</f>
        <v/>
      </c>
      <c r="T39" s="147">
        <f>IF(S39=0,"",$A39 &amp; IF(S39&gt;0," tăng "," giảm ") &amp; TEXT(ABS(S39)/1000,"0") &amp; "K = " &amp; TEXT(F39/1000,"#.##0") &amp; "K")</f>
        <v/>
      </c>
      <c r="U39" s="150">
        <f>IFERROR(G39-W1Q3FY26!G38,"OOS")</f>
        <v/>
      </c>
      <c r="V39" s="147">
        <f>IF(U39=0,"",$A39 &amp; IF(U39&gt;0," tăng "," giảm ") &amp; TEXT(ABS(U39)/1000,"0") &amp; "K = " &amp; TEXT(G39/1000,"#.##0") &amp; "K")</f>
        <v/>
      </c>
    </row>
    <row r="40" ht="15.95" customHeight="1" s="35">
      <c r="A40" t="inlineStr">
        <is>
          <t>MacBook Air 15" M4 16/256GB</t>
        </is>
      </c>
      <c r="B40" s="25" t="n"/>
      <c r="C40" s="136" t="n">
        <v>29990000</v>
      </c>
      <c r="D40" s="141" t="n">
        <v>29490000</v>
      </c>
      <c r="E40" s="143" t="n"/>
      <c r="F40" s="133" t="n">
        <v>29990000</v>
      </c>
      <c r="G40" s="111" t="n">
        <v>28990000</v>
      </c>
      <c r="H40" s="154" t="n"/>
      <c r="M40" s="149">
        <f>IFERROR(C40-W1Q3FY26!C39,"OOS")</f>
        <v/>
      </c>
      <c r="N40" s="147">
        <f>IF(M40=0,"",$A40 &amp; IF(M40&gt;0," tăng "," giảm ") &amp; TEXT(ABS(M40)/1000,"0") &amp; "K = " &amp; TEXT(C40/1000,"#.##0") &amp; "K")</f>
        <v/>
      </c>
      <c r="O40" s="150">
        <f>IFERROR(D40-W1Q3FY26!D39,"OOS")</f>
        <v/>
      </c>
      <c r="P40" s="147">
        <f>IF(O40=0,"",$A40 &amp; IF(O40&gt;0," tăng "," giảm ") &amp; TEXT(ABS(O40)/1000,"0") &amp; "K = " &amp; TEXT(D40/1000,"#.##0") &amp; "K")</f>
        <v/>
      </c>
      <c r="Q40" s="150">
        <f>IFERROR(E40-W1Q3FY26!E39,"OOS")</f>
        <v/>
      </c>
      <c r="R40" s="147">
        <f>IF(Q40=0,"",$A40 &amp; IF(Q40&gt;0," tăng "," giảm ") &amp; TEXT(ABS(Q40)/1000,"0") &amp; "K = " &amp; TEXT(E40/1000,"#.##0") &amp; "K")</f>
        <v/>
      </c>
      <c r="S40" s="150">
        <f>IFERROR(F40-W1Q3FY26!F39,"OOS")</f>
        <v/>
      </c>
      <c r="T40" s="147">
        <f>IF(S40=0,"",$A40 &amp; IF(S40&gt;0," tăng "," giảm ") &amp; TEXT(ABS(S40)/1000,"0") &amp; "K = " &amp; TEXT(F40/1000,"#.##0") &amp; "K")</f>
        <v/>
      </c>
      <c r="U40" s="150">
        <f>IFERROR(G40-W1Q3FY26!G39,"OOS")</f>
        <v/>
      </c>
      <c r="V40" s="147">
        <f>IF(U40=0,"",$A40 &amp; IF(U40&gt;0," tăng "," giảm ") &amp; TEXT(ABS(U40)/1000,"0") &amp; "K = " &amp; TEXT(G40/1000,"#.##0") &amp; "K")</f>
        <v/>
      </c>
    </row>
    <row r="41" ht="15.95" customHeight="1" s="35">
      <c r="A41" t="inlineStr">
        <is>
          <t>MacBook Pro 14" M4 16/512GB</t>
        </is>
      </c>
      <c r="B41" s="25" t="n"/>
      <c r="C41" s="136" t="inlineStr">
        <is>
          <t>OOS</t>
        </is>
      </c>
      <c r="D41" s="136" t="inlineStr">
        <is>
          <t>OOS</t>
        </is>
      </c>
      <c r="E41" s="143" t="n"/>
      <c r="F41" s="111" t="inlineStr">
        <is>
          <t>OOS</t>
        </is>
      </c>
      <c r="G41" s="111" t="n">
        <v>38390000</v>
      </c>
      <c r="H41" s="154" t="n"/>
      <c r="M41" s="149">
        <f>IFERROR(C41-W1Q3FY26!C40,"OOS")</f>
        <v/>
      </c>
      <c r="N41" s="147">
        <f>IF(M41=0,"",$A41 &amp; IF(M41&gt;0," tăng "," giảm ") &amp; TEXT(ABS(M41)/1000,"0") &amp; "K = " &amp; TEXT(C41/1000,"#.##0") &amp; "K")</f>
        <v/>
      </c>
      <c r="O41" s="150">
        <f>IFERROR(D41-W1Q3FY26!D40,"OOS")</f>
        <v/>
      </c>
      <c r="P41" s="147">
        <f>IF(O41=0,"",$A41 &amp; IF(O41&gt;0," tăng "," giảm ") &amp; TEXT(ABS(O41)/1000,"0") &amp; "K = " &amp; TEXT(D41/1000,"#.##0") &amp; "K")</f>
        <v/>
      </c>
      <c r="Q41" s="150">
        <f>IFERROR(E41-W1Q3FY26!E40,"OOS")</f>
        <v/>
      </c>
      <c r="R41" s="147">
        <f>IF(Q41=0,"",$A41 &amp; IF(Q41&gt;0," tăng "," giảm ") &amp; TEXT(ABS(Q41)/1000,"0") &amp; "K = " &amp; TEXT(E41/1000,"#.##0") &amp; "K")</f>
        <v/>
      </c>
      <c r="S41" s="150">
        <f>IFERROR(F41-W1Q3FY26!F40,"OOS")</f>
        <v/>
      </c>
      <c r="T41" s="147">
        <f>IF(S41=0,"",$A41 &amp; IF(S41&gt;0," tăng "," giảm ") &amp; TEXT(ABS(S41)/1000,"0") &amp; "K = " &amp; TEXT(F41/1000,"#.##0") &amp; "K")</f>
        <v/>
      </c>
      <c r="U41" s="150">
        <f>IFERROR(G41-W1Q3FY26!G40,"OOS")</f>
        <v/>
      </c>
      <c r="V41" s="147">
        <f>IF(U41=0,"",$A41 &amp; IF(U41&gt;0," tăng "," giảm ") &amp; TEXT(ABS(U41)/1000,"0") &amp; "K = " &amp; TEXT(G41/1000,"#.##0") &amp; "K")</f>
        <v/>
      </c>
    </row>
    <row r="42" ht="15.95" customHeight="1" s="35">
      <c r="A42" t="inlineStr">
        <is>
          <t>MacBook Pro 14" M5 16/512GB</t>
        </is>
      </c>
      <c r="B42" s="25" t="n"/>
      <c r="C42" s="136" t="n">
        <v>41490000</v>
      </c>
      <c r="D42" s="136" t="n">
        <v>41490000</v>
      </c>
      <c r="E42" s="143" t="n"/>
      <c r="F42" s="133" t="n">
        <v>41490000</v>
      </c>
      <c r="G42" s="134" t="n">
        <v>41490000</v>
      </c>
      <c r="H42" s="154" t="n"/>
      <c r="M42" s="149">
        <f>IFERROR(C42-W1Q3FY26!C41,"OOS")</f>
        <v/>
      </c>
      <c r="N42" s="147">
        <f>IF(M42=0,"",$A42 &amp; IF(M42&gt;0," tăng "," giảm ") &amp; TEXT(ABS(M42)/1000,"0") &amp; "K = " &amp; TEXT(C42/1000,"#.##0") &amp; "K")</f>
        <v/>
      </c>
      <c r="O42" s="150">
        <f>IFERROR(D42-W1Q3FY26!D41,"OOS")</f>
        <v/>
      </c>
      <c r="P42" s="147">
        <f>IF(O42=0,"",$A42 &amp; IF(O42&gt;0," tăng "," giảm ") &amp; TEXT(ABS(O42)/1000,"0") &amp; "K = " &amp; TEXT(D42/1000,"#.##0") &amp; "K")</f>
        <v/>
      </c>
      <c r="Q42" s="150">
        <f>IFERROR(E42-W1Q3FY26!E41,"OOS")</f>
        <v/>
      </c>
      <c r="R42" s="147">
        <f>IF(Q42=0,"",$A42 &amp; IF(Q42&gt;0," tăng "," giảm ") &amp; TEXT(ABS(Q42)/1000,"0") &amp; "K = " &amp; TEXT(E42/1000,"#.##0") &amp; "K")</f>
        <v/>
      </c>
      <c r="S42" s="150">
        <f>IFERROR(F42-W1Q3FY26!F41,"OOS")</f>
        <v/>
      </c>
      <c r="T42" s="147">
        <f>IF(S42=0,"",$A42 &amp; IF(S42&gt;0," tăng "," giảm ") &amp; TEXT(ABS(S42)/1000,"0") &amp; "K = " &amp; TEXT(F42/1000,"#.##0") &amp; "K")</f>
        <v/>
      </c>
      <c r="U42" s="150">
        <f>IFERROR(G42-W1Q3FY26!G41,"OOS")</f>
        <v/>
      </c>
      <c r="V42" s="147">
        <f>IF(U42=0,"",$A42 &amp; IF(U42&gt;0," tăng "," giảm ") &amp; TEXT(ABS(U42)/1000,"0") &amp; "K = " &amp; TEXT(G42/1000,"#.##0") &amp; "K")</f>
        <v/>
      </c>
    </row>
    <row r="43" ht="15.95" customHeight="1" s="35">
      <c r="A43" t="inlineStr">
        <is>
          <t>MacBook Pro 16" M4 24/512GB</t>
        </is>
      </c>
      <c r="B43" s="25" t="n"/>
      <c r="C43" s="136" t="inlineStr">
        <is>
          <t>OOS</t>
        </is>
      </c>
      <c r="D43" s="141" t="n">
        <v>63990000</v>
      </c>
      <c r="E43" s="143" t="n"/>
      <c r="F43" s="133" t="n">
        <v>62990000</v>
      </c>
      <c r="G43" s="111" t="n">
        <v>63990000</v>
      </c>
      <c r="H43" s="154" t="n"/>
      <c r="M43" s="149">
        <f>IFERROR(C43-W1Q3FY26!C42,"OOS")</f>
        <v/>
      </c>
      <c r="N43" s="147">
        <f>IF(M43=0,"",$A43 &amp; IF(M43&gt;0," tăng "," giảm ") &amp; TEXT(ABS(M43)/1000,"0") &amp; "K = " &amp; TEXT(C43/1000,"#.##0") &amp; "K")</f>
        <v/>
      </c>
      <c r="O43" s="150">
        <f>IFERROR(D43-W1Q3FY26!D42,"OOS")</f>
        <v/>
      </c>
      <c r="P43" s="147">
        <f>IF(O43=0,"",$A43 &amp; IF(O43&gt;0," tăng "," giảm ") &amp; TEXT(ABS(O43)/1000,"0") &amp; "K = " &amp; TEXT(D43/1000,"#.##0") &amp; "K")</f>
        <v/>
      </c>
      <c r="Q43" s="150">
        <f>IFERROR(E43-W1Q3FY26!E42,"OOS")</f>
        <v/>
      </c>
      <c r="R43" s="147">
        <f>IF(Q43=0,"",$A43 &amp; IF(Q43&gt;0," tăng "," giảm ") &amp; TEXT(ABS(Q43)/1000,"0") &amp; "K = " &amp; TEXT(E43/1000,"#.##0") &amp; "K")</f>
        <v/>
      </c>
      <c r="S43" s="150">
        <f>IFERROR(F43-W1Q3FY26!F42,"OOS")</f>
        <v/>
      </c>
      <c r="T43" s="147">
        <f>IF(S43=0,"",$A43 &amp; IF(S43&gt;0," tăng "," giảm ") &amp; TEXT(ABS(S43)/1000,"0") &amp; "K = " &amp; TEXT(F43/1000,"#.##0") &amp; "K")</f>
        <v/>
      </c>
      <c r="U43" s="150">
        <f>IFERROR(G43-W1Q3FY26!G42,"OOS")</f>
        <v/>
      </c>
      <c r="V43" s="147">
        <f>IF(U43=0,"",$A43 &amp; IF(U43&gt;0," tăng "," giảm ") &amp; TEXT(ABS(U43)/1000,"0") &amp; "K = " &amp; TEXT(G43/1000,"#.##0") &amp; "K")</f>
        <v/>
      </c>
    </row>
    <row r="44" ht="15.95" customHeight="1" s="35">
      <c r="C44" s="125" t="n"/>
      <c r="D44" s="125" t="n"/>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row r="152" ht="15.95" customHeight="1" s="35">
      <c r="C152" s="125" t="n"/>
      <c r="D152" s="125" t="n"/>
    </row>
    <row r="153" ht="15.95" customHeight="1" s="35">
      <c r="C153" s="125" t="n"/>
      <c r="D153" s="125" t="n"/>
    </row>
    <row r="154" ht="15.95" customHeight="1" s="35">
      <c r="C154" s="125" t="n"/>
      <c r="D154" s="125" t="n"/>
    </row>
    <row r="155" ht="15.95" customHeight="1" s="35">
      <c r="C155" s="125" t="n"/>
      <c r="D155" s="125" t="n"/>
    </row>
  </sheetData>
  <conditionalFormatting sqref="E2:E43">
    <cfRule type="expression" priority="5" dxfId="3" stopIfTrue="1">
      <formula>$Q2=0</formula>
    </cfRule>
    <cfRule type="expression" priority="6" dxfId="2" stopIfTrue="1">
      <formula>AND($Q2&lt;&gt;0,$Q2&lt;&gt;"")</formula>
    </cfRule>
  </conditionalFormatting>
  <conditionalFormatting sqref="G9:G11">
    <cfRule type="expression" priority="1" dxfId="3" stopIfTrue="1">
      <formula>$Q9=0</formula>
    </cfRule>
    <cfRule type="expression" priority="2" dxfId="2" stopIfTrue="1">
      <formula>AND($Q9&lt;&gt;0,$Q9&lt;&gt;"")</formula>
    </cfRule>
  </conditionalFormatting>
  <conditionalFormatting sqref="N2:N43 P2:P43 R2:R43 T2:T43 V2:V43">
    <cfRule type="containsText" priority="3" operator="containsText" dxfId="1" text="Tăng">
      <formula>NOT(ISERROR(SEARCH("Tăng",N2)))</formula>
    </cfRule>
    <cfRule type="containsText" priority="4"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3.xml><?xml version="1.0" encoding="utf-8"?>
<worksheet xmlns="http://schemas.openxmlformats.org/spreadsheetml/2006/main">
  <sheetPr>
    <outlinePr summaryBelow="1" summaryRight="1"/>
    <pageSetUpPr/>
  </sheetPr>
  <dimension ref="A1:Y154"/>
  <sheetViews>
    <sheetView showGridLines="0" zoomScale="80" zoomScaleNormal="80" workbookViewId="0">
      <pane xSplit="2" ySplit="1" topLeftCell="K36" activePane="bottomRight" state="frozen"/>
      <selection pane="bottomRight" activeCell="C1" sqref="C1"/>
      <selection pane="bottomLeft" activeCell="A2" sqref="A2"/>
      <selection pane="topRight" activeCell="C1" sqref="C1"/>
    </sheetView>
  </sheetViews>
  <sheetFormatPr baseColWidth="8" defaultColWidth="11" defaultRowHeight="15.75" customHeight="1"/>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8.3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ht="15.95" customHeight="1" s="35">
      <c r="A2" t="inlineStr">
        <is>
          <t>iPhone 17e 256GB</t>
        </is>
      </c>
      <c r="B2" s="83" t="n"/>
      <c r="C2" s="127" t="n">
        <v>17990000</v>
      </c>
      <c r="D2" s="128" t="n">
        <v>17790000</v>
      </c>
      <c r="E2" s="135" t="n">
        <v>17290000</v>
      </c>
      <c r="F2" s="158" t="n">
        <v>17490000</v>
      </c>
      <c r="G2" s="112" t="n">
        <v>17490000</v>
      </c>
      <c r="H2" s="154" t="n"/>
      <c r="M2" s="149">
        <f>IFERROR(C2-W2Q3FY26!C2,"OOS")</f>
        <v/>
      </c>
      <c r="N2" s="147">
        <f>IF(M2=0,"",$A2 &amp; IF(M2&gt;0," tăng "," giảm ") &amp; TEXT(ABS(M2)/1000,"0") &amp; "K = " &amp; TEXT(C2/1000,"#.##0") &amp; "K")</f>
        <v/>
      </c>
      <c r="O2" s="150">
        <f>IFERROR(D2-W2Q3FY26!D2,"OOS")</f>
        <v/>
      </c>
      <c r="P2" s="147">
        <f>IF(O2=0,"",$A2 &amp; IF(O2&gt;0," tăng "," giảm ") &amp; TEXT(ABS(O2)/1000,"0") &amp; "K = " &amp; TEXT(D2/1000,"#.##0") &amp; "K")</f>
        <v/>
      </c>
      <c r="Q2" s="150">
        <f>IFERROR(E2-W2Q3FY26!E2,"OOS")</f>
        <v/>
      </c>
      <c r="R2" s="147">
        <f>IF(Q2=0,"",$A2 &amp; IF(Q2&gt;0," tăng "," giảm ") &amp; TEXT(ABS(Q2)/1000,"0") &amp; "K = " &amp; TEXT(E2/1000,"#.##0") &amp; "K")</f>
        <v/>
      </c>
      <c r="S2" s="150">
        <f>IFERROR(F2-W2Q3FY26!F2,"OOS")</f>
        <v/>
      </c>
      <c r="T2" s="147">
        <f>IF(S2=0,"",$A2 &amp; IF(S2&gt;0," tăng "," giảm ") &amp; TEXT(ABS(S2)/1000,"0") &amp; "K = " &amp; TEXT(F2/1000,"#.##0") &amp; "K")</f>
        <v/>
      </c>
      <c r="U2" s="150">
        <f>IFERROR(G2-W2Q3FY26!G2,"OOS")</f>
        <v/>
      </c>
      <c r="V2" s="147">
        <f>IF(U2=0,"",$A2 &amp; IF(U2&gt;0," tăng "," giảm ") &amp; TEXT(ABS(U2)/1000,"0") &amp; "K = " &amp; TEXT(G2/1000,"#.##0") &amp; "K")</f>
        <v/>
      </c>
    </row>
    <row r="3" ht="15.95" customHeight="1" s="35">
      <c r="A3" t="inlineStr">
        <is>
          <t>iPhone 17  256GB</t>
        </is>
      </c>
      <c r="B3" s="83" t="n"/>
      <c r="C3" s="128" t="n">
        <v>24490000</v>
      </c>
      <c r="D3" s="128" t="n">
        <v>24490000</v>
      </c>
      <c r="E3" s="131" t="n">
        <v>24190000</v>
      </c>
      <c r="F3" s="161" t="n">
        <v>24390000</v>
      </c>
      <c r="G3" s="111" t="n">
        <v>24190000</v>
      </c>
      <c r="H3" s="154" t="n"/>
      <c r="M3" s="149">
        <f>IFERROR(C3-W2Q3FY26!C3,"OOS")</f>
        <v/>
      </c>
      <c r="N3" s="147">
        <f>IF(M3=0,"",$A3 &amp; IF(M3&gt;0," tăng "," giảm ") &amp; TEXT(ABS(M3)/1000,"0") &amp; "K = " &amp; TEXT(C3/1000,"#.##0") &amp; "K")</f>
        <v/>
      </c>
      <c r="O3" s="150">
        <f>IFERROR(D3-W2Q3FY26!D3,"OOS")</f>
        <v/>
      </c>
      <c r="P3" s="147">
        <f>IF(O3=0,"",$A3 &amp; IF(O3&gt;0," tăng "," giảm ") &amp; TEXT(ABS(O3)/1000,"0") &amp; "K = " &amp; TEXT(D3/1000,"#.##0") &amp; "K")</f>
        <v/>
      </c>
      <c r="Q3" s="150">
        <f>IFERROR(E3-W2Q3FY26!E3,"OOS")</f>
        <v/>
      </c>
      <c r="R3" s="147">
        <f>IF(Q3=0,"",$A3 &amp; IF(Q3&gt;0," tăng "," giảm ") &amp; TEXT(ABS(Q3)/1000,"0") &amp; "K = " &amp; TEXT(E3/1000,"#.##0") &amp; "K")</f>
        <v/>
      </c>
      <c r="S3" s="150">
        <f>IFERROR(F3-W2Q3FY26!F3,"OOS")</f>
        <v/>
      </c>
      <c r="T3" s="147">
        <f>IF(S3=0,"",$A3 &amp; IF(S3&gt;0," tăng "," giảm ") &amp; TEXT(ABS(S3)/1000,"0") &amp; "K = " &amp; TEXT(F3/1000,"#.##0") &amp; "K")</f>
        <v/>
      </c>
      <c r="U3" s="150">
        <f>IFERROR(G3-W2Q3FY26!G3,"OOS")</f>
        <v/>
      </c>
      <c r="V3" s="147">
        <f>IF(U3=0,"",$A3 &amp; IF(U3&gt;0," tăng "," giảm ") &amp; TEXT(ABS(U3)/1000,"0") &amp; "K = " &amp; TEXT(G3/1000,"#.##0") &amp; "K")</f>
        <v/>
      </c>
    </row>
    <row r="4" ht="15.95" customHeight="1" s="35">
      <c r="A4" t="inlineStr">
        <is>
          <t>iPhone Air 256G</t>
        </is>
      </c>
      <c r="B4" s="83" t="n"/>
      <c r="C4" s="128" t="n">
        <v>22990000</v>
      </c>
      <c r="D4" s="130" t="n">
        <v>22990000</v>
      </c>
      <c r="E4" s="131" t="n">
        <v>23490000</v>
      </c>
      <c r="F4" s="133" t="n">
        <v>22990000</v>
      </c>
      <c r="G4" s="112" t="n">
        <v>23490000</v>
      </c>
      <c r="H4" s="154" t="n"/>
      <c r="M4" s="149">
        <f>IFERROR(C4-W2Q3FY26!C4,"OOS")</f>
        <v/>
      </c>
      <c r="N4" s="147">
        <f>IF(M4=0,"",$A4 &amp; IF(M4&gt;0," tăng "," giảm ") &amp; TEXT(ABS(M4)/1000,"0") &amp; "K = " &amp; TEXT(C4/1000,"#.##0") &amp; "K")</f>
        <v/>
      </c>
      <c r="O4" s="150">
        <f>IFERROR(D4-W2Q3FY26!D4,"OOS")</f>
        <v/>
      </c>
      <c r="P4" s="147">
        <f>IF(O4=0,"",$A4 &amp; IF(O4&gt;0," tăng "," giảm ") &amp; TEXT(ABS(O4)/1000,"0") &amp; "K = " &amp; TEXT(D4/1000,"#.##0") &amp; "K")</f>
        <v/>
      </c>
      <c r="Q4" s="150">
        <f>IFERROR(E4-W2Q3FY26!E4,"OOS")</f>
        <v/>
      </c>
      <c r="R4" s="147">
        <f>IF(Q4=0,"",$A4 &amp; IF(Q4&gt;0," tăng "," giảm ") &amp; TEXT(ABS(Q4)/1000,"0") &amp; "K = " &amp; TEXT(E4/1000,"#.##0") &amp; "K")</f>
        <v/>
      </c>
      <c r="S4" s="150">
        <f>IFERROR(F4-W2Q3FY26!F4,"OOS")</f>
        <v/>
      </c>
      <c r="T4" s="147">
        <f>IF(S4=0,"",$A4 &amp; IF(S4&gt;0," tăng "," giảm ") &amp; TEXT(ABS(S4)/1000,"0") &amp; "K = " &amp; TEXT(F4/1000,"#.##0") &amp; "K")</f>
        <v/>
      </c>
      <c r="U4" s="150">
        <f>IFERROR(G4-W2Q3FY26!G4,"OOS")</f>
        <v/>
      </c>
      <c r="V4" s="147">
        <f>IF(U4=0,"",$A4 &amp; IF(U4&gt;0," tăng "," giảm ") &amp; TEXT(ABS(U4)/1000,"0") &amp; "K = " &amp; TEXT(G4/1000,"#.##0") &amp; "K")</f>
        <v/>
      </c>
    </row>
    <row r="5" ht="15.95" customHeight="1" s="35">
      <c r="A5" t="inlineStr">
        <is>
          <t>iPhone 17 Pro 256GB</t>
        </is>
      </c>
      <c r="B5" s="83" t="n"/>
      <c r="C5" s="128" t="n">
        <v>34890000</v>
      </c>
      <c r="D5" s="130" t="n">
        <v>34790000</v>
      </c>
      <c r="E5" s="131" t="n">
        <v>33190000</v>
      </c>
      <c r="F5" s="133" t="n">
        <v>34790000</v>
      </c>
      <c r="G5" s="112" t="n">
        <v>33990000</v>
      </c>
      <c r="H5" s="154" t="n"/>
      <c r="M5" s="149">
        <f>IFERROR(C5-W2Q3FY26!C5,"OOS")</f>
        <v/>
      </c>
      <c r="N5" s="147">
        <f>IF(M5=0,"",$A5 &amp; IF(M5&gt;0," tăng "," giảm ") &amp; TEXT(ABS(M5)/1000,"0") &amp; "K = " &amp; TEXT(C5/1000,"#.##0") &amp; "K")</f>
        <v/>
      </c>
      <c r="O5" s="150">
        <f>IFERROR(D5-W2Q3FY26!D5,"OOS")</f>
        <v/>
      </c>
      <c r="P5" s="147">
        <f>IF(O5=0,"",$A5 &amp; IF(O5&gt;0," tăng "," giảm ") &amp; TEXT(ABS(O5)/1000,"0") &amp; "K = " &amp; TEXT(D5/1000,"#.##0") &amp; "K")</f>
        <v/>
      </c>
      <c r="Q5" s="150">
        <f>IFERROR(E5-W2Q3FY26!E5,"OOS")</f>
        <v/>
      </c>
      <c r="R5" s="147">
        <f>IF(Q5=0,"",$A5 &amp; IF(Q5&gt;0," tăng "," giảm ") &amp; TEXT(ABS(Q5)/1000,"0") &amp; "K = " &amp; TEXT(E5/1000,"#.##0") &amp; "K")</f>
        <v/>
      </c>
      <c r="S5" s="150">
        <f>IFERROR(F5-W2Q3FY26!F5,"OOS")</f>
        <v/>
      </c>
      <c r="T5" s="147">
        <f>IF(S5=0,"",$A5 &amp; IF(S5&gt;0," tăng "," giảm ") &amp; TEXT(ABS(S5)/1000,"0") &amp; "K = " &amp; TEXT(F5/1000,"#.##0") &amp; "K")</f>
        <v/>
      </c>
      <c r="U5" s="150">
        <f>IFERROR(G5-W2Q3FY26!G5,"OOS")</f>
        <v/>
      </c>
      <c r="V5" s="147">
        <f>IF(U5=0,"",$A5 &amp; IF(U5&gt;0," tăng "," giảm ") &amp; TEXT(ABS(U5)/1000,"0") &amp; "K = " &amp; TEXT(G5/1000,"#.##0") &amp; "K")</f>
        <v/>
      </c>
    </row>
    <row r="6" ht="15.95" customHeight="1" s="35">
      <c r="A6" t="inlineStr">
        <is>
          <t>iPhone 17 Pro Max 256GB</t>
        </is>
      </c>
      <c r="B6" s="83" t="n"/>
      <c r="C6" s="130" t="n">
        <v>36990000</v>
      </c>
      <c r="D6" s="128" t="n">
        <v>36990000</v>
      </c>
      <c r="E6" s="135" t="n">
        <v>36290000</v>
      </c>
      <c r="F6" s="134" t="n">
        <v>36990000</v>
      </c>
      <c r="G6" s="112" t="n">
        <v>36990000</v>
      </c>
      <c r="H6" s="154" t="n"/>
      <c r="M6" s="149">
        <f>IFERROR(C6-W2Q3FY26!C6,"OOS")</f>
        <v/>
      </c>
      <c r="N6" s="147">
        <f>IF(M6=0,"",$A6 &amp; IF(M6&gt;0," tăng "," giảm ") &amp; TEXT(ABS(M6)/1000,"0") &amp; "K = " &amp; TEXT(C6/1000,"#.##0") &amp; "K")</f>
        <v/>
      </c>
      <c r="O6" s="150">
        <f>IFERROR(D6-W2Q3FY26!D6,"OOS")</f>
        <v/>
      </c>
      <c r="P6" s="147">
        <f>IF(O6=0,"",$A6 &amp; IF(O6&gt;0," tăng "," giảm ") &amp; TEXT(ABS(O6)/1000,"0") &amp; "K = " &amp; TEXT(D6/1000,"#.##0") &amp; "K")</f>
        <v/>
      </c>
      <c r="Q6" s="150">
        <f>IFERROR(E6-W2Q3FY26!E6,"OOS")</f>
        <v/>
      </c>
      <c r="R6" s="147">
        <f>IF(Q6=0,"",$A6 &amp; IF(Q6&gt;0," tăng "," giảm ") &amp; TEXT(ABS(Q6)/1000,"0") &amp; "K = " &amp; TEXT(E6/1000,"#.##0") &amp; "K")</f>
        <v/>
      </c>
      <c r="S6" s="150">
        <f>IFERROR(F6-W2Q3FY26!F6,"OOS")</f>
        <v/>
      </c>
      <c r="T6" s="147">
        <f>IF(S6=0,"",$A6 &amp; IF(S6&gt;0," tăng "," giảm ") &amp; TEXT(ABS(S6)/1000,"0") &amp; "K = " &amp; TEXT(F6/1000,"#.##0") &amp; "K")</f>
        <v/>
      </c>
      <c r="U6" s="150">
        <f>IFERROR(G6-W2Q3FY26!G6,"OOS")</f>
        <v/>
      </c>
      <c r="V6" s="147">
        <f>IF(U6=0,"",$A6 &amp; IF(U6&gt;0," tăng "," giảm ") &amp; TEXT(ABS(U6)/1000,"0") &amp; "K = " &amp; TEXT(G6/1000,"#.##0") &amp; "K")</f>
        <v/>
      </c>
    </row>
    <row r="7" ht="15.95" customHeight="1" s="35">
      <c r="A7" t="inlineStr">
        <is>
          <t>iPhone 16e  128GB</t>
        </is>
      </c>
      <c r="B7" s="83" t="n"/>
      <c r="C7" s="128" t="n">
        <v>15990000</v>
      </c>
      <c r="D7" s="136" t="n">
        <v>16690000</v>
      </c>
      <c r="E7" s="135" t="n">
        <v>11990000</v>
      </c>
      <c r="F7" s="137" t="n">
        <v>11990000</v>
      </c>
      <c r="G7" s="111" t="n">
        <v>15190000</v>
      </c>
      <c r="H7" s="154" t="n"/>
      <c r="M7" s="149">
        <f>IFERROR(C7-W2Q3FY26!C7,"OOS")</f>
        <v/>
      </c>
      <c r="N7" s="147">
        <f>IF(M7=0,"",$A7 &amp; IF(M7&gt;0," tăng "," giảm ") &amp; TEXT(ABS(M7)/1000,"0") &amp; "K = " &amp; TEXT(C7/1000,"#.##0") &amp; "K")</f>
        <v/>
      </c>
      <c r="O7" s="150">
        <f>IFERROR(D7-W2Q3FY26!D7,"OOS")</f>
        <v/>
      </c>
      <c r="P7" s="147">
        <f>IF(O7=0,"",$A7 &amp; IF(O7&gt;0," tăng "," giảm ") &amp; TEXT(ABS(O7)/1000,"0") &amp; "K = " &amp; TEXT(D7/1000,"#.##0") &amp; "K")</f>
        <v/>
      </c>
      <c r="Q7" s="150">
        <f>IFERROR(E7-W2Q3FY26!E7,"OOS")</f>
        <v/>
      </c>
      <c r="R7" s="147">
        <f>IF(Q7=0,"",$A7 &amp; IF(Q7&gt;0," tăng "," giảm ") &amp; TEXT(ABS(Q7)/1000,"0") &amp; "K = " &amp; TEXT(E7/1000,"#.##0") &amp; "K")</f>
        <v/>
      </c>
      <c r="S7" s="150">
        <f>IFERROR(F7-W2Q3FY26!F7,"OOS")</f>
        <v/>
      </c>
      <c r="T7" s="147">
        <f>IF(S7=0,"",$A7 &amp; IF(S7&gt;0," tăng "," giảm ") &amp; TEXT(ABS(S7)/1000,"0") &amp; "K = " &amp; TEXT(F7/1000,"#.##0") &amp; "K")</f>
        <v/>
      </c>
      <c r="U7" s="150">
        <f>IFERROR(G7-W2Q3FY26!G7,"OOS")</f>
        <v/>
      </c>
      <c r="V7" s="147">
        <f>IF(U7=0,"",$A7 &amp; IF(U7&gt;0," tăng "," giảm ") &amp; TEXT(ABS(U7)/1000,"0") &amp; "K = " &amp; TEXT(G7/1000,"#.##0") &amp; "K")</f>
        <v/>
      </c>
    </row>
    <row r="8" ht="15.95" customHeight="1" s="35">
      <c r="A8" t="inlineStr">
        <is>
          <t>iPhone 16 128GB</t>
        </is>
      </c>
      <c r="B8" s="71" t="n"/>
      <c r="C8" s="138" t="n">
        <v>19990000</v>
      </c>
      <c r="D8" s="138" t="n">
        <v>19990000</v>
      </c>
      <c r="E8" s="140" t="n">
        <v>20490000</v>
      </c>
      <c r="F8" s="134" t="n">
        <v>19990000</v>
      </c>
      <c r="G8" s="111" t="n">
        <v>20790000</v>
      </c>
      <c r="H8" s="154" t="n"/>
      <c r="M8" s="149">
        <f>IFERROR(C8-W2Q3FY26!C8,"OOS")</f>
        <v/>
      </c>
      <c r="N8" s="147">
        <f>IF(M8=0,"",$A8 &amp; IF(M8&gt;0," tăng "," giảm ") &amp; TEXT(ABS(M8)/1000,"0") &amp; "K = " &amp; TEXT(C8/1000,"#.##0") &amp; "K")</f>
        <v/>
      </c>
      <c r="O8" s="150">
        <f>IFERROR(D8-W2Q3FY26!D8,"OOS")</f>
        <v/>
      </c>
      <c r="P8" s="147">
        <f>IF(O8=0,"",$A8 &amp; IF(O8&gt;0," tăng "," giảm ") &amp; TEXT(ABS(O8)/1000,"0") &amp; "K = " &amp; TEXT(D8/1000,"#.##0") &amp; "K")</f>
        <v/>
      </c>
      <c r="Q8" s="150">
        <f>IFERROR(E8-W2Q3FY26!E8,"OOS")</f>
        <v/>
      </c>
      <c r="R8" s="147">
        <f>IF(Q8=0,"",$A8 &amp; IF(Q8&gt;0," tăng "," giảm ") &amp; TEXT(ABS(Q8)/1000,"0") &amp; "K = " &amp; TEXT(E8/1000,"#.##0") &amp; "K")</f>
        <v/>
      </c>
      <c r="S8" s="150">
        <f>IFERROR(F8-W2Q3FY26!F8,"OOS")</f>
        <v/>
      </c>
      <c r="T8" s="147">
        <f>IF(S8=0,"",$A8 &amp; IF(S8&gt;0," tăng "," giảm ") &amp; TEXT(ABS(S8)/1000,"0") &amp; "K = " &amp; TEXT(F8/1000,"#.##0") &amp; "K")</f>
        <v/>
      </c>
      <c r="U8" s="150">
        <f>IFERROR(G8-W2Q3FY26!G8,"OOS")</f>
        <v/>
      </c>
      <c r="V8" s="147">
        <f>IF(U8=0,"",$A8 &amp; IF(U8&gt;0," tăng "," giảm ") &amp; TEXT(ABS(U8)/1000,"0") &amp; "K = " &amp; TEXT(G8/1000,"#.##0") &amp; "K")</f>
        <v/>
      </c>
    </row>
    <row r="9" ht="15.95" customHeight="1" s="35">
      <c r="A9" t="inlineStr">
        <is>
          <t>iPhone 16  Plus 128GB</t>
        </is>
      </c>
      <c r="B9" s="3" t="n"/>
      <c r="C9" s="141" t="n">
        <v>23990000</v>
      </c>
      <c r="D9" s="141" t="n">
        <v>23990000</v>
      </c>
      <c r="E9" s="140" t="n">
        <v>23990000</v>
      </c>
      <c r="F9" s="134" t="n">
        <v>23990000</v>
      </c>
      <c r="G9" s="111" t="n">
        <v>23990000</v>
      </c>
      <c r="H9" s="154" t="n"/>
      <c r="M9" s="149">
        <f>IFERROR(C9-W2Q3FY26!C9,"OOS")</f>
        <v/>
      </c>
      <c r="N9" s="147">
        <f>IF(M9=0,"",$A9 &amp; IF(M9&gt;0," tăng "," giảm ") &amp; TEXT(ABS(M9)/1000,"0") &amp; "K = " &amp; TEXT(C9/1000,"#.##0") &amp; "K")</f>
        <v/>
      </c>
      <c r="O9" s="150">
        <f>IFERROR(D9-W2Q3FY26!D9,"OOS")</f>
        <v/>
      </c>
      <c r="P9" s="147">
        <f>IF(O9=0,"",$A9 &amp; IF(O9&gt;0," tăng "," giảm ") &amp; TEXT(ABS(O9)/1000,"0") &amp; "K = " &amp; TEXT(D9/1000,"#.##0") &amp; "K")</f>
        <v/>
      </c>
      <c r="Q9" s="150">
        <f>IFERROR(E9-W2Q3FY26!E9,"OOS")</f>
        <v/>
      </c>
      <c r="R9" s="147">
        <f>IF(Q9=0,"",$A9 &amp; IF(Q9&gt;0," tăng "," giảm ") &amp; TEXT(ABS(Q9)/1000,"0") &amp; "K = " &amp; TEXT(E9/1000,"#.##0") &amp; "K")</f>
        <v/>
      </c>
      <c r="S9" s="150">
        <f>IFERROR(F9-W2Q3FY26!F9,"OOS")</f>
        <v/>
      </c>
      <c r="T9" s="147">
        <f>IF(S9=0,"",$A9 &amp; IF(S9&gt;0," tăng "," giảm ") &amp; TEXT(ABS(S9)/1000,"0") &amp; "K = " &amp; TEXT(F9/1000,"#.##0") &amp; "K")</f>
        <v/>
      </c>
      <c r="U9" s="150">
        <f>IFERROR(G9-W2Q3FY26!G9,"OOS")</f>
        <v/>
      </c>
      <c r="V9" s="147">
        <f>IF(U9=0,"",$A9 &amp; IF(U9&gt;0," tăng "," giảm ") &amp; TEXT(ABS(U9)/1000,"0") &amp; "K = " &amp; TEXT(G9/1000,"#.##0") &amp; "K")</f>
        <v/>
      </c>
    </row>
    <row r="10" ht="15.95" customHeight="1" s="35">
      <c r="A10" t="inlineStr">
        <is>
          <t>iPhone 16 Pro 128GB</t>
        </is>
      </c>
      <c r="B10" s="25" t="n"/>
      <c r="C10" s="136" t="inlineStr">
        <is>
          <t>OOS</t>
        </is>
      </c>
      <c r="D10" s="111" t="n">
        <v>25590000</v>
      </c>
      <c r="E10" s="113" t="inlineStr">
        <is>
          <t>OOS</t>
        </is>
      </c>
      <c r="F10" s="133" t="n">
        <v>24990000</v>
      </c>
      <c r="G10" s="111" t="inlineStr">
        <is>
          <t>OOS</t>
        </is>
      </c>
      <c r="H10" s="154" t="n"/>
      <c r="M10" s="149">
        <f>IFERROR(C10-W2Q3FY26!C10,"OOS")</f>
        <v/>
      </c>
      <c r="N10" s="147">
        <f>IF(M10=0,"",$A10 &amp; IF(M10&gt;0," tăng "," giảm ") &amp; TEXT(ABS(M10)/1000,"0") &amp; "K = " &amp; TEXT(C10/1000,"#.##0") &amp; "K")</f>
        <v/>
      </c>
      <c r="O10" s="150">
        <f>IFERROR(D10-W2Q3FY26!D10,"OOS")</f>
        <v/>
      </c>
      <c r="P10" s="147">
        <f>IF(O10=0,"",$A10 &amp; IF(O10&gt;0," tăng "," giảm ") &amp; TEXT(ABS(O10)/1000,"0") &amp; "K = " &amp; TEXT(D10/1000,"#.##0") &amp; "K")</f>
        <v/>
      </c>
      <c r="Q10" s="150">
        <f>IFERROR(E10-W2Q3FY26!E10,"OOS")</f>
        <v/>
      </c>
      <c r="R10" s="147">
        <f>IF(Q10=0,"",$A10 &amp; IF(Q10&gt;0," tăng "," giảm ") &amp; TEXT(ABS(Q10)/1000,"0") &amp; "K = " &amp; TEXT(E10/1000,"#.##0") &amp; "K")</f>
        <v/>
      </c>
      <c r="S10" s="150">
        <f>IFERROR(F10-W2Q3FY26!F10,"OOS")</f>
        <v/>
      </c>
      <c r="T10" s="147">
        <f>IF(S10=0,"",$A10 &amp; IF(S10&gt;0," tăng "," giảm ") &amp; TEXT(ABS(S10)/1000,"0") &amp; "K = " &amp; TEXT(F10/1000,"#.##0") &amp; "K")</f>
        <v/>
      </c>
      <c r="U10" s="150">
        <f>IFERROR(G10-W2Q3FY26!G10,"OOS")</f>
        <v/>
      </c>
      <c r="V10" s="147">
        <f>IF(U10=0,"",$A10 &amp; IF(U10&gt;0," tăng "," giảm ") &amp; TEXT(ABS(U10)/1000,"0") &amp; "K = " &amp; TEXT(G10/1000,"#.##0") &amp; "K")</f>
        <v/>
      </c>
    </row>
    <row r="11" ht="15.95" customHeight="1" s="35">
      <c r="A11" t="inlineStr">
        <is>
          <t>iPhone 16 Pro Max 256GB</t>
        </is>
      </c>
      <c r="B11" s="3" t="n"/>
      <c r="C11" s="141" t="inlineStr">
        <is>
          <t>OOS</t>
        </is>
      </c>
      <c r="D11" s="113" t="inlineStr">
        <is>
          <t>OOS</t>
        </is>
      </c>
      <c r="E11" s="113" t="inlineStr">
        <is>
          <t>OOS</t>
        </is>
      </c>
      <c r="F11" s="134" t="n">
        <v>30990000</v>
      </c>
      <c r="G11" s="111" t="inlineStr">
        <is>
          <t>OOS</t>
        </is>
      </c>
      <c r="H11" s="154" t="n"/>
      <c r="M11" s="149">
        <f>IFERROR(C11-W2Q3FY26!C11,"OOS")</f>
        <v/>
      </c>
      <c r="N11" s="147">
        <f>IF(M11=0,"",$A11 &amp; IF(M11&gt;0," tăng "," giảm ") &amp; TEXT(ABS(M11)/1000,"0") &amp; "K = " &amp; TEXT(C11/1000,"#.##0") &amp; "K")</f>
        <v/>
      </c>
      <c r="O11" s="150">
        <f>IFERROR(D11-W2Q3FY26!D11,"OOS")</f>
        <v/>
      </c>
      <c r="P11" s="147">
        <f>IF(O11=0,"",$A11 &amp; IF(O11&gt;0," tăng "," giảm ") &amp; TEXT(ABS(O11)/1000,"0") &amp; "K = " &amp; TEXT(D11/1000,"#.##0") &amp; "K")</f>
        <v/>
      </c>
      <c r="Q11" s="150">
        <f>IFERROR(E11-W2Q3FY26!E11,"OOS")</f>
        <v/>
      </c>
      <c r="R11" s="147">
        <f>IF(Q11=0,"",$A11 &amp; IF(Q11&gt;0," tăng "," giảm ") &amp; TEXT(ABS(Q11)/1000,"0") &amp; "K = " &amp; TEXT(E11/1000,"#.##0") &amp; "K")</f>
        <v/>
      </c>
      <c r="S11" s="150">
        <f>IFERROR(F11-W2Q3FY26!F11,"OOS")</f>
        <v/>
      </c>
      <c r="T11" s="147">
        <f>IF(S11=0,"",$A11 &amp; IF(S11&gt;0," tăng "," giảm ") &amp; TEXT(ABS(S11)/1000,"0") &amp; "K = " &amp; TEXT(F11/1000,"#.##0") &amp; "K")</f>
        <v/>
      </c>
      <c r="U11" s="150">
        <f>IFERROR(G11-W2Q3FY26!G11,"OOS")</f>
        <v/>
      </c>
      <c r="V11" s="147">
        <f>IF(U11=0,"",$A11 &amp; IF(U11&gt;0," tăng "," giảm ") &amp; TEXT(ABS(U11)/1000,"0") &amp; "K = " &amp; TEXT(G11/1000,"#.##0") &amp; "K")</f>
        <v/>
      </c>
    </row>
    <row r="12" ht="15.95" customHeight="1" s="35">
      <c r="A12" t="inlineStr">
        <is>
          <t>iPhone 15  128GB</t>
        </is>
      </c>
      <c r="B12" s="25" t="n"/>
      <c r="C12" s="141" t="n">
        <v>17590000</v>
      </c>
      <c r="D12" s="141" t="n">
        <v>17590000</v>
      </c>
      <c r="E12" s="155" t="n">
        <v>17690000</v>
      </c>
      <c r="F12" s="133" t="n">
        <v>17590000</v>
      </c>
      <c r="G12" s="111" t="n">
        <v>17690000</v>
      </c>
      <c r="H12" s="154" t="n"/>
      <c r="M12" s="149">
        <f>IFERROR(C12-W2Q3FY26!C12,"OOS")</f>
        <v/>
      </c>
      <c r="N12" s="147">
        <f>IF(M12=0,"",$A12 &amp; IF(M12&gt;0," tăng "," giảm ") &amp; TEXT(ABS(M12)/1000,"0") &amp; "K = " &amp; TEXT(C12/1000,"#.##0") &amp; "K")</f>
        <v/>
      </c>
      <c r="O12" s="150">
        <f>IFERROR(D12-W2Q3FY26!D12,"OOS")</f>
        <v/>
      </c>
      <c r="P12" s="147">
        <f>IF(O12=0,"",$A12 &amp; IF(O12&gt;0," tăng "," giảm ") &amp; TEXT(ABS(O12)/1000,"0") &amp; "K = " &amp; TEXT(D12/1000,"#.##0") &amp; "K")</f>
        <v/>
      </c>
      <c r="Q12" s="150">
        <f>IFERROR(E12-W2Q3FY26!E12,"OOS")</f>
        <v/>
      </c>
      <c r="R12" s="147">
        <f>IF(Q12=0,"",$A12 &amp; IF(Q12&gt;0," tăng "," giảm ") &amp; TEXT(ABS(Q12)/1000,"0") &amp; "K = " &amp; TEXT(E12/1000,"#.##0") &amp; "K")</f>
        <v/>
      </c>
      <c r="S12" s="150">
        <f>IFERROR(F12-W2Q3FY26!F12,"OOS")</f>
        <v/>
      </c>
      <c r="T12" s="147">
        <f>IF(S12=0,"",$A12 &amp; IF(S12&gt;0," tăng "," giảm ") &amp; TEXT(ABS(S12)/1000,"0") &amp; "K = " &amp; TEXT(F12/1000,"#.##0") &amp; "K")</f>
        <v/>
      </c>
      <c r="U12" s="150">
        <f>IFERROR(G12-W2Q3FY26!G12,"OOS")</f>
        <v/>
      </c>
      <c r="V12" s="147">
        <f>IF(U12=0,"",$A12 &amp; IF(U12&gt;0," tăng "," giảm ") &amp; TEXT(ABS(U12)/1000,"0") &amp; "K = " &amp; TEXT(G12/1000,"#.##0") &amp; "K")</f>
        <v/>
      </c>
    </row>
    <row r="13" ht="15.95" customHeight="1" s="35">
      <c r="A13" t="inlineStr">
        <is>
          <t>iPhone 15  Plus 128GB</t>
        </is>
      </c>
      <c r="B13" s="25" t="n"/>
      <c r="C13" s="141" t="n">
        <v>17990000</v>
      </c>
      <c r="D13" s="136" t="inlineStr">
        <is>
          <t>OOS</t>
        </is>
      </c>
      <c r="E13" s="131" t="inlineStr">
        <is>
          <t>OOS</t>
        </is>
      </c>
      <c r="F13" s="133" t="n">
        <v>17690000</v>
      </c>
      <c r="G13" s="111" t="inlineStr">
        <is>
          <t>OOS</t>
        </is>
      </c>
      <c r="H13" s="154" t="n"/>
      <c r="M13" s="149">
        <f>IFERROR(C13-W2Q3FY26!C13,"OOS")</f>
        <v/>
      </c>
      <c r="N13" s="147">
        <f>IF(M13=0,"",$A13 &amp; IF(M13&gt;0," tăng "," giảm ") &amp; TEXT(ABS(M13)/1000,"0") &amp; "K = " &amp; TEXT(C13/1000,"#.##0") &amp; "K")</f>
        <v/>
      </c>
      <c r="O13" s="150">
        <f>IFERROR(D13-W2Q3FY26!D13,"OOS")</f>
        <v/>
      </c>
      <c r="P13" s="147">
        <f>IF(O13=0,"",$A13 &amp; IF(O13&gt;0," tăng "," giảm ") &amp; TEXT(ABS(O13)/1000,"0") &amp; "K = " &amp; TEXT(D13/1000,"#.##0") &amp; "K")</f>
        <v/>
      </c>
      <c r="Q13" s="150">
        <f>IFERROR(E13-W2Q3FY26!E13,"OOS")</f>
        <v/>
      </c>
      <c r="R13" s="147">
        <f>IF(Q13=0,"",$A13 &amp; IF(Q13&gt;0," tăng "," giảm ") &amp; TEXT(ABS(Q13)/1000,"0") &amp; "K = " &amp; TEXT(E13/1000,"#.##0") &amp; "K")</f>
        <v/>
      </c>
      <c r="S13" s="150">
        <f>IFERROR(F13-W2Q3FY26!F13,"OOS")</f>
        <v/>
      </c>
      <c r="T13" s="147">
        <f>IF(S13=0,"",$A13 &amp; IF(S13&gt;0," tăng "," giảm ") &amp; TEXT(ABS(S13)/1000,"0") &amp; "K = " &amp; TEXT(F13/1000,"#.##0") &amp; "K")</f>
        <v/>
      </c>
      <c r="U13" s="150">
        <f>IFERROR(G13-W2Q3FY26!G13,"OOS")</f>
        <v/>
      </c>
      <c r="V13" s="147">
        <f>IF(U13=0,"",$A13 &amp; IF(U13&gt;0," tăng "," giảm ") &amp; TEXT(ABS(U13)/1000,"0") &amp; "K = " &amp; TEXT(G13/1000,"#.##0") &amp; "K")</f>
        <v/>
      </c>
    </row>
    <row r="14" ht="15.95" customHeight="1" s="35">
      <c r="A14" t="inlineStr">
        <is>
          <t>iPhone 14 128GB</t>
        </is>
      </c>
      <c r="B14" s="25" t="n"/>
      <c r="C14" s="136" t="n">
        <v>13990000</v>
      </c>
      <c r="D14" s="136" t="n">
        <v>13990000</v>
      </c>
      <c r="E14" s="131" t="n">
        <v>13790000</v>
      </c>
      <c r="F14" s="133" t="n">
        <v>13990000</v>
      </c>
      <c r="G14" s="111" t="n">
        <v>12990000</v>
      </c>
      <c r="H14" s="154" t="n"/>
      <c r="M14" s="149">
        <f>IFERROR(C14-W2Q3FY26!C14,"OOS")</f>
        <v/>
      </c>
      <c r="N14" s="147">
        <f>IF(M14=0,"",$A14 &amp; IF(M14&gt;0," tăng "," giảm ") &amp; TEXT(ABS(M14)/1000,"0") &amp; "K = " &amp; TEXT(C14/1000,"#.##0") &amp; "K")</f>
        <v/>
      </c>
      <c r="O14" s="150">
        <f>IFERROR(D14-W2Q3FY26!D14,"OOS")</f>
        <v/>
      </c>
      <c r="P14" s="147">
        <f>IF(O14=0,"",$A14 &amp; IF(O14&gt;0," tăng "," giảm ") &amp; TEXT(ABS(O14)/1000,"0") &amp; "K = " &amp; TEXT(D14/1000,"#.##0") &amp; "K")</f>
        <v/>
      </c>
      <c r="Q14" s="150">
        <f>IFERROR(E14-W2Q3FY26!E14,"OOS")</f>
        <v/>
      </c>
      <c r="R14" s="147">
        <f>IF(Q14=0,"",$A14 &amp; IF(Q14&gt;0," tăng "," giảm ") &amp; TEXT(ABS(Q14)/1000,"0") &amp; "K = " &amp; TEXT(E14/1000,"#.##0") &amp; "K")</f>
        <v/>
      </c>
      <c r="S14" s="150">
        <f>IFERROR(F14-W2Q3FY26!F14,"OOS")</f>
        <v/>
      </c>
      <c r="T14" s="147">
        <f>IF(S14=0,"",$A14 &amp; IF(S14&gt;0," tăng "," giảm ") &amp; TEXT(ABS(S14)/1000,"0") &amp; "K = " &amp; TEXT(F14/1000,"#.##0") &amp; "K")</f>
        <v/>
      </c>
      <c r="U14" s="150">
        <f>IFERROR(G14-W2Q3FY26!G14,"OOS")</f>
        <v/>
      </c>
      <c r="V14" s="147">
        <f>IF(U14=0,"",$A14 &amp; IF(U14&gt;0," tăng "," giảm ") &amp; TEXT(ABS(U14)/1000,"0") &amp; "K = " &amp; TEXT(G14/1000,"#.##0") &amp; "K")</f>
        <v/>
      </c>
    </row>
    <row r="15" ht="15.95" customHeight="1" s="35">
      <c r="A15" t="inlineStr">
        <is>
          <t>iPhone 13  128GB</t>
        </is>
      </c>
      <c r="B15" s="3" t="n"/>
      <c r="C15" s="136" t="n">
        <v>11990000</v>
      </c>
      <c r="D15" s="136" t="n">
        <v>11990000</v>
      </c>
      <c r="E15" s="140" t="n">
        <v>12090000</v>
      </c>
      <c r="F15" s="133" t="n">
        <v>11990000</v>
      </c>
      <c r="G15" s="111" t="n">
        <v>11890000</v>
      </c>
      <c r="H15" s="154" t="n"/>
      <c r="M15" s="149">
        <f>IFERROR(C15-W2Q3FY26!C15,"OOS")</f>
        <v/>
      </c>
      <c r="N15" s="147">
        <f>IF(M15=0,"",$A15 &amp; IF(M15&gt;0," tăng "," giảm ") &amp; TEXT(ABS(M15)/1000,"0") &amp; "K = " &amp; TEXT(C15/1000,"#.##0") &amp; "K")</f>
        <v/>
      </c>
      <c r="O15" s="150">
        <f>IFERROR(D15-W2Q3FY26!D15,"OOS")</f>
        <v/>
      </c>
      <c r="P15" s="147">
        <f>IF(O15=0,"",$A15 &amp; IF(O15&gt;0," tăng "," giảm ") &amp; TEXT(ABS(O15)/1000,"0") &amp; "K = " &amp; TEXT(D15/1000,"#.##0") &amp; "K")</f>
        <v/>
      </c>
      <c r="Q15" s="150">
        <f>IFERROR(E15-W2Q3FY26!E15,"OOS")</f>
        <v/>
      </c>
      <c r="R15" s="147">
        <f>IF(Q15=0,"",$A15 &amp; IF(Q15&gt;0," tăng "," giảm ") &amp; TEXT(ABS(Q15)/1000,"0") &amp; "K = " &amp; TEXT(E15/1000,"#.##0") &amp; "K")</f>
        <v/>
      </c>
      <c r="S15" s="150">
        <f>IFERROR(F15-W2Q3FY26!F15,"OOS")</f>
        <v/>
      </c>
      <c r="T15" s="147">
        <f>IF(S15=0,"",$A15 &amp; IF(S15&gt;0," tăng "," giảm ") &amp; TEXT(ABS(S15)/1000,"0") &amp; "K = " &amp; TEXT(F15/1000,"#.##0") &amp; "K")</f>
        <v/>
      </c>
      <c r="U15" s="150">
        <f>IFERROR(G15-W2Q3FY26!G15,"OOS")</f>
        <v/>
      </c>
      <c r="V15" s="147">
        <f>IF(U15=0,"",$A15 &amp; IF(U15&gt;0," tăng "," giảm ") &amp; TEXT(ABS(U15)/1000,"0") &amp; "K = " &amp; TEXT(G15/1000,"#.##0") &amp; "K")</f>
        <v/>
      </c>
    </row>
    <row r="16" ht="15.95" customHeight="1" s="35">
      <c r="A16" t="inlineStr">
        <is>
          <t>iPad Mini 7 128GB Wifi</t>
        </is>
      </c>
      <c r="B16" s="25" t="n"/>
      <c r="C16" s="141" t="n">
        <v>13090000</v>
      </c>
      <c r="D16" s="141" t="n">
        <v>13490000</v>
      </c>
      <c r="E16" s="140" t="n">
        <v>13290000</v>
      </c>
      <c r="F16" s="134" t="n">
        <v>13090000</v>
      </c>
      <c r="G16" s="112" t="n">
        <v>13090000</v>
      </c>
      <c r="H16" s="154" t="n"/>
      <c r="M16" s="149">
        <f>IFERROR(C16-W2Q3FY26!C16,"OOS")</f>
        <v/>
      </c>
      <c r="N16" s="147">
        <f>IF(M16=0,"",$A16 &amp; IF(M16&gt;0," tăng "," giảm ") &amp; TEXT(ABS(M16)/1000,"0") &amp; "K = " &amp; TEXT(C16/1000,"#.##0") &amp; "K")</f>
        <v/>
      </c>
      <c r="O16" s="150">
        <f>IFERROR(D16-W2Q3FY26!D16,"OOS")</f>
        <v/>
      </c>
      <c r="P16" s="147">
        <f>IF(O16=0,"",$A16 &amp; IF(O16&gt;0," tăng "," giảm ") &amp; TEXT(ABS(O16)/1000,"0") &amp; "K = " &amp; TEXT(D16/1000,"#.##0") &amp; "K")</f>
        <v/>
      </c>
      <c r="Q16" s="150">
        <f>IFERROR(E16-W2Q3FY26!E16,"OOS")</f>
        <v/>
      </c>
      <c r="R16" s="147">
        <f>IF(Q16=0,"",$A16 &amp; IF(Q16&gt;0," tăng "," giảm ") &amp; TEXT(ABS(Q16)/1000,"0") &amp; "K = " &amp; TEXT(E16/1000,"#.##0") &amp; "K")</f>
        <v/>
      </c>
      <c r="S16" s="150">
        <f>IFERROR(F16-W2Q3FY26!F16,"OOS")</f>
        <v/>
      </c>
      <c r="T16" s="147">
        <f>IF(S16=0,"",$A16 &amp; IF(S16&gt;0," tăng "," giảm ") &amp; TEXT(ABS(S16)/1000,"0") &amp; "K = " &amp; TEXT(F16/1000,"#.##0") &amp; "K")</f>
        <v/>
      </c>
      <c r="U16" s="150">
        <f>IFERROR(G16-W2Q3FY26!G16,"OOS")</f>
        <v/>
      </c>
      <c r="V16" s="147">
        <f>IF(U16=0,"",$A16 &amp; IF(U16&gt;0," tăng "," giảm ") &amp; TEXT(ABS(U16)/1000,"0") &amp; "K = " &amp; TEXT(G16/1000,"#.##0") &amp; "K")</f>
        <v/>
      </c>
    </row>
    <row r="17" ht="15.95" customHeight="1" s="35">
      <c r="A17" t="inlineStr">
        <is>
          <t>iPad Gen 11th  128GB Wifi</t>
        </is>
      </c>
      <c r="B17" s="3" t="n"/>
      <c r="C17" s="141" t="n">
        <v>9290000</v>
      </c>
      <c r="D17" s="141" t="n">
        <v>9290000</v>
      </c>
      <c r="E17" s="155" t="n">
        <v>9190000</v>
      </c>
      <c r="F17" s="134" t="n">
        <v>9390000</v>
      </c>
      <c r="G17" s="111" t="n">
        <v>9390000</v>
      </c>
      <c r="H17" s="154" t="n"/>
      <c r="M17" s="149">
        <f>IFERROR(C17-W2Q3FY26!C17,"OOS")</f>
        <v/>
      </c>
      <c r="N17" s="147">
        <f>IF(M17=0,"",$A17 &amp; IF(M17&gt;0," tăng "," giảm ") &amp; TEXT(ABS(M17)/1000,"0") &amp; "K = " &amp; TEXT(C17/1000,"#.##0") &amp; "K")</f>
        <v/>
      </c>
      <c r="O17" s="150">
        <f>IFERROR(D17-W2Q3FY26!D17,"OOS")</f>
        <v/>
      </c>
      <c r="P17" s="147">
        <f>IF(O17=0,"",$A17 &amp; IF(O17&gt;0," tăng "," giảm ") &amp; TEXT(ABS(O17)/1000,"0") &amp; "K = " &amp; TEXT(D17/1000,"#.##0") &amp; "K")</f>
        <v/>
      </c>
      <c r="Q17" s="150">
        <f>IFERROR(E17-W2Q3FY26!E17,"OOS")</f>
        <v/>
      </c>
      <c r="R17" s="147">
        <f>IF(Q17=0,"",$A17 &amp; IF(Q17&gt;0," tăng "," giảm ") &amp; TEXT(ABS(Q17)/1000,"0") &amp; "K = " &amp; TEXT(E17/1000,"#.##0") &amp; "K")</f>
        <v/>
      </c>
      <c r="S17" s="150">
        <f>IFERROR(F17-W2Q3FY26!F17,"OOS")</f>
        <v/>
      </c>
      <c r="T17" s="147">
        <f>IF(S17=0,"",$A17 &amp; IF(S17&gt;0," tăng "," giảm ") &amp; TEXT(ABS(S17)/1000,"0") &amp; "K = " &amp; TEXT(F17/1000,"#.##0") &amp; "K")</f>
        <v/>
      </c>
      <c r="U17" s="150">
        <f>IFERROR(G17-W2Q3FY26!G17,"OOS")</f>
        <v/>
      </c>
      <c r="V17" s="147">
        <f>IF(U17=0,"",$A17 &amp; IF(U17&gt;0," tăng "," giảm ") &amp; TEXT(ABS(U17)/1000,"0") &amp; "K = " &amp; TEXT(G17/1000,"#.##0") &amp; "K")</f>
        <v/>
      </c>
      <c r="W17" t="inlineStr">
        <is>
          <t xml:space="preserve">MW </t>
        </is>
      </c>
      <c r="X17" t="inlineStr">
        <is>
          <t>Hải</t>
        </is>
      </c>
      <c r="Y17" t="b">
        <v>1</v>
      </c>
    </row>
    <row r="18" ht="15.95" customHeight="1" s="35">
      <c r="A18" t="inlineStr">
        <is>
          <t>iPad Air M3  11" 128 GB Wifi</t>
        </is>
      </c>
      <c r="B18" s="3" t="n"/>
      <c r="C18" s="141" t="n">
        <v>15190000</v>
      </c>
      <c r="D18" s="141" t="n">
        <v>15190000</v>
      </c>
      <c r="E18" s="155" t="n">
        <v>14290000</v>
      </c>
      <c r="F18" s="134" t="n">
        <v>15190000</v>
      </c>
      <c r="G18" s="111" t="inlineStr">
        <is>
          <t>OOS</t>
        </is>
      </c>
      <c r="H18" s="154" t="n"/>
      <c r="M18" s="149">
        <f>IFERROR(C18-W2Q3FY26!C18,"OOS")</f>
        <v/>
      </c>
      <c r="N18" s="147">
        <f>IF(M18=0,"",$A18 &amp; IF(M18&gt;0," tăng "," giảm ") &amp; TEXT(ABS(M18)/1000,"0") &amp; "K = " &amp; TEXT(C18/1000,"#.##0") &amp; "K")</f>
        <v/>
      </c>
      <c r="O18" s="150">
        <f>IFERROR(D18-W2Q3FY26!D18,"OOS")</f>
        <v/>
      </c>
      <c r="P18" s="147">
        <f>IF(O18=0,"",$A18 &amp; IF(O18&gt;0," tăng "," giảm ") &amp; TEXT(ABS(O18)/1000,"0") &amp; "K = " &amp; TEXT(D18/1000,"#.##0") &amp; "K")</f>
        <v/>
      </c>
      <c r="Q18" s="150">
        <f>IFERROR(E18-W2Q3FY26!E18,"OOS")</f>
        <v/>
      </c>
      <c r="R18" s="147">
        <f>IF(Q18=0,"",$A18 &amp; IF(Q18&gt;0," tăng "," giảm ") &amp; TEXT(ABS(Q18)/1000,"0") &amp; "K = " &amp; TEXT(E18/1000,"#.##0") &amp; "K")</f>
        <v/>
      </c>
      <c r="S18" s="150">
        <f>IFERROR(F18-W2Q3FY26!F18,"OOS")</f>
        <v/>
      </c>
      <c r="T18" s="147">
        <f>IF(S18=0,"",$A18 &amp; IF(S18&gt;0," tăng "," giảm ") &amp; TEXT(ABS(S18)/1000,"0") &amp; "K = " &amp; TEXT(F18/1000,"#.##0") &amp; "K")</f>
        <v/>
      </c>
      <c r="U18" s="150">
        <f>IFERROR(G18-W2Q3FY26!G18,"OOS")</f>
        <v/>
      </c>
      <c r="V18" s="147">
        <f>IF(U18=0,"",$A18 &amp; IF(U18&gt;0," tăng "," giảm ") &amp; TEXT(ABS(U18)/1000,"0") &amp; "K = " &amp; TEXT(G18/1000,"#.##0") &amp; "K")</f>
        <v/>
      </c>
      <c r="W18" t="inlineStr">
        <is>
          <t>FPT</t>
        </is>
      </c>
      <c r="X18" t="inlineStr">
        <is>
          <t>Trang</t>
        </is>
      </c>
      <c r="Y18" t="b">
        <v>1</v>
      </c>
    </row>
    <row r="19" ht="15.95" customHeight="1" s="35">
      <c r="A19" t="inlineStr">
        <is>
          <t>iPad Air M4  11" 128 GB Wifi</t>
        </is>
      </c>
      <c r="B19" s="3" t="n"/>
      <c r="C19" s="136" t="n">
        <v>16690000</v>
      </c>
      <c r="D19" s="136" t="n">
        <v>16690000</v>
      </c>
      <c r="E19" s="155" t="n">
        <v>15790000</v>
      </c>
      <c r="F19" s="112" t="n">
        <v>16690000</v>
      </c>
      <c r="G19" s="112" t="n">
        <v>16490000</v>
      </c>
      <c r="H19" s="154" t="n"/>
      <c r="M19" s="149">
        <f>IFERROR(C19-W2Q3FY26!C19,"OOS")</f>
        <v/>
      </c>
      <c r="N19" s="147" t="n"/>
      <c r="O19" s="150">
        <f>IFERROR(D19-W2Q3FY26!D19,"OOS")</f>
        <v/>
      </c>
      <c r="P19" s="147" t="n"/>
      <c r="Q19" s="150">
        <f>IFERROR(E19-W2Q3FY26!E19,"OOS")</f>
        <v/>
      </c>
      <c r="R19" s="147">
        <f>IF(Q19=0,"",$A19 &amp; IF(Q19&gt;0," tăng "," giảm ") &amp; TEXT(ABS(Q19)/1000,"0") &amp; "K = " &amp; TEXT(E19/1000,"#.##0") &amp; "K")</f>
        <v/>
      </c>
      <c r="S19" s="150">
        <f>IFERROR(F19-W2Q3FY26!F19,"OOS")</f>
        <v/>
      </c>
      <c r="T19" s="147" t="n"/>
      <c r="U19" s="150">
        <f>IFERROR(G19-W2Q3FY26!G19,"OOS")</f>
        <v/>
      </c>
      <c r="V19" s="147">
        <f>IF(U19=0,"",$A19 &amp; IF(U19&gt;0," tăng "," giảm ") &amp; TEXT(ABS(U19)/1000,"0") &amp; "K = " &amp; TEXT(G19/1000,"#.##0") &amp; "K")</f>
        <v/>
      </c>
      <c r="W19" t="inlineStr">
        <is>
          <t>Viettel</t>
        </is>
      </c>
      <c r="X19" t="inlineStr">
        <is>
          <t>Nghĩa</t>
        </is>
      </c>
      <c r="Y19" t="b">
        <v>1</v>
      </c>
    </row>
    <row r="20" ht="15.95" customHeight="1" s="35">
      <c r="A20" t="inlineStr">
        <is>
          <t>iPad Air M3  13" 128 GB Wifi</t>
        </is>
      </c>
      <c r="B20" s="25" t="n"/>
      <c r="C20" s="141" t="n">
        <v>19890000</v>
      </c>
      <c r="D20" s="136" t="n">
        <v>19990000</v>
      </c>
      <c r="E20" s="155" t="n">
        <v>19190000</v>
      </c>
      <c r="F20" s="133" t="n">
        <v>18990000</v>
      </c>
      <c r="G20" s="111" t="inlineStr">
        <is>
          <t>OOS</t>
        </is>
      </c>
      <c r="H20" s="154" t="n"/>
      <c r="M20" s="149">
        <f>IFERROR(C20-W2Q3FY26!C20,"OOS")</f>
        <v/>
      </c>
      <c r="N20" s="147">
        <f>IF(M20=0,"",$A20 &amp; IF(M20&gt;0," tăng "," giảm ") &amp; TEXT(ABS(M20)/1000,"0") &amp; "K = " &amp; TEXT(C20/1000,"#.##0") &amp; "K")</f>
        <v/>
      </c>
      <c r="O20" s="150">
        <f>IFERROR(D20-W2Q3FY26!D20,"OOS")</f>
        <v/>
      </c>
      <c r="P20" s="147">
        <f>IF(O20=0,"",$A20 &amp; IF(O20&gt;0," tăng "," giảm ") &amp; TEXT(ABS(O20)/1000,"0") &amp; "K = " &amp; TEXT(D20/1000,"#.##0") &amp; "K")</f>
        <v/>
      </c>
      <c r="Q20" s="150">
        <f>IFERROR(E20-W2Q3FY26!E20,"OOS")</f>
        <v/>
      </c>
      <c r="R20" s="147">
        <f>IF(Q20=0,"",$A20 &amp; IF(Q20&gt;0," tăng "," giảm ") &amp; TEXT(ABS(Q20)/1000,"0") &amp; "K = " &amp; TEXT(E20/1000,"#.##0") &amp; "K")</f>
        <v/>
      </c>
      <c r="S20" s="150">
        <f>IFERROR(F20-W2Q3FY26!F20,"OOS")</f>
        <v/>
      </c>
      <c r="T20" s="147">
        <f>IF(S20=0,"",$A20 &amp; IF(S20&gt;0," tăng "," giảm ") &amp; TEXT(ABS(S20)/1000,"0") &amp; "K = " &amp; TEXT(F20/1000,"#.##0") &amp; "K")</f>
        <v/>
      </c>
      <c r="U20" s="150">
        <f>IFERROR(G20-W2Q3FY26!G20,"OOS")</f>
        <v/>
      </c>
      <c r="V20" s="147">
        <f>IF(U20=0,"",$A20 &amp; IF(U20&gt;0," tăng "," giảm ") &amp; TEXT(ABS(U20)/1000,"0") &amp; "K = " &amp; TEXT(G20/1000,"#.##0") &amp; "K")</f>
        <v/>
      </c>
      <c r="W20" t="inlineStr">
        <is>
          <t>CPS</t>
        </is>
      </c>
      <c r="X20" t="inlineStr">
        <is>
          <t>Duy</t>
        </is>
      </c>
      <c r="Y20" t="b">
        <v>1</v>
      </c>
    </row>
    <row r="21" ht="15.95" customHeight="1" s="35">
      <c r="A21" t="inlineStr">
        <is>
          <t>iPad Pro M5 11” 256GB Wifi</t>
        </is>
      </c>
      <c r="B21" s="3" t="n"/>
      <c r="C21" s="141" t="n">
        <v>28190000</v>
      </c>
      <c r="D21" s="141" t="n">
        <v>28190000</v>
      </c>
      <c r="E21" s="124" t="n">
        <v>28490000</v>
      </c>
      <c r="F21" s="134" t="n">
        <v>28190000</v>
      </c>
      <c r="G21" s="112" t="n">
        <v>28490000</v>
      </c>
      <c r="H21" s="154" t="n"/>
      <c r="M21" s="149">
        <f>IFERROR(C21-W2Q3FY26!C21,"OOS")</f>
        <v/>
      </c>
      <c r="N21" s="147">
        <f>IF(M21=0,"",$A21 &amp; IF(M21&gt;0," tăng "," giảm ") &amp; TEXT(ABS(M21)/1000,"0") &amp; "K = " &amp; TEXT(C21/1000,"#.##0") &amp; "K")</f>
        <v/>
      </c>
      <c r="O21" s="150">
        <f>IFERROR(D21-W2Q3FY26!D21,"OOS")</f>
        <v/>
      </c>
      <c r="P21" s="147">
        <f>IF(O21=0,"",$A21 &amp; IF(O21&gt;0," tăng "," giảm ") &amp; TEXT(ABS(O21)/1000,"0") &amp; "K = " &amp; TEXT(D21/1000,"#.##0") &amp; "K")</f>
        <v/>
      </c>
      <c r="Q21" s="150">
        <f>IFERROR(E21-W2Q3FY26!E21,"OOS")</f>
        <v/>
      </c>
      <c r="R21" s="147">
        <f>IF(Q21=0,"",$A21 &amp; IF(Q21&gt;0," tăng "," giảm ") &amp; TEXT(ABS(Q21)/1000,"0") &amp; "K = " &amp; TEXT(E21/1000,"#.##0") &amp; "K")</f>
        <v/>
      </c>
      <c r="S21" s="150">
        <f>IFERROR(F21-W2Q3FY26!F21,"OOS")</f>
        <v/>
      </c>
      <c r="T21" s="147">
        <f>IF(S21=0,"",$A21 &amp; IF(S21&gt;0," tăng "," giảm ") &amp; TEXT(ABS(S21)/1000,"0") &amp; "K = " &amp; TEXT(F21/1000,"#.##0") &amp; "K")</f>
        <v/>
      </c>
      <c r="U21" s="150">
        <f>IFERROR(G21-W2Q3FY26!G21,"OOS")</f>
        <v/>
      </c>
      <c r="V21" s="147">
        <f>IF(U21=0,"",$A21 &amp; IF(U21&gt;0," tăng "," giảm ") &amp; TEXT(ABS(U21)/1000,"0") &amp; "K = " &amp; TEXT(G21/1000,"#.##0") &amp; "K")</f>
        <v/>
      </c>
      <c r="W21" t="inlineStr">
        <is>
          <t>ShopDunk</t>
        </is>
      </c>
      <c r="X21" t="inlineStr">
        <is>
          <t>Đạt</t>
        </is>
      </c>
      <c r="Y21" t="b">
        <v>1</v>
      </c>
    </row>
    <row r="22" ht="15.95" customHeight="1" s="35">
      <c r="A22" t="inlineStr">
        <is>
          <t>iPad Pro M5 13” 256GB Wifi</t>
        </is>
      </c>
      <c r="B22" s="3" t="n"/>
      <c r="C22" s="141" t="n">
        <v>38690000</v>
      </c>
      <c r="D22" s="142" t="n">
        <v>38990000</v>
      </c>
      <c r="E22" s="113" t="n">
        <v>37990000</v>
      </c>
      <c r="F22" s="134" t="n">
        <v>38890000</v>
      </c>
      <c r="G22" s="111" t="n">
        <v>38990000</v>
      </c>
      <c r="H22" s="154" t="n"/>
      <c r="M22" s="149">
        <f>IFERROR(C22-W2Q3FY26!C22,"OOS")</f>
        <v/>
      </c>
      <c r="N22" s="147">
        <f>IF(M22=0,"",$A22 &amp; IF(M22&gt;0," tăng "," giảm ") &amp; TEXT(ABS(M22)/1000,"0") &amp; "K = " &amp; TEXT(C22/1000,"#.##0") &amp; "K")</f>
        <v/>
      </c>
      <c r="O22" s="150">
        <f>IFERROR(D22-W2Q3FY26!D22,"OOS")</f>
        <v/>
      </c>
      <c r="P22" s="147">
        <f>IF(O22=0,"",$A22 &amp; IF(O22&gt;0," tăng "," giảm ") &amp; TEXT(ABS(O22)/1000,"0") &amp; "K = " &amp; TEXT(D22/1000,"#.##0") &amp; "K")</f>
        <v/>
      </c>
      <c r="Q22" s="150">
        <f>IFERROR(E22-W2Q3FY26!E22,"OOS")</f>
        <v/>
      </c>
      <c r="R22" s="147">
        <f>IF(Q22=0,"",$A22 &amp; IF(Q22&gt;0," tăng "," giảm ") &amp; TEXT(ABS(Q22)/1000,"0") &amp; "K = " &amp; TEXT(E22/1000,"#.##0") &amp; "K")</f>
        <v/>
      </c>
      <c r="S22" s="150">
        <f>IFERROR(F22-W2Q3FY26!F22,"OOS")</f>
        <v/>
      </c>
      <c r="T22" s="147">
        <f>IF(S22=0,"",$A22 &amp; IF(S22&gt;0," tăng "," giảm ") &amp; TEXT(ABS(S22)/1000,"0") &amp; "K = " &amp; TEXT(F22/1000,"#.##0") &amp; "K")</f>
        <v/>
      </c>
      <c r="U22" s="150">
        <f>IFERROR(G22-W2Q3FY26!G22,"OOS")</f>
        <v/>
      </c>
      <c r="V22" s="147">
        <f>IF(U22=0,"",$A22 &amp; IF(U22&gt;0," tăng "," giảm ") &amp; TEXT(ABS(U22)/1000,"0") &amp; "K = " &amp; TEXT(G22/1000,"#.##0") &amp; "K")</f>
        <v/>
      </c>
    </row>
    <row r="23" ht="15.95" customHeight="1" s="35">
      <c r="A23" t="inlineStr">
        <is>
          <t>AW SE 3 (40mm GPS)</t>
        </is>
      </c>
      <c r="B23" s="25" t="n"/>
      <c r="C23" s="141" t="n">
        <v>6790000</v>
      </c>
      <c r="D23" s="141" t="n">
        <v>6790000</v>
      </c>
      <c r="E23" s="140" t="n">
        <v>5990000</v>
      </c>
      <c r="F23" s="134" t="n">
        <v>6790000</v>
      </c>
      <c r="G23" s="111" t="n">
        <v>6490000</v>
      </c>
      <c r="H23" s="154" t="n"/>
      <c r="M23" s="149">
        <f>IFERROR(C23-W2Q3FY26!C23,"OOS")</f>
        <v/>
      </c>
      <c r="N23" s="147">
        <f>IF(M23=0,"",$A23 &amp; IF(M23&gt;0," tăng "," giảm ") &amp; TEXT(ABS(M23)/1000,"0") &amp; "K = " &amp; TEXT(C23/1000,"#.##0") &amp; "K")</f>
        <v/>
      </c>
      <c r="O23" s="150">
        <f>IFERROR(D23-W2Q3FY26!D23,"OOS")</f>
        <v/>
      </c>
      <c r="P23" s="147">
        <f>IF(O23=0,"",$A23 &amp; IF(O23&gt;0," tăng "," giảm ") &amp; TEXT(ABS(O23)/1000,"0") &amp; "K = " &amp; TEXT(D23/1000,"#.##0") &amp; "K")</f>
        <v/>
      </c>
      <c r="Q23" s="150">
        <f>IFERROR(E23-W2Q3FY26!E23,"OOS")</f>
        <v/>
      </c>
      <c r="R23" s="147">
        <f>IF(Q23=0,"",$A23 &amp; IF(Q23&gt;0," tăng "," giảm ") &amp; TEXT(ABS(Q23)/1000,"0") &amp; "K = " &amp; TEXT(E23/1000,"#.##0") &amp; "K")</f>
        <v/>
      </c>
      <c r="S23" s="150">
        <f>IFERROR(F23-W2Q3FY26!F23,"OOS")</f>
        <v/>
      </c>
      <c r="T23" s="147">
        <f>IF(S23=0,"",$A23 &amp; IF(S23&gt;0," tăng "," giảm ") &amp; TEXT(ABS(S23)/1000,"0") &amp; "K = " &amp; TEXT(F23/1000,"#.##0") &amp; "K")</f>
        <v/>
      </c>
      <c r="U23" s="150">
        <f>IFERROR(G23-W2Q3FY26!G23,"OOS")</f>
        <v/>
      </c>
      <c r="V23" s="147">
        <f>IF(U23=0,"",$A23 &amp; IF(U23&gt;0," tăng "," giảm ") &amp; TEXT(ABS(U23)/1000,"0") &amp; "K = " &amp; TEXT(G23/1000,"#.##0") &amp; "K")</f>
        <v/>
      </c>
    </row>
    <row r="24" ht="15.95" customHeight="1" s="35">
      <c r="A24" t="inlineStr">
        <is>
          <t>AW SE 3 (40mm LTE)</t>
        </is>
      </c>
      <c r="B24" s="25" t="n"/>
      <c r="C24" s="141" t="n">
        <v>8390000</v>
      </c>
      <c r="D24" s="136" t="n">
        <v>8290000</v>
      </c>
      <c r="E24" s="155" t="n">
        <v>7490000</v>
      </c>
      <c r="F24" s="133" t="n">
        <v>8390000</v>
      </c>
      <c r="G24" s="111" t="n">
        <v>8190000</v>
      </c>
      <c r="H24" s="154" t="n"/>
      <c r="M24" s="149">
        <f>IFERROR(C24-W2Q3FY26!C24,"OOS")</f>
        <v/>
      </c>
      <c r="N24" s="147">
        <f>IF(M24=0,"",$A24 &amp; IF(M24&gt;0," tăng "," giảm ") &amp; TEXT(ABS(M24)/1000,"0") &amp; "K = " &amp; TEXT(C24/1000,"#.##0") &amp; "K")</f>
        <v/>
      </c>
      <c r="O24" s="150">
        <f>IFERROR(D24-W2Q3FY26!D24,"OOS")</f>
        <v/>
      </c>
      <c r="P24" s="147">
        <f>IF(O24=0,"",$A24 &amp; IF(O24&gt;0," tăng "," giảm ") &amp; TEXT(ABS(O24)/1000,"0") &amp; "K = " &amp; TEXT(D24/1000,"#.##0") &amp; "K")</f>
        <v/>
      </c>
      <c r="Q24" s="150">
        <f>IFERROR(E24-W2Q3FY26!E24,"OOS")</f>
        <v/>
      </c>
      <c r="R24" s="147">
        <f>IF(Q24=0,"",$A24 &amp; IF(Q24&gt;0," tăng "," giảm ") &amp; TEXT(ABS(Q24)/1000,"0") &amp; "K = " &amp; TEXT(E24/1000,"#.##0") &amp; "K")</f>
        <v/>
      </c>
      <c r="S24" s="150">
        <f>IFERROR(F24-W2Q3FY26!F24,"OOS")</f>
        <v/>
      </c>
      <c r="T24" s="147">
        <f>IF(S24=0,"",$A24 &amp; IF(S24&gt;0," tăng "," giảm ") &amp; TEXT(ABS(S24)/1000,"0") &amp; "K = " &amp; TEXT(F24/1000,"#.##0") &amp; "K")</f>
        <v/>
      </c>
      <c r="U24" s="150">
        <f>IFERROR(G24-W2Q3FY26!G24,"OOS")</f>
        <v/>
      </c>
      <c r="V24" s="147">
        <f>IF(U24=0,"",$A24 &amp; IF(U24&gt;0," tăng "," giảm ") &amp; TEXT(ABS(U24)/1000,"0") &amp; "K = " &amp; TEXT(G24/1000,"#.##0") &amp; "K")</f>
        <v/>
      </c>
    </row>
    <row r="25" ht="15.95" customHeight="1" s="35">
      <c r="A25" t="inlineStr">
        <is>
          <t>AW SE 3 (44mm GPS)</t>
        </is>
      </c>
      <c r="B25" s="25" t="n"/>
      <c r="C25" s="136" t="n">
        <v>7690000</v>
      </c>
      <c r="D25" s="136" t="n">
        <v>7690000</v>
      </c>
      <c r="E25" s="140" t="n">
        <v>6890000</v>
      </c>
      <c r="F25" s="133" t="n">
        <v>7690000</v>
      </c>
      <c r="G25" s="111" t="n">
        <v>7190000</v>
      </c>
      <c r="H25" s="154" t="n"/>
      <c r="M25" s="149">
        <f>IFERROR(C25-W2Q3FY26!C25,"OOS")</f>
        <v/>
      </c>
      <c r="N25" s="147">
        <f>IF(M25=0,"",$A25 &amp; IF(M25&gt;0," tăng "," giảm ") &amp; TEXT(ABS(M25)/1000,"0") &amp; "K = " &amp; TEXT(C25/1000,"#.##0") &amp; "K")</f>
        <v/>
      </c>
      <c r="O25" s="150">
        <f>IFERROR(D25-W2Q3FY26!D25,"OOS")</f>
        <v/>
      </c>
      <c r="P25" s="147">
        <f>IF(O25=0,"",$A25 &amp; IF(O25&gt;0," tăng "," giảm ") &amp; TEXT(ABS(O25)/1000,"0") &amp; "K = " &amp; TEXT(D25/1000,"#.##0") &amp; "K")</f>
        <v/>
      </c>
      <c r="Q25" s="150">
        <f>IFERROR(E25-W2Q3FY26!E25,"OOS")</f>
        <v/>
      </c>
      <c r="R25" s="147">
        <f>IF(Q25=0,"",$A25 &amp; IF(Q25&gt;0," tăng "," giảm ") &amp; TEXT(ABS(Q25)/1000,"0") &amp; "K = " &amp; TEXT(E25/1000,"#.##0") &amp; "K")</f>
        <v/>
      </c>
      <c r="S25" s="150">
        <f>IFERROR(F25-W2Q3FY26!F25,"OOS")</f>
        <v/>
      </c>
      <c r="T25" s="147">
        <f>IF(S25=0,"",$A25 &amp; IF(S25&gt;0," tăng "," giảm ") &amp; TEXT(ABS(S25)/1000,"0") &amp; "K = " &amp; TEXT(F25/1000,"#.##0") &amp; "K")</f>
        <v/>
      </c>
      <c r="U25" s="150">
        <f>IFERROR(G25-W2Q3FY26!G25,"OOS")</f>
        <v/>
      </c>
      <c r="V25" s="147">
        <f>IF(U25=0,"",$A25 &amp; IF(U25&gt;0," tăng "," giảm ") &amp; TEXT(ABS(U25)/1000,"0") &amp; "K = " &amp; TEXT(G25/1000,"#.##0") &amp; "K")</f>
        <v/>
      </c>
    </row>
    <row r="26" ht="15.95" customHeight="1" s="35">
      <c r="A26" t="inlineStr">
        <is>
          <t>AW SE 3 (44mm LTE)</t>
        </is>
      </c>
      <c r="B26" s="25" t="n"/>
      <c r="C26" s="136" t="n">
        <v>9190000</v>
      </c>
      <c r="D26" s="136" t="n">
        <v>9190000</v>
      </c>
      <c r="E26" s="140" t="n">
        <v>8490000</v>
      </c>
      <c r="F26" s="133" t="n">
        <v>9190000</v>
      </c>
      <c r="G26" s="111" t="n">
        <v>8790000</v>
      </c>
      <c r="H26" s="154" t="n"/>
      <c r="M26" s="149">
        <f>IFERROR(C26-W2Q3FY26!C26,"OOS")</f>
        <v/>
      </c>
      <c r="N26" s="147">
        <f>IF(M26=0,"",$A26 &amp; IF(M26&gt;0," tăng "," giảm ") &amp; TEXT(ABS(M26)/1000,"0") &amp; "K = " &amp; TEXT(C26/1000,"#.##0") &amp; "K")</f>
        <v/>
      </c>
      <c r="O26" s="150">
        <f>IFERROR(D26-W2Q3FY26!D26,"OOS")</f>
        <v/>
      </c>
      <c r="P26" s="147">
        <f>IF(O26=0,"",$A26 &amp; IF(O26&gt;0," tăng "," giảm ") &amp; TEXT(ABS(O26)/1000,"0") &amp; "K = " &amp; TEXT(D26/1000,"#.##0") &amp; "K")</f>
        <v/>
      </c>
      <c r="Q26" s="150">
        <f>IFERROR(E26-W2Q3FY26!E26,"OOS")</f>
        <v/>
      </c>
      <c r="R26" s="147">
        <f>IF(Q26=0,"",$A26 &amp; IF(Q26&gt;0," tăng "," giảm ") &amp; TEXT(ABS(Q26)/1000,"0") &amp; "K = " &amp; TEXT(E26/1000,"#.##0") &amp; "K")</f>
        <v/>
      </c>
      <c r="S26" s="150">
        <f>IFERROR(F26-W2Q3FY26!F26,"OOS")</f>
        <v/>
      </c>
      <c r="T26" s="147">
        <f>IF(S26=0,"",$A26 &amp; IF(S26&gt;0," tăng "," giảm ") &amp; TEXT(ABS(S26)/1000,"0") &amp; "K = " &amp; TEXT(F26/1000,"#.##0") &amp; "K")</f>
        <v/>
      </c>
      <c r="U26" s="150">
        <f>IFERROR(G26-W2Q3FY26!G26,"OOS")</f>
        <v/>
      </c>
      <c r="V26" s="147">
        <f>IF(U26=0,"",$A26 &amp; IF(U26&gt;0," tăng "," giảm ") &amp; TEXT(ABS(U26)/1000,"0") &amp; "K = " &amp; TEXT(G26/1000,"#.##0") &amp; "K")</f>
        <v/>
      </c>
    </row>
    <row r="27" ht="15.95" customHeight="1" s="35">
      <c r="A27" t="inlineStr">
        <is>
          <t>AW S11 (42mm GPS)</t>
        </is>
      </c>
      <c r="B27" s="3" t="n"/>
      <c r="C27" s="141" t="n">
        <v>11190000</v>
      </c>
      <c r="D27" s="141" t="n">
        <v>11190000</v>
      </c>
      <c r="E27" s="140" t="n">
        <v>10190000</v>
      </c>
      <c r="F27" s="134" t="n">
        <v>11190000</v>
      </c>
      <c r="G27" s="111" t="n">
        <v>10990000</v>
      </c>
      <c r="H27" s="154" t="n"/>
      <c r="M27" s="149">
        <f>IFERROR(C27-W2Q3FY26!C27,"OOS")</f>
        <v/>
      </c>
      <c r="N27" s="147">
        <f>IF(M27=0,"",$A27 &amp; IF(M27&gt;0," tăng "," giảm ") &amp; TEXT(ABS(M27)/1000,"0") &amp; "K = " &amp; TEXT(C27/1000,"#.##0") &amp; "K")</f>
        <v/>
      </c>
      <c r="O27" s="150">
        <f>IFERROR(D27-W2Q3FY26!D27,"OOS")</f>
        <v/>
      </c>
      <c r="P27" s="147">
        <f>IF(O27=0,"",$A27 &amp; IF(O27&gt;0," tăng "," giảm ") &amp; TEXT(ABS(O27)/1000,"0") &amp; "K = " &amp; TEXT(D27/1000,"#.##0") &amp; "K")</f>
        <v/>
      </c>
      <c r="Q27" s="150">
        <f>IFERROR(E27-W2Q3FY26!E27,"OOS")</f>
        <v/>
      </c>
      <c r="R27" s="147">
        <f>IF(Q27=0,"",$A27 &amp; IF(Q27&gt;0," tăng "," giảm ") &amp; TEXT(ABS(Q27)/1000,"0") &amp; "K = " &amp; TEXT(E27/1000,"#.##0") &amp; "K")</f>
        <v/>
      </c>
      <c r="S27" s="150">
        <f>IFERROR(F27-W2Q3FY26!F27,"OOS")</f>
        <v/>
      </c>
      <c r="T27" s="147">
        <f>IF(S27=0,"",$A27 &amp; IF(S27&gt;0," tăng "," giảm ") &amp; TEXT(ABS(S27)/1000,"0") &amp; "K = " &amp; TEXT(F27/1000,"#.##0") &amp; "K")</f>
        <v/>
      </c>
      <c r="U27" s="150">
        <f>IFERROR(G27-W2Q3FY26!G27,"OOS")</f>
        <v/>
      </c>
      <c r="V27" s="147">
        <f>IF(U27=0,"",$A27 &amp; IF(U27&gt;0," tăng "," giảm ") &amp; TEXT(ABS(U27)/1000,"0") &amp; "K = " &amp; TEXT(G27/1000,"#.##0") &amp; "K")</f>
        <v/>
      </c>
    </row>
    <row r="28" ht="15.95" customHeight="1" s="35">
      <c r="A28" t="inlineStr">
        <is>
          <t>AW S11 (42mm CEL)</t>
        </is>
      </c>
      <c r="B28" s="3" t="n"/>
      <c r="C28" s="136" t="n">
        <v>14090000</v>
      </c>
      <c r="D28" s="136" t="n">
        <v>14090000</v>
      </c>
      <c r="E28" s="140" t="n">
        <v>13490000</v>
      </c>
      <c r="F28" s="134" t="n">
        <v>13990000</v>
      </c>
      <c r="G28" s="111" t="n">
        <v>13990000</v>
      </c>
      <c r="H28" s="154" t="n"/>
      <c r="M28" s="149">
        <f>IFERROR(C28-W2Q3FY26!C28,"OOS")</f>
        <v/>
      </c>
      <c r="N28" s="147">
        <f>IF(M28=0,"",$A28 &amp; IF(M28&gt;0," tăng "," giảm ") &amp; TEXT(ABS(M28)/1000,"0") &amp; "K = " &amp; TEXT(C28/1000,"#.##0") &amp; "K")</f>
        <v/>
      </c>
      <c r="O28" s="150">
        <f>IFERROR(D28-W2Q3FY26!D28,"OOS")</f>
        <v/>
      </c>
      <c r="P28" s="147">
        <f>IF(O28=0,"",$A28 &amp; IF(O28&gt;0," tăng "," giảm ") &amp; TEXT(ABS(O28)/1000,"0") &amp; "K = " &amp; TEXT(D28/1000,"#.##0") &amp; "K")</f>
        <v/>
      </c>
      <c r="Q28" s="150">
        <f>IFERROR(E28-W2Q3FY26!E28,"OOS")</f>
        <v/>
      </c>
      <c r="R28" s="147">
        <f>IF(Q28=0,"",$A28 &amp; IF(Q28&gt;0," tăng "," giảm ") &amp; TEXT(ABS(Q28)/1000,"0") &amp; "K = " &amp; TEXT(E28/1000,"#.##0") &amp; "K")</f>
        <v/>
      </c>
      <c r="S28" s="150">
        <f>IFERROR(F28-W2Q3FY26!F28,"OOS")</f>
        <v/>
      </c>
      <c r="T28" s="147">
        <f>IF(S28=0,"",$A28 &amp; IF(S28&gt;0," tăng "," giảm ") &amp; TEXT(ABS(S28)/1000,"0") &amp; "K = " &amp; TEXT(F28/1000,"#.##0") &amp; "K")</f>
        <v/>
      </c>
      <c r="U28" s="150">
        <f>IFERROR(G28-W2Q3FY26!G28,"OOS")</f>
        <v/>
      </c>
      <c r="V28" s="147">
        <f>IF(U28=0,"",$A28 &amp; IF(U28&gt;0," tăng "," giảm ") &amp; TEXT(ABS(U28)/1000,"0") &amp; "K = " &amp; TEXT(G28/1000,"#.##0") &amp; "K")</f>
        <v/>
      </c>
    </row>
    <row r="29" ht="15.95" customHeight="1" s="35">
      <c r="A29" t="inlineStr">
        <is>
          <t>AW S11 (46mm GPS)</t>
        </is>
      </c>
      <c r="B29" s="3" t="n"/>
      <c r="C29" s="136" t="n">
        <v>11990000</v>
      </c>
      <c r="D29" s="136" t="n">
        <v>11990000</v>
      </c>
      <c r="E29" s="140" t="n">
        <v>10990000</v>
      </c>
      <c r="F29" s="133" t="n">
        <v>11990000</v>
      </c>
      <c r="G29" s="111" t="n">
        <v>11890000</v>
      </c>
      <c r="H29" s="154" t="n"/>
      <c r="M29" s="149">
        <f>IFERROR(C29-W2Q3FY26!C29,"OOS")</f>
        <v/>
      </c>
      <c r="N29" s="147">
        <f>IF(M29=0,"",$A29 &amp; IF(M29&gt;0," tăng "," giảm ") &amp; TEXT(ABS(M29)/1000,"0") &amp; "K = " &amp; TEXT(C29/1000,"#.##0") &amp; "K")</f>
        <v/>
      </c>
      <c r="O29" s="150">
        <f>IFERROR(D29-W2Q3FY26!D29,"OOS")</f>
        <v/>
      </c>
      <c r="P29" s="147">
        <f>IF(O29=0,"",$A29 &amp; IF(O29&gt;0," tăng "," giảm ") &amp; TEXT(ABS(O29)/1000,"0") &amp; "K = " &amp; TEXT(D29/1000,"#.##0") &amp; "K")</f>
        <v/>
      </c>
      <c r="Q29" s="150">
        <f>IFERROR(E29-W2Q3FY26!E29,"OOS")</f>
        <v/>
      </c>
      <c r="R29" s="147">
        <f>IF(Q29=0,"",$A29 &amp; IF(Q29&gt;0," tăng "," giảm ") &amp; TEXT(ABS(Q29)/1000,"0") &amp; "K = " &amp; TEXT(E29/1000,"#.##0") &amp; "K")</f>
        <v/>
      </c>
      <c r="S29" s="150">
        <f>IFERROR(F29-W2Q3FY26!F29,"OOS")</f>
        <v/>
      </c>
      <c r="T29" s="147">
        <f>IF(S29=0,"",$A29 &amp; IF(S29&gt;0," tăng "," giảm ") &amp; TEXT(ABS(S29)/1000,"0") &amp; "K = " &amp; TEXT(F29/1000,"#.##0") &amp; "K")</f>
        <v/>
      </c>
      <c r="U29" s="150">
        <f>IFERROR(G29-W2Q3FY26!G29,"OOS")</f>
        <v/>
      </c>
      <c r="V29" s="147">
        <f>IF(U29=0,"",$A29 &amp; IF(U29&gt;0," tăng "," giảm ") &amp; TEXT(ABS(U29)/1000,"0") &amp; "K = " &amp; TEXT(G29/1000,"#.##0") &amp; "K")</f>
        <v/>
      </c>
    </row>
    <row r="30" ht="15.95" customHeight="1" s="35">
      <c r="A30" t="inlineStr">
        <is>
          <t>AW S11 (46mm CEL)</t>
        </is>
      </c>
      <c r="B30" s="3" t="n"/>
      <c r="C30" s="136" t="n">
        <v>14990000</v>
      </c>
      <c r="D30" s="136" t="n">
        <v>14990000</v>
      </c>
      <c r="E30" s="140" t="n">
        <v>13990000</v>
      </c>
      <c r="F30" s="133" t="n">
        <v>14990000</v>
      </c>
      <c r="G30" s="111" t="n">
        <v>14890000</v>
      </c>
      <c r="H30" s="154" t="n"/>
      <c r="M30" s="149">
        <f>IFERROR(C30-W2Q3FY26!C30,"OOS")</f>
        <v/>
      </c>
      <c r="N30" s="147">
        <f>IF(M30=0,"",$A30 &amp; IF(M30&gt;0," tăng "," giảm ") &amp; TEXT(ABS(M30)/1000,"0") &amp; "K = " &amp; TEXT(C30/1000,"#.##0") &amp; "K")</f>
        <v/>
      </c>
      <c r="O30" s="150">
        <f>IFERROR(D30-W2Q3FY26!D30,"OOS")</f>
        <v/>
      </c>
      <c r="P30" s="147">
        <f>IF(O30=0,"",$A30 &amp; IF(O30&gt;0," tăng "," giảm ") &amp; TEXT(ABS(O30)/1000,"0") &amp; "K = " &amp; TEXT(D30/1000,"#.##0") &amp; "K")</f>
        <v/>
      </c>
      <c r="Q30" s="150">
        <f>IFERROR(E30-W2Q3FY26!E30,"OOS")</f>
        <v/>
      </c>
      <c r="R30" s="147">
        <f>IF(Q30=0,"",$A30 &amp; IF(Q30&gt;0," tăng "," giảm ") &amp; TEXT(ABS(Q30)/1000,"0") &amp; "K = " &amp; TEXT(E30/1000,"#.##0") &amp; "K")</f>
        <v/>
      </c>
      <c r="S30" s="150">
        <f>IFERROR(F30-W2Q3FY26!F30,"OOS")</f>
        <v/>
      </c>
      <c r="T30" s="147">
        <f>IF(S30=0,"",$A30 &amp; IF(S30&gt;0," tăng "," giảm ") &amp; TEXT(ABS(S30)/1000,"0") &amp; "K = " &amp; TEXT(F30/1000,"#.##0") &amp; "K")</f>
        <v/>
      </c>
      <c r="U30" s="150">
        <f>IFERROR(G30-W2Q3FY26!G30,"OOS")</f>
        <v/>
      </c>
      <c r="V30" s="147">
        <f>IF(U30=0,"",$A30 &amp; IF(U30&gt;0," tăng "," giảm ") &amp; TEXT(ABS(U30)/1000,"0") &amp; "K = " &amp; TEXT(G30/1000,"#.##0") &amp; "K")</f>
        <v/>
      </c>
    </row>
    <row r="31" ht="15.95" customHeight="1" s="35">
      <c r="A31" t="inlineStr">
        <is>
          <t>AW Ultra 3 (49mm)</t>
        </is>
      </c>
      <c r="B31" s="25" t="n"/>
      <c r="C31" s="136" t="n">
        <v>23490000</v>
      </c>
      <c r="D31" s="136" t="n">
        <v>22990000</v>
      </c>
      <c r="E31" s="113" t="n">
        <v>21990000</v>
      </c>
      <c r="F31" s="133" t="n">
        <v>22990000</v>
      </c>
      <c r="G31" s="111" t="n">
        <v>22990000</v>
      </c>
      <c r="H31" s="154" t="n"/>
      <c r="M31" s="149">
        <f>IFERROR(C31-W2Q3FY26!C31,"OOS")</f>
        <v/>
      </c>
      <c r="N31" s="147">
        <f>IF(M31=0,"",$A31 &amp; IF(M31&gt;0," tăng "," giảm ") &amp; TEXT(ABS(M31)/1000,"0") &amp; "K = " &amp; TEXT(C31/1000,"#.##0") &amp; "K")</f>
        <v/>
      </c>
      <c r="O31" s="150">
        <f>IFERROR(D31-W2Q3FY26!D31,"OOS")</f>
        <v/>
      </c>
      <c r="P31" s="147">
        <f>IF(O31=0,"",$A31 &amp; IF(O31&gt;0," tăng "," giảm ") &amp; TEXT(ABS(O31)/1000,"0") &amp; "K = " &amp; TEXT(D31/1000,"#.##0") &amp; "K")</f>
        <v/>
      </c>
      <c r="Q31" s="150">
        <f>IFERROR(E31-W2Q3FY26!E31,"OOS")</f>
        <v/>
      </c>
      <c r="R31" s="147">
        <f>IF(Q31=0,"",$A31 &amp; IF(Q31&gt;0," tăng "," giảm ") &amp; TEXT(ABS(Q31)/1000,"0") &amp; "K = " &amp; TEXT(E31/1000,"#.##0") &amp; "K")</f>
        <v/>
      </c>
      <c r="S31" s="150">
        <f>IFERROR(F31-W2Q3FY26!F31,"OOS")</f>
        <v/>
      </c>
      <c r="T31" s="147">
        <f>IF(S31=0,"",$A31 &amp; IF(S31&gt;0," tăng "," giảm ") &amp; TEXT(ABS(S31)/1000,"0") &amp; "K = " &amp; TEXT(F31/1000,"#.##0") &amp; "K")</f>
        <v/>
      </c>
      <c r="U31" s="150">
        <f>IFERROR(G31-W2Q3FY26!G31,"OOS")</f>
        <v/>
      </c>
      <c r="V31" s="147">
        <f>IF(U31=0,"",$A31 &amp; IF(U31&gt;0," tăng "," giảm ") &amp; TEXT(ABS(U31)/1000,"0") &amp; "K = " &amp; TEXT(G31/1000,"#.##0") &amp; "K")</f>
        <v/>
      </c>
    </row>
    <row r="32" ht="15.95" customHeight="1" s="35">
      <c r="A32" t="inlineStr">
        <is>
          <t>AirPods Pro 2 - 2023 (C-Type)</t>
        </is>
      </c>
      <c r="B32" s="3" t="n"/>
      <c r="C32" s="136" t="n">
        <v>5190000</v>
      </c>
      <c r="D32" s="136" t="inlineStr">
        <is>
          <t>OOS</t>
        </is>
      </c>
      <c r="E32" s="131" t="inlineStr">
        <is>
          <t>OOS</t>
        </is>
      </c>
      <c r="F32" s="133" t="n">
        <v>5090000</v>
      </c>
      <c r="G32" s="111" t="n">
        <v>5590000</v>
      </c>
      <c r="H32" s="154" t="n"/>
      <c r="M32" s="149">
        <f>IFERROR(C32-W2Q3FY26!C32,"OOS")</f>
        <v/>
      </c>
      <c r="N32" s="147">
        <f>IF(M32=0,"",$A32 &amp; IF(M32&gt;0," tăng "," giảm ") &amp; TEXT(ABS(M32)/1000,"0") &amp; "K = " &amp; TEXT(C32/1000,"#.##0") &amp; "K")</f>
        <v/>
      </c>
      <c r="O32" s="150">
        <f>IFERROR(D32-W2Q3FY26!D32,"OOS")</f>
        <v/>
      </c>
      <c r="P32" s="147">
        <f>IF(O32=0,"",$A32 &amp; IF(O32&gt;0," tăng "," giảm ") &amp; TEXT(ABS(O32)/1000,"0") &amp; "K = " &amp; TEXT(D32/1000,"#.##0") &amp; "K")</f>
        <v/>
      </c>
      <c r="Q32" s="150">
        <f>IFERROR(E32-W2Q3FY26!E32,"OOS")</f>
        <v/>
      </c>
      <c r="R32" s="147">
        <f>IF(Q32=0,"",$A32 &amp; IF(Q32&gt;0," tăng "," giảm ") &amp; TEXT(ABS(Q32)/1000,"0") &amp; "K = " &amp; TEXT(E32/1000,"#.##0") &amp; "K")</f>
        <v/>
      </c>
      <c r="S32" s="150">
        <f>IFERROR(F32-W2Q3FY26!F32,"OOS")</f>
        <v/>
      </c>
      <c r="T32" s="147">
        <f>IF(S32=0,"",$A32 &amp; IF(S32&gt;0," tăng "," giảm ") &amp; TEXT(ABS(S32)/1000,"0") &amp; "K = " &amp; TEXT(F32/1000,"#.##0") &amp; "K")</f>
        <v/>
      </c>
      <c r="U32" s="150">
        <f>IFERROR(G32-W2Q3FY26!G32,"OOS")</f>
        <v/>
      </c>
      <c r="V32" s="147">
        <f>IF(U32=0,"",$A32 &amp; IF(U32&gt;0," tăng "," giảm ") &amp; TEXT(ABS(U32)/1000,"0") &amp; "K = " &amp; TEXT(G32/1000,"#.##0") &amp; "K")</f>
        <v/>
      </c>
    </row>
    <row r="33" ht="15.95" customHeight="1" s="35">
      <c r="A33" t="inlineStr">
        <is>
          <t>AirPods 4 ANC</t>
        </is>
      </c>
      <c r="B33" s="3" t="n"/>
      <c r="C33" s="141" t="n">
        <v>4690000</v>
      </c>
      <c r="D33" s="136" t="n">
        <v>4590000</v>
      </c>
      <c r="E33" s="155" t="n">
        <v>4290000</v>
      </c>
      <c r="F33" s="133" t="n">
        <v>4650000</v>
      </c>
      <c r="G33" s="112" t="n">
        <v>4390000</v>
      </c>
      <c r="H33" s="154" t="n"/>
      <c r="M33" s="149">
        <f>IFERROR(C33-W2Q3FY26!C33,"OOS")</f>
        <v/>
      </c>
      <c r="N33" s="147">
        <f>IF(M33=0,"",$A33 &amp; IF(M33&gt;0," tăng "," giảm ") &amp; TEXT(ABS(M33)/1000,"0") &amp; "K = " &amp; TEXT(C33/1000,"#.##0") &amp; "K")</f>
        <v/>
      </c>
      <c r="O33" s="150">
        <f>IFERROR(D33-W2Q3FY26!D33,"OOS")</f>
        <v/>
      </c>
      <c r="P33" s="147">
        <f>IF(O33=0,"",$A33 &amp; IF(O33&gt;0," tăng "," giảm ") &amp; TEXT(ABS(O33)/1000,"0") &amp; "K = " &amp; TEXT(D33/1000,"#.##0") &amp; "K")</f>
        <v/>
      </c>
      <c r="Q33" s="150">
        <f>IFERROR(E33-W2Q3FY26!E33,"OOS")</f>
        <v/>
      </c>
      <c r="R33" s="147">
        <f>IF(Q33=0,"",$A33 &amp; IF(Q33&gt;0," tăng "," giảm ") &amp; TEXT(ABS(Q33)/1000,"0") &amp; "K = " &amp; TEXT(E33/1000,"#.##0") &amp; "K")</f>
        <v/>
      </c>
      <c r="S33" s="150">
        <f>IFERROR(F33-W2Q3FY26!F33,"OOS")</f>
        <v/>
      </c>
      <c r="T33" s="147">
        <f>IF(S33=0,"",$A33 &amp; IF(S33&gt;0," tăng "," giảm ") &amp; TEXT(ABS(S33)/1000,"0") &amp; "K = " &amp; TEXT(F33/1000,"#.##0") &amp; "K")</f>
        <v/>
      </c>
      <c r="U33" s="150">
        <f>IFERROR(G33-W2Q3FY26!G33,"OOS")</f>
        <v/>
      </c>
      <c r="V33" s="147">
        <f>IF(U33=0,"",$A33 &amp; IF(U33&gt;0," tăng "," giảm ") &amp; TEXT(ABS(U33)/1000,"0") &amp; "K = " &amp; TEXT(G33/1000,"#.##0") &amp; "K")</f>
        <v/>
      </c>
    </row>
    <row r="34" ht="15.95" customHeight="1" s="35">
      <c r="A34" t="inlineStr">
        <is>
          <t>AirPods 4 with charging case</t>
        </is>
      </c>
      <c r="B34" s="3" t="n"/>
      <c r="C34" s="136" t="n">
        <v>3490000</v>
      </c>
      <c r="D34" s="136" t="n">
        <v>3490000</v>
      </c>
      <c r="E34" s="155" t="n">
        <v>3290000</v>
      </c>
      <c r="F34" s="133" t="n">
        <v>3490000</v>
      </c>
      <c r="G34" s="112" t="n">
        <v>3290000</v>
      </c>
      <c r="H34" s="154" t="n"/>
      <c r="M34" s="149">
        <f>IFERROR(C34-W2Q3FY26!C34,"OOS")</f>
        <v/>
      </c>
      <c r="N34" s="147">
        <f>IF(M34=0,"",$A34 &amp; IF(M34&gt;0," tăng "," giảm ") &amp; TEXT(ABS(M34)/1000,"0") &amp; "K = " &amp; TEXT(C34/1000,"#.##0") &amp; "K")</f>
        <v/>
      </c>
      <c r="O34" s="150">
        <f>IFERROR(D34-W2Q3FY26!D34,"OOS")</f>
        <v/>
      </c>
      <c r="P34" s="147">
        <f>IF(O34=0,"",$A34 &amp; IF(O34&gt;0," tăng "," giảm ") &amp; TEXT(ABS(O34)/1000,"0") &amp; "K = " &amp; TEXT(D34/1000,"#.##0") &amp; "K")</f>
        <v/>
      </c>
      <c r="Q34" s="150">
        <f>IFERROR(E34-W2Q3FY26!E34,"OOS")</f>
        <v/>
      </c>
      <c r="R34" s="147">
        <f>IF(Q34=0,"",$A34 &amp; IF(Q34&gt;0," tăng "," giảm ") &amp; TEXT(ABS(Q34)/1000,"0") &amp; "K = " &amp; TEXT(E34/1000,"#.##0") &amp; "K")</f>
        <v/>
      </c>
      <c r="S34" s="150">
        <f>IFERROR(F34-W2Q3FY26!F34,"OOS")</f>
        <v/>
      </c>
      <c r="T34" s="147">
        <f>IF(S34=0,"",$A34 &amp; IF(S34&gt;0," tăng "," giảm ") &amp; TEXT(ABS(S34)/1000,"0") &amp; "K = " &amp; TEXT(F34/1000,"#.##0") &amp; "K")</f>
        <v/>
      </c>
      <c r="U34" s="150">
        <f>IFERROR(G34-W2Q3FY26!G34,"OOS")</f>
        <v/>
      </c>
      <c r="V34" s="147">
        <f>IF(U34=0,"",$A34 &amp; IF(U34&gt;0," tăng "," giảm ") &amp; TEXT(ABS(U34)/1000,"0") &amp; "K = " &amp; TEXT(G34/1000,"#.##0") &amp; "K")</f>
        <v/>
      </c>
    </row>
    <row r="35" ht="15.95" customHeight="1" s="35">
      <c r="A35" t="inlineStr">
        <is>
          <t>AirPods Pro 3</t>
        </is>
      </c>
      <c r="B35" s="3" t="n"/>
      <c r="C35" s="136" t="n">
        <v>6590000</v>
      </c>
      <c r="D35" s="136" t="n">
        <v>6590000</v>
      </c>
      <c r="E35" s="135" t="n">
        <v>6290000</v>
      </c>
      <c r="F35" s="133" t="n">
        <v>6590000</v>
      </c>
      <c r="G35" s="112" t="n">
        <v>6290000</v>
      </c>
      <c r="H35" s="154" t="n"/>
      <c r="M35" s="149">
        <f>IFERROR(C35-W2Q3FY26!C35,"OOS")</f>
        <v/>
      </c>
      <c r="N35" s="147">
        <f>IF(M35=0,"",$A35 &amp; IF(M35&gt;0," tăng "," giảm ") &amp; TEXT(ABS(M35)/1000,"0") &amp; "K = " &amp; TEXT(C35/1000,"#.##0") &amp; "K")</f>
        <v/>
      </c>
      <c r="O35" s="150">
        <f>IFERROR(D35-W2Q3FY26!D35,"OOS")</f>
        <v/>
      </c>
      <c r="P35" s="147">
        <f>IF(O35=0,"",$A35 &amp; IF(O35&gt;0," tăng "," giảm ") &amp; TEXT(ABS(O35)/1000,"0") &amp; "K = " &amp; TEXT(D35/1000,"#.##0") &amp; "K")</f>
        <v/>
      </c>
      <c r="Q35" s="150">
        <f>IFERROR(E35-W2Q3FY26!E35,"OOS")</f>
        <v/>
      </c>
      <c r="R35" s="147">
        <f>IF(Q35=0,"",$A35 &amp; IF(Q35&gt;0," tăng "," giảm ") &amp; TEXT(ABS(Q35)/1000,"0") &amp; "K = " &amp; TEXT(E35/1000,"#.##0") &amp; "K")</f>
        <v/>
      </c>
      <c r="S35" s="150">
        <f>IFERROR(F35-W2Q3FY26!F35,"OOS")</f>
        <v/>
      </c>
      <c r="T35" s="147">
        <f>IF(S35=0,"",$A35 &amp; IF(S35&gt;0," tăng "," giảm ") &amp; TEXT(ABS(S35)/1000,"0") &amp; "K = " &amp; TEXT(F35/1000,"#.##0") &amp; "K")</f>
        <v/>
      </c>
      <c r="U35" s="150">
        <f>IFERROR(G35-W2Q3FY26!G35,"OOS")</f>
        <v/>
      </c>
      <c r="V35" s="147">
        <f>IF(U35=0,"",$A35 &amp; IF(U35&gt;0," tăng "," giảm ") &amp; TEXT(ABS(U35)/1000,"0") &amp; "K = " &amp; TEXT(G35/1000,"#.##0") &amp; "K")</f>
        <v/>
      </c>
    </row>
    <row r="36" ht="15.95" customHeight="1" s="35">
      <c r="A36" t="inlineStr">
        <is>
          <t>MacBook Air 13" M5 16/512GB</t>
        </is>
      </c>
      <c r="B36" s="25" t="n"/>
      <c r="C36" s="141" t="n">
        <v>29490000</v>
      </c>
      <c r="D36" s="136" t="n">
        <v>29990000</v>
      </c>
      <c r="E36" s="143" t="n"/>
      <c r="F36" s="112" t="n">
        <v>29490000</v>
      </c>
      <c r="G36" s="111" t="n">
        <v>29990000</v>
      </c>
      <c r="H36" s="154" t="n"/>
      <c r="M36" s="149">
        <f>IFERROR(C36-W2Q3FY26!C36,"OOS")</f>
        <v/>
      </c>
      <c r="N36" s="147">
        <f>IF(M36=0,"",$A36 &amp; IF(M36&gt;0," tăng "," giảm ") &amp; TEXT(ABS(M36)/1000,"0") &amp; "K = " &amp; TEXT(C36/1000,"#.##0") &amp; "K")</f>
        <v/>
      </c>
      <c r="O36" s="150">
        <f>IFERROR(D36-W2Q3FY26!D36,"OOS")</f>
        <v/>
      </c>
      <c r="P36" s="147">
        <f>IF(O36=0,"",$A36 &amp; IF(O36&gt;0," tăng "," giảm ") &amp; TEXT(ABS(O36)/1000,"0") &amp; "K = " &amp; TEXT(D36/1000,"#.##0") &amp; "K")</f>
        <v/>
      </c>
      <c r="Q36" s="150">
        <f>IFERROR(E36-W2Q3FY26!E36,"OOS")</f>
        <v/>
      </c>
      <c r="R36" s="147">
        <f>IF(Q36=0,"",$A36 &amp; IF(Q36&gt;0," tăng "," giảm ") &amp; TEXT(ABS(Q36)/1000,"0") &amp; "K = " &amp; TEXT(E36/1000,"#.##0") &amp; "K")</f>
        <v/>
      </c>
      <c r="S36" s="150">
        <f>IFERROR(F36-W2Q3FY26!F36,"OOS")</f>
        <v/>
      </c>
      <c r="T36" s="147">
        <f>IF(S36=0,"",$A36 &amp; IF(S36&gt;0," tăng "," giảm ") &amp; TEXT(ABS(S36)/1000,"0") &amp; "K = " &amp; TEXT(F36/1000,"#.##0") &amp; "K")</f>
        <v/>
      </c>
      <c r="U36" s="150">
        <f>IFERROR(G36-W2Q3FY26!G37,"OOS")</f>
        <v/>
      </c>
      <c r="V36" s="147">
        <f>IF(U36=0,"",$A36 &amp; IF(U36&gt;0," tăng "," giảm ") &amp; TEXT(ABS(U36)/1000,"0") &amp; "K = " &amp; TEXT(G36/1000,"#.##0") &amp; "K")</f>
        <v/>
      </c>
    </row>
    <row r="37" ht="15.95" customHeight="1" s="35">
      <c r="A37" t="inlineStr">
        <is>
          <t>MacBook NEO A18 Pro ( 8/256GB)</t>
        </is>
      </c>
      <c r="B37" s="25" t="n"/>
      <c r="C37" s="141" t="n">
        <v>15990000</v>
      </c>
      <c r="D37" s="136" t="n">
        <v>16490000</v>
      </c>
      <c r="E37" s="143" t="n"/>
      <c r="F37" s="111" t="n">
        <v>16490000</v>
      </c>
      <c r="G37" s="112" t="n">
        <v>15999000</v>
      </c>
      <c r="H37" s="154" t="n"/>
      <c r="M37" s="149">
        <f>IFERROR(C37-W2Q3FY26!C37,"OOS")</f>
        <v/>
      </c>
      <c r="N37" s="147">
        <f>IF(M37=0,"",$A37 &amp; IF(M37&gt;0," tăng "," giảm ") &amp; TEXT(ABS(M37)/1000,"0") &amp; "K = " &amp; TEXT(C37/1000,"#.##0") &amp; "K")</f>
        <v/>
      </c>
      <c r="O37" s="150">
        <f>IFERROR(D37-W2Q3FY26!D37,"OOS")</f>
        <v/>
      </c>
      <c r="P37" s="147">
        <f>IF(O37=0,"",$A37 &amp; IF(O37&gt;0," tăng "," giảm ") &amp; TEXT(ABS(O37)/1000,"0") &amp; "K = " &amp; TEXT(D37/1000,"#.##0") &amp; "K")</f>
        <v/>
      </c>
      <c r="Q37" s="150">
        <f>IFERROR(E37-W2Q3FY26!E37,"OOS")</f>
        <v/>
      </c>
      <c r="R37" s="147">
        <f>IF(Q37=0,"",$A37 &amp; IF(Q37&gt;0," tăng "," giảm ") &amp; TEXT(ABS(Q37)/1000,"0") &amp; "K = " &amp; TEXT(E37/1000,"#.##0") &amp; "K")</f>
        <v/>
      </c>
      <c r="S37" s="150">
        <f>IFERROR(F37-W2Q3FY26!F37,"OOS")</f>
        <v/>
      </c>
      <c r="T37" s="147">
        <f>IF(S37=0,"",$A37 &amp; IF(S37&gt;0," tăng "," giảm ") &amp; TEXT(ABS(S37)/1000,"0") &amp; "K = " &amp; TEXT(F37/1000,"#.##0") &amp; "K")</f>
        <v/>
      </c>
      <c r="U37" s="150">
        <f>IFERROR(G37-W2Q3FY26!G38,"OOS")</f>
        <v/>
      </c>
      <c r="V37" s="147">
        <f>IF(U37=0,"",$A37 &amp; IF(U37&gt;0," tăng "," giảm ") &amp; TEXT(ABS(U37)/1000,"0") &amp; "K = " &amp; TEXT(G37/1000,"#.##0") &amp; "K")</f>
        <v/>
      </c>
    </row>
    <row r="38" ht="15.95" customHeight="1" s="35">
      <c r="A38" t="inlineStr">
        <is>
          <t>MacBook Air 13" M4 16/256GB</t>
        </is>
      </c>
      <c r="B38" s="3" t="n"/>
      <c r="C38" s="141" t="n">
        <v>25590000</v>
      </c>
      <c r="D38" s="136" t="inlineStr">
        <is>
          <t>OOS</t>
        </is>
      </c>
      <c r="E38" s="143" t="n"/>
      <c r="F38" s="133" t="n">
        <v>25590000</v>
      </c>
      <c r="G38" s="111" t="n">
        <v>24590000</v>
      </c>
      <c r="H38" s="154" t="n"/>
      <c r="J38" t="inlineStr">
        <is>
          <t>`</t>
        </is>
      </c>
      <c r="M38" s="149">
        <f>IFERROR(C38-W2Q3FY26!C38,"OOS")</f>
        <v/>
      </c>
      <c r="N38" s="147">
        <f>IF(M38=0,"",$A38 &amp; IF(M38&gt;0," tăng "," giảm ") &amp; TEXT(ABS(M38)/1000,"0") &amp; "K = " &amp; TEXT(C38/1000,"#.##0") &amp; "K")</f>
        <v/>
      </c>
      <c r="O38" s="150">
        <f>IFERROR(D38-W2Q3FY26!D38,"OOS")</f>
        <v/>
      </c>
      <c r="P38" s="147">
        <f>IF(O38=0,"",$A38 &amp; IF(O38&gt;0," tăng "," giảm ") &amp; TEXT(ABS(O38)/1000,"0") &amp; "K = " &amp; TEXT(D38/1000,"#.##0") &amp; "K")</f>
        <v/>
      </c>
      <c r="Q38" s="150">
        <f>IFERROR(E38-W2Q3FY26!E38,"OOS")</f>
        <v/>
      </c>
      <c r="R38" s="147">
        <f>IF(Q38=0,"",$A38 &amp; IF(Q38&gt;0," tăng "," giảm ") &amp; TEXT(ABS(Q38)/1000,"0") &amp; "K = " &amp; TEXT(E38/1000,"#.##0") &amp; "K")</f>
        <v/>
      </c>
      <c r="S38" s="150">
        <f>IFERROR(F38-W2Q3FY26!F38,"OOS")</f>
        <v/>
      </c>
      <c r="T38" s="147">
        <f>IF(S38=0,"",$A38 &amp; IF(S38&gt;0," tăng "," giảm ") &amp; TEXT(ABS(S38)/1000,"0") &amp; "K = " &amp; TEXT(F38/1000,"#.##0") &amp; "K")</f>
        <v/>
      </c>
      <c r="U38" s="150">
        <f>IFERROR(G38-W2Q3FY26!G39,"OOS")</f>
        <v/>
      </c>
      <c r="V38" s="147">
        <f>IF(U38=0,"",$A38 &amp; IF(U38&gt;0," tăng "," giảm ") &amp; TEXT(ABS(U38)/1000,"0") &amp; "K = " &amp; TEXT(G38/1000,"#.##0") &amp; "K")</f>
        <v/>
      </c>
    </row>
    <row r="39" ht="15.95" customHeight="1" s="35">
      <c r="A39" t="inlineStr">
        <is>
          <t>MacBook Air 15" M4 16/256GB</t>
        </is>
      </c>
      <c r="B39" s="25" t="n"/>
      <c r="C39" s="136" t="n">
        <v>29990000</v>
      </c>
      <c r="D39" s="136" t="n">
        <v>29490000</v>
      </c>
      <c r="E39" s="143" t="n"/>
      <c r="F39" s="133" t="n">
        <v>29990000</v>
      </c>
      <c r="G39" s="111" t="n">
        <v>28990000</v>
      </c>
      <c r="H39" s="154" t="n"/>
      <c r="M39" s="149">
        <f>IFERROR(C39-W2Q3FY26!C39,"OOS")</f>
        <v/>
      </c>
      <c r="N39" s="147">
        <f>IF(M39=0,"",$A39 &amp; IF(M39&gt;0," tăng "," giảm ") &amp; TEXT(ABS(M39)/1000,"0") &amp; "K = " &amp; TEXT(C39/1000,"#.##0") &amp; "K")</f>
        <v/>
      </c>
      <c r="O39" s="150">
        <f>IFERROR(D39-W2Q3FY26!D39,"OOS")</f>
        <v/>
      </c>
      <c r="P39" s="147">
        <f>IF(O39=0,"",$A39 &amp; IF(O39&gt;0," tăng "," giảm ") &amp; TEXT(ABS(O39)/1000,"0") &amp; "K = " &amp; TEXT(D39/1000,"#.##0") &amp; "K")</f>
        <v/>
      </c>
      <c r="Q39" s="150">
        <f>IFERROR(E39-W2Q3FY26!E39,"OOS")</f>
        <v/>
      </c>
      <c r="R39" s="147">
        <f>IF(Q39=0,"",$A39 &amp; IF(Q39&gt;0," tăng "," giảm ") &amp; TEXT(ABS(Q39)/1000,"0") &amp; "K = " &amp; TEXT(E39/1000,"#.##0") &amp; "K")</f>
        <v/>
      </c>
      <c r="S39" s="150">
        <f>IFERROR(F39-W2Q3FY26!F39,"OOS")</f>
        <v/>
      </c>
      <c r="T39" s="147">
        <f>IF(S39=0,"",$A39 &amp; IF(S39&gt;0," tăng "," giảm ") &amp; TEXT(ABS(S39)/1000,"0") &amp; "K = " &amp; TEXT(F39/1000,"#.##0") &amp; "K")</f>
        <v/>
      </c>
      <c r="U39" s="150">
        <f>IFERROR(G39-W2Q3FY26!G40,"OOS")</f>
        <v/>
      </c>
      <c r="V39" s="147">
        <f>IF(U39=0,"",$A39 &amp; IF(U39&gt;0," tăng "," giảm ") &amp; TEXT(ABS(U39)/1000,"0") &amp; "K = " &amp; TEXT(G39/1000,"#.##0") &amp; "K")</f>
        <v/>
      </c>
    </row>
    <row r="40" ht="15.95" customHeight="1" s="35">
      <c r="A40" t="inlineStr">
        <is>
          <t>MacBook Pro 14" M4 16/512GB</t>
        </is>
      </c>
      <c r="B40" s="25" t="n"/>
      <c r="C40" s="136" t="inlineStr">
        <is>
          <t>OOS</t>
        </is>
      </c>
      <c r="D40" s="136" t="inlineStr">
        <is>
          <t>OOS</t>
        </is>
      </c>
      <c r="E40" s="143" t="n"/>
      <c r="F40" s="111" t="inlineStr">
        <is>
          <t>OOS</t>
        </is>
      </c>
      <c r="G40" s="111" t="n">
        <v>38390000</v>
      </c>
      <c r="H40" s="154" t="n"/>
      <c r="M40" s="149">
        <f>IFERROR(C40-W2Q3FY26!C40,"OOS")</f>
        <v/>
      </c>
      <c r="N40" s="147">
        <f>IF(M40=0,"",$A40 &amp; IF(M40&gt;0," tăng "," giảm ") &amp; TEXT(ABS(M40)/1000,"0") &amp; "K = " &amp; TEXT(C40/1000,"#.##0") &amp; "K")</f>
        <v/>
      </c>
      <c r="O40" s="150">
        <f>IFERROR(D40-W2Q3FY26!D40,"OOS")</f>
        <v/>
      </c>
      <c r="P40" s="147">
        <f>IF(O40=0,"",$A40 &amp; IF(O40&gt;0," tăng "," giảm ") &amp; TEXT(ABS(O40)/1000,"0") &amp; "K = " &amp; TEXT(D40/1000,"#.##0") &amp; "K")</f>
        <v/>
      </c>
      <c r="Q40" s="150">
        <f>IFERROR(E40-W2Q3FY26!E40,"OOS")</f>
        <v/>
      </c>
      <c r="R40" s="147">
        <f>IF(Q40=0,"",$A40 &amp; IF(Q40&gt;0," tăng "," giảm ") &amp; TEXT(ABS(Q40)/1000,"0") &amp; "K = " &amp; TEXT(E40/1000,"#.##0") &amp; "K")</f>
        <v/>
      </c>
      <c r="S40" s="150">
        <f>IFERROR(F40-W2Q3FY26!F40,"OOS")</f>
        <v/>
      </c>
      <c r="T40" s="147">
        <f>IF(S40=0,"",$A40 &amp; IF(S40&gt;0," tăng "," giảm ") &amp; TEXT(ABS(S40)/1000,"0") &amp; "K = " &amp; TEXT(F40/1000,"#.##0") &amp; "K")</f>
        <v/>
      </c>
      <c r="U40" s="150">
        <f>IFERROR(G40-W2Q3FY26!G41,"OOS")</f>
        <v/>
      </c>
      <c r="V40" s="147">
        <f>IF(U40=0,"",$A40 &amp; IF(U40&gt;0," tăng "," giảm ") &amp; TEXT(ABS(U40)/1000,"0") &amp; "K = " &amp; TEXT(G40/1000,"#.##0") &amp; "K")</f>
        <v/>
      </c>
    </row>
    <row r="41" ht="15.95" customHeight="1" s="35">
      <c r="A41" t="inlineStr">
        <is>
          <t>MacBook Pro 14" M5 16/512GB</t>
        </is>
      </c>
      <c r="B41" s="25" t="n"/>
      <c r="C41" s="136" t="n">
        <v>41490000</v>
      </c>
      <c r="D41" s="136" t="n">
        <v>41490000</v>
      </c>
      <c r="E41" s="143" t="n"/>
      <c r="F41" s="133" t="n">
        <v>41490000</v>
      </c>
      <c r="G41" s="111" t="n">
        <v>41490000</v>
      </c>
      <c r="H41" s="154" t="n"/>
      <c r="M41" s="149">
        <f>IFERROR(C41-W2Q3FY26!C41,"OOS")</f>
        <v/>
      </c>
      <c r="N41" s="147">
        <f>IF(M41=0,"",$A41 &amp; IF(M41&gt;0," tăng "," giảm ") &amp; TEXT(ABS(M41)/1000,"0") &amp; "K = " &amp; TEXT(C41/1000,"#.##0") &amp; "K")</f>
        <v/>
      </c>
      <c r="O41" s="150">
        <f>IFERROR(D41-W2Q3FY26!D41,"OOS")</f>
        <v/>
      </c>
      <c r="P41" s="147">
        <f>IF(O41=0,"",$A41 &amp; IF(O41&gt;0," tăng "," giảm ") &amp; TEXT(ABS(O41)/1000,"0") &amp; "K = " &amp; TEXT(D41/1000,"#.##0") &amp; "K")</f>
        <v/>
      </c>
      <c r="Q41" s="150">
        <f>IFERROR(E41-W2Q3FY26!E41,"OOS")</f>
        <v/>
      </c>
      <c r="R41" s="147">
        <f>IF(Q41=0,"",$A41 &amp; IF(Q41&gt;0," tăng "," giảm ") &amp; TEXT(ABS(Q41)/1000,"0") &amp; "K = " &amp; TEXT(E41/1000,"#.##0") &amp; "K")</f>
        <v/>
      </c>
      <c r="S41" s="150">
        <f>IFERROR(F41-W2Q3FY26!F41,"OOS")</f>
        <v/>
      </c>
      <c r="T41" s="147">
        <f>IF(S41=0,"",$A41 &amp; IF(S41&gt;0," tăng "," giảm ") &amp; TEXT(ABS(S41)/1000,"0") &amp; "K = " &amp; TEXT(F41/1000,"#.##0") &amp; "K")</f>
        <v/>
      </c>
      <c r="U41" s="150">
        <f>IFERROR(G41-W2Q3FY26!G42,"OOS")</f>
        <v/>
      </c>
      <c r="V41" s="147">
        <f>IF(U41=0,"",$A41 &amp; IF(U41&gt;0," tăng "," giảm ") &amp; TEXT(ABS(U41)/1000,"0") &amp; "K = " &amp; TEXT(G41/1000,"#.##0") &amp; "K")</f>
        <v/>
      </c>
    </row>
    <row r="42" ht="15.95" customHeight="1" s="35">
      <c r="A42" t="inlineStr">
        <is>
          <t>MacBook Pro 16" M4 24/512GB</t>
        </is>
      </c>
      <c r="B42" s="25" t="n"/>
      <c r="C42" s="136" t="inlineStr">
        <is>
          <t>OOS</t>
        </is>
      </c>
      <c r="D42" s="141" t="n">
        <v>63990000</v>
      </c>
      <c r="E42" s="143" t="n"/>
      <c r="F42" s="133" t="n">
        <v>62990000</v>
      </c>
      <c r="G42" s="111" t="n">
        <v>63990000</v>
      </c>
      <c r="H42" s="154" t="n"/>
      <c r="M42" s="149">
        <f>IFERROR(C42-W2Q3FY26!C42,"OOS")</f>
        <v/>
      </c>
      <c r="N42" s="147">
        <f>IF(M42=0,"",$A42 &amp; IF(M42&gt;0," tăng "," giảm ") &amp; TEXT(ABS(M42)/1000,"0") &amp; "K = " &amp; TEXT(C42/1000,"#.##0") &amp; "K")</f>
        <v/>
      </c>
      <c r="O42" s="150">
        <f>IFERROR(D42-W2Q3FY26!D42,"OOS")</f>
        <v/>
      </c>
      <c r="P42" s="147">
        <f>IF(O42=0,"",$A42 &amp; IF(O42&gt;0," tăng "," giảm ") &amp; TEXT(ABS(O42)/1000,"0") &amp; "K = " &amp; TEXT(D42/1000,"#.##0") &amp; "K")</f>
        <v/>
      </c>
      <c r="Q42" s="150">
        <f>IFERROR(E42-W2Q3FY26!E42,"OOS")</f>
        <v/>
      </c>
      <c r="R42" s="147">
        <f>IF(Q42=0,"",$A42 &amp; IF(Q42&gt;0," tăng "," giảm ") &amp; TEXT(ABS(Q42)/1000,"0") &amp; "K = " &amp; TEXT(E42/1000,"#.##0") &amp; "K")</f>
        <v/>
      </c>
      <c r="S42" s="150">
        <f>IFERROR(F42-W2Q3FY26!F42,"OOS")</f>
        <v/>
      </c>
      <c r="T42" s="147">
        <f>IF(S42=0,"",$A42 &amp; IF(S42&gt;0," tăng "," giảm ") &amp; TEXT(ABS(S42)/1000,"0") &amp; "K = " &amp; TEXT(F42/1000,"#.##0") &amp; "K")</f>
        <v/>
      </c>
      <c r="U42" s="150">
        <f>IFERROR(G42-W2Q3FY26!G43,"OOS")</f>
        <v/>
      </c>
      <c r="V42" s="147">
        <f>IF(U42=0,"",$A42 &amp; IF(U42&gt;0," tăng "," giảm ") &amp; TEXT(ABS(U42)/1000,"0") &amp; "K = " &amp; TEXT(G42/1000,"#.##0") &amp; "K")</f>
        <v/>
      </c>
    </row>
    <row r="43" ht="15.95" customHeight="1" s="35">
      <c r="C43" s="125" t="n"/>
      <c r="D43" s="125" t="n"/>
      <c r="V43" s="147">
        <f>IF(U43=0,"",$A43 &amp; IF(U43&gt;0," tăng "," giảm ") &amp; TEXT(ABS(U43)/1000,"0") &amp; "K = " &amp; TEXT(G43/1000,"#.##0") &amp; "K")</f>
        <v/>
      </c>
    </row>
    <row r="44" ht="15.95" customHeight="1" s="35">
      <c r="C44" s="125" t="n"/>
      <c r="D44" s="125" t="n"/>
      <c r="V44" s="147">
        <f>IF(U44=0,"",$A44 &amp; IF(U44&gt;0," tăng "," giảm ") &amp; TEXT(ABS(U44)/1000,"0") &amp; "K = " &amp; TEXT(G44/1000,"#.##0") &amp; "K")</f>
        <v/>
      </c>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row r="152" ht="15.95" customHeight="1" s="35">
      <c r="C152" s="125" t="n"/>
      <c r="D152" s="125" t="n"/>
    </row>
    <row r="153" ht="15.95" customHeight="1" s="35">
      <c r="C153" s="125" t="n"/>
      <c r="D153" s="125" t="n"/>
    </row>
    <row r="154" ht="15.95" customHeight="1" s="35">
      <c r="C154" s="125" t="n"/>
      <c r="D154" s="125" t="n"/>
    </row>
  </sheetData>
  <conditionalFormatting sqref="E2:E42">
    <cfRule type="expression" priority="5" dxfId="3" stopIfTrue="1">
      <formula>$Q2=0</formula>
    </cfRule>
    <cfRule type="expression" priority="6" dxfId="2" stopIfTrue="1">
      <formula>AND($Q2&lt;&gt;0,$Q2&lt;&gt;"")</formula>
    </cfRule>
  </conditionalFormatting>
  <conditionalFormatting sqref="G9:G11">
    <cfRule type="expression" priority="1" dxfId="3" stopIfTrue="1">
      <formula>$Q9=0</formula>
    </cfRule>
    <cfRule type="expression" priority="2" dxfId="2" stopIfTrue="1">
      <formula>AND($Q9&lt;&gt;0,$Q9&lt;&gt;"")</formula>
    </cfRule>
  </conditionalFormatting>
  <conditionalFormatting sqref="N2:N42 P2:P42 R2:R42 T2:T42 V2:V44">
    <cfRule type="containsText" priority="3" operator="containsText" dxfId="1" text="Tăng">
      <formula>NOT(ISERROR(SEARCH("Tăng",N2)))</formula>
    </cfRule>
    <cfRule type="containsText" priority="4"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4.xml><?xml version="1.0" encoding="utf-8"?>
<worksheet xmlns="http://schemas.openxmlformats.org/spreadsheetml/2006/main">
  <sheetPr>
    <outlinePr summaryBelow="1" summaryRight="1"/>
    <pageSetUpPr/>
  </sheetPr>
  <dimension ref="A1:Y154"/>
  <sheetViews>
    <sheetView showGridLines="0" zoomScale="80" zoomScaleNormal="80" workbookViewId="0">
      <pane xSplit="2" ySplit="1" topLeftCell="C3" activePane="bottomRight" state="frozen"/>
      <selection pane="bottomRight" activeCell="N2" sqref="N2"/>
      <selection pane="bottomLeft" activeCell="A2" sqref="A2"/>
      <selection pane="topRight" activeCell="C1" sqref="C1"/>
    </sheetView>
  </sheetViews>
  <sheetFormatPr baseColWidth="8" defaultColWidth="11" defaultRowHeight="15.75" customHeight="1"/>
  <cols>
    <col width="24.5" customWidth="1" style="35" min="1" max="1"/>
    <col hidden="1" width="15.87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8.3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ht="15.95" customHeight="1" s="35">
      <c r="A2" t="inlineStr">
        <is>
          <t>iPhone 17e 256GB</t>
        </is>
      </c>
      <c r="B2" s="83" t="n"/>
      <c r="C2" s="130" t="n">
        <v>17490000</v>
      </c>
      <c r="D2" s="130" t="n">
        <v>17490000</v>
      </c>
      <c r="E2" s="135" t="n">
        <v>17290000</v>
      </c>
      <c r="F2" s="157" t="n">
        <v>17490000</v>
      </c>
      <c r="G2" s="112" t="n">
        <v>17290000</v>
      </c>
      <c r="H2" s="154" t="n"/>
      <c r="M2" s="149">
        <f>IFERROR(C2-W3Q3FY26!C2,"OOS")</f>
        <v/>
      </c>
      <c r="N2" s="147">
        <f>IF(M2=0,"",$A2 &amp; IF(M2&gt;0," tăng "," giảm ") &amp; TEXT(ABS(M2)/1000,"0") &amp; "K = " &amp; TEXT(C2/1000,"#.##0") &amp; "K")</f>
        <v/>
      </c>
      <c r="O2" s="150">
        <f>IFERROR(D2-W3Q3FY26!D2,"OOS")</f>
        <v/>
      </c>
      <c r="P2" s="147">
        <f>IF(O2=0,"",$A2 &amp; IF(O2&gt;0," tăng "," giảm ") &amp; TEXT(ABS(O2)/1000,"0") &amp; "K = " &amp; TEXT(D2/1000,"#.##0") &amp; "K")</f>
        <v/>
      </c>
      <c r="Q2" s="150">
        <f>IFERROR(E2-W3Q3FY26!E2,"OOS")</f>
        <v/>
      </c>
      <c r="R2" s="147">
        <f>IF(Q2=0,"",$A2 &amp; IF(Q2&gt;0," tăng "," giảm ") &amp; TEXT(ABS(Q2)/1000,"0") &amp; "K = " &amp; TEXT(E2/1000,"#.##0") &amp; "K")</f>
        <v/>
      </c>
      <c r="S2" s="150">
        <f>IFERROR(F2-W3Q3FY26!F2,"OOS")</f>
        <v/>
      </c>
      <c r="T2" s="147">
        <f>IF(S2=0,"",$A2 &amp; IF(S2&gt;0," tăng "," giảm ") &amp; TEXT(ABS(S2)/1000,"0") &amp; "K = " &amp; TEXT(F2/1000,"#.##0") &amp; "K")</f>
        <v/>
      </c>
      <c r="U2" s="150">
        <f>IFERROR(G2-W3Q3FY26!G2,"OOS")</f>
        <v/>
      </c>
      <c r="V2" s="147">
        <f>IF(U2=0,"",$A2 &amp; IF(U2&gt;0," tăng "," giảm ") &amp; TEXT(ABS(U2)/1000,"0") &amp; "K = " &amp; TEXT(G2/1000,"#.##0") &amp; "K")</f>
        <v/>
      </c>
    </row>
    <row r="3" ht="15.95" customHeight="1" s="35">
      <c r="A3" t="inlineStr">
        <is>
          <t>iPhone 17  256GB</t>
        </is>
      </c>
      <c r="B3" s="83" t="n"/>
      <c r="C3" s="128" t="n">
        <v>24490000</v>
      </c>
      <c r="D3" s="130" t="n">
        <v>24390000</v>
      </c>
      <c r="E3" s="131" t="n">
        <v>23590000</v>
      </c>
      <c r="F3" s="161" t="n">
        <v>24390000</v>
      </c>
      <c r="G3" s="111" t="n">
        <v>24190000</v>
      </c>
      <c r="H3" s="154" t="n"/>
      <c r="M3" s="149">
        <f>IFERROR(C3-W3Q3FY26!C3,"OOS")</f>
        <v/>
      </c>
      <c r="N3" s="147">
        <f>IF(M3=0,"",$A3 &amp; IF(M3&gt;0," tăng "," giảm ") &amp; TEXT(ABS(M3)/1000,"0") &amp; "K = " &amp; TEXT(C3/1000,"#.##0") &amp; "K")</f>
        <v/>
      </c>
      <c r="O3" s="150">
        <f>IFERROR(D3-W3Q3FY26!D3,"OOS")</f>
        <v/>
      </c>
      <c r="P3" s="147">
        <f>IF(O3=0,"",$A3 &amp; IF(O3&gt;0," tăng "," giảm ") &amp; TEXT(ABS(O3)/1000,"0") &amp; "K = " &amp; TEXT(D3/1000,"#.##0") &amp; "K")</f>
        <v/>
      </c>
      <c r="Q3" s="150">
        <f>IFERROR(E3-W3Q3FY26!E3,"OOS")</f>
        <v/>
      </c>
      <c r="R3" s="147">
        <f>IF(Q3=0,"",$A3 &amp; IF(Q3&gt;0," tăng "," giảm ") &amp; TEXT(ABS(Q3)/1000,"0") &amp; "K = " &amp; TEXT(E3/1000,"#.##0") &amp; "K")</f>
        <v/>
      </c>
      <c r="S3" s="150">
        <f>IFERROR(F3-W3Q3FY26!F3,"OOS")</f>
        <v/>
      </c>
      <c r="T3" s="147">
        <f>IF(S3=0,"",$A3 &amp; IF(S3&gt;0," tăng "," giảm ") &amp; TEXT(ABS(S3)/1000,"0") &amp; "K = " &amp; TEXT(F3/1000,"#.##0") &amp; "K")</f>
        <v/>
      </c>
      <c r="U3" s="150">
        <f>IFERROR(G3-W3Q3FY26!G3,"OOS")</f>
        <v/>
      </c>
      <c r="V3" s="147">
        <f>IF(U3=0,"",$A3 &amp; IF(U3&gt;0," tăng "," giảm ") &amp; TEXT(ABS(U3)/1000,"0") &amp; "K = " &amp; TEXT(G3/1000,"#.##0") &amp; "K")</f>
        <v/>
      </c>
    </row>
    <row r="4" ht="15.95" customHeight="1" s="35">
      <c r="A4" t="inlineStr">
        <is>
          <t>iPhone Air 256G</t>
        </is>
      </c>
      <c r="B4" s="83" t="n"/>
      <c r="C4" s="128" t="n">
        <v>22990000</v>
      </c>
      <c r="D4" s="128" t="n">
        <v>22990000</v>
      </c>
      <c r="E4" s="131" t="n">
        <v>22990000</v>
      </c>
      <c r="F4" s="133" t="n">
        <v>22990000</v>
      </c>
      <c r="G4" s="111" t="n">
        <v>23490000</v>
      </c>
      <c r="H4" s="154" t="n"/>
      <c r="M4" s="149">
        <f>IFERROR(C4-W3Q3FY26!C4,"OOS")</f>
        <v/>
      </c>
      <c r="N4" s="147">
        <f>IF(M4=0,"",$A4 &amp; IF(M4&gt;0," tăng "," giảm ") &amp; TEXT(ABS(M4)/1000,"0") &amp; "K = " &amp; TEXT(C4/1000,"#.##0") &amp; "K")</f>
        <v/>
      </c>
      <c r="O4" s="150">
        <f>IFERROR(D4-W3Q3FY26!D4,"OOS")</f>
        <v/>
      </c>
      <c r="P4" s="147">
        <f>IF(O4=0,"",$A4 &amp; IF(O4&gt;0," tăng "," giảm ") &amp; TEXT(ABS(O4)/1000,"0") &amp; "K = " &amp; TEXT(D4/1000,"#.##0") &amp; "K")</f>
        <v/>
      </c>
      <c r="Q4" s="150">
        <f>IFERROR(E4-W3Q3FY26!E4,"OOS")</f>
        <v/>
      </c>
      <c r="R4" s="147">
        <f>IF(Q4=0,"",$A4 &amp; IF(Q4&gt;0," tăng "," giảm ") &amp; TEXT(ABS(Q4)/1000,"0") &amp; "K = " &amp; TEXT(E4/1000,"#.##0") &amp; "K")</f>
        <v/>
      </c>
      <c r="S4" s="150">
        <f>IFERROR(F4-W3Q3FY26!F4,"OOS")</f>
        <v/>
      </c>
      <c r="T4" s="147">
        <f>IF(S4=0,"",$A4 &amp; IF(S4&gt;0," tăng "," giảm ") &amp; TEXT(ABS(S4)/1000,"0") &amp; "K = " &amp; TEXT(F4/1000,"#.##0") &amp; "K")</f>
        <v/>
      </c>
      <c r="U4" s="150">
        <f>IFERROR(G4-W3Q3FY26!G4,"OOS")</f>
        <v/>
      </c>
      <c r="V4" s="147">
        <f>IF(U4=0,"",$A4 &amp; IF(U4&gt;0," tăng "," giảm ") &amp; TEXT(ABS(U4)/1000,"0") &amp; "K = " &amp; TEXT(G4/1000,"#.##0") &amp; "K")</f>
        <v/>
      </c>
    </row>
    <row r="5" ht="15.95" customHeight="1" s="35">
      <c r="A5" t="inlineStr">
        <is>
          <t>iPhone 17 Pro 256GB</t>
        </is>
      </c>
      <c r="B5" s="83" t="n"/>
      <c r="C5" s="130" t="n">
        <v>34790000</v>
      </c>
      <c r="D5" s="130" t="n">
        <v>34690000</v>
      </c>
      <c r="E5" s="131" t="n">
        <v>33190000</v>
      </c>
      <c r="F5" s="134" t="n">
        <v>34690000</v>
      </c>
      <c r="G5" s="111" t="n">
        <v>33990000</v>
      </c>
      <c r="H5" s="154" t="n"/>
      <c r="M5" s="149">
        <f>IFERROR(C5-W3Q3FY26!C5,"OOS")</f>
        <v/>
      </c>
      <c r="N5" s="147">
        <f>IF(M5=0,"",$A5 &amp; IF(M5&gt;0," tăng "," giảm ") &amp; TEXT(ABS(M5)/1000,"0") &amp; "K = " &amp; TEXT(C5/1000,"#.##0") &amp; "K")</f>
        <v/>
      </c>
      <c r="O5" s="150">
        <f>IFERROR(D5-W3Q3FY26!D5,"OOS")</f>
        <v/>
      </c>
      <c r="P5" s="147">
        <f>IF(O5=0,"",$A5 &amp; IF(O5&gt;0," tăng "," giảm ") &amp; TEXT(ABS(O5)/1000,"0") &amp; "K = " &amp; TEXT(D5/1000,"#.##0") &amp; "K")</f>
        <v/>
      </c>
      <c r="Q5" s="150">
        <f>IFERROR(E5-W3Q3FY26!E5,"OOS")</f>
        <v/>
      </c>
      <c r="R5" s="147">
        <f>IF(Q5=0,"",$A5 &amp; IF(Q5&gt;0," tăng "," giảm ") &amp; TEXT(ABS(Q5)/1000,"0") &amp; "K = " &amp; TEXT(E5/1000,"#.##0") &amp; "K")</f>
        <v/>
      </c>
      <c r="S5" s="150">
        <f>IFERROR(F5-W3Q3FY26!F5,"OOS")</f>
        <v/>
      </c>
      <c r="T5" s="147">
        <f>IF(S5=0,"",$A5 &amp; IF(S5&gt;0," tăng "," giảm ") &amp; TEXT(ABS(S5)/1000,"0") &amp; "K = " &amp; TEXT(F5/1000,"#.##0") &amp; "K")</f>
        <v/>
      </c>
      <c r="U5" s="150">
        <f>IFERROR(G5-W3Q3FY26!G5,"OOS")</f>
        <v/>
      </c>
      <c r="V5" s="147">
        <f>IF(U5=0,"",$A5 &amp; IF(U5&gt;0," tăng "," giảm ") &amp; TEXT(ABS(U5)/1000,"0") &amp; "K = " &amp; TEXT(G5/1000,"#.##0") &amp; "K")</f>
        <v/>
      </c>
    </row>
    <row r="6" ht="15.95" customHeight="1" s="35">
      <c r="A6" t="inlineStr">
        <is>
          <t>iPhone 17 Pro Max 256GB</t>
        </is>
      </c>
      <c r="B6" s="83" t="n"/>
      <c r="C6" s="128" t="n">
        <v>36990000</v>
      </c>
      <c r="D6" s="128" t="n">
        <v>36990000</v>
      </c>
      <c r="E6" s="135" t="n">
        <v>36090000</v>
      </c>
      <c r="F6" s="133" t="n">
        <v>36990000</v>
      </c>
      <c r="G6" s="112" t="n">
        <v>36890000</v>
      </c>
      <c r="H6" s="154" t="n"/>
      <c r="M6" s="149">
        <f>IFERROR(C6-W3Q3FY26!C6,"OOS")</f>
        <v/>
      </c>
      <c r="N6" s="147">
        <f>IF(M6=0,"",$A6 &amp; IF(M6&gt;0," tăng "," giảm ") &amp; TEXT(ABS(M6)/1000,"0") &amp; "K = " &amp; TEXT(C6/1000,"#.##0") &amp; "K")</f>
        <v/>
      </c>
      <c r="O6" s="150">
        <f>IFERROR(D6-W3Q3FY26!D6,"OOS")</f>
        <v/>
      </c>
      <c r="P6" s="147">
        <f>IF(O6=0,"",$A6 &amp; IF(O6&gt;0," tăng "," giảm ") &amp; TEXT(ABS(O6)/1000,"0") &amp; "K = " &amp; TEXT(D6/1000,"#.##0") &amp; "K")</f>
        <v/>
      </c>
      <c r="Q6" s="150">
        <f>IFERROR(E6-W3Q3FY26!E6,"OOS")</f>
        <v/>
      </c>
      <c r="R6" s="147">
        <f>IF(Q6=0,"",$A6 &amp; IF(Q6&gt;0," tăng "," giảm ") &amp; TEXT(ABS(Q6)/1000,"0") &amp; "K = " &amp; TEXT(E6/1000,"#.##0") &amp; "K")</f>
        <v/>
      </c>
      <c r="S6" s="150">
        <f>IFERROR(F6-W3Q3FY26!F6,"OOS")</f>
        <v/>
      </c>
      <c r="T6" s="147">
        <f>IF(S6=0,"",$A6 &amp; IF(S6&gt;0," tăng "," giảm ") &amp; TEXT(ABS(S6)/1000,"0") &amp; "K = " &amp; TEXT(F6/1000,"#.##0") &amp; "K")</f>
        <v/>
      </c>
      <c r="U6" s="150">
        <f>IFERROR(G6-W3Q3FY26!G6,"OOS")</f>
        <v/>
      </c>
      <c r="V6" s="147">
        <f>IF(U6=0,"",$A6 &amp; IF(U6&gt;0," tăng "," giảm ") &amp; TEXT(ABS(U6)/1000,"0") &amp; "K = " &amp; TEXT(G6/1000,"#.##0") &amp; "K")</f>
        <v/>
      </c>
    </row>
    <row r="7" ht="15.95" customHeight="1" s="35">
      <c r="A7" t="inlineStr">
        <is>
          <t>iPhone 16e  128GB</t>
        </is>
      </c>
      <c r="B7" s="83" t="n"/>
      <c r="C7" s="128" t="n">
        <v>15990000</v>
      </c>
      <c r="D7" s="141" t="n">
        <v>14990000</v>
      </c>
      <c r="E7" s="135" t="n">
        <v>11990000</v>
      </c>
      <c r="F7" s="137" t="n">
        <v>11990000</v>
      </c>
      <c r="G7" s="111" t="n">
        <v>15190000</v>
      </c>
      <c r="H7" s="154" t="n"/>
      <c r="M7" s="149">
        <f>IFERROR(C7-W3Q3FY26!C7,"OOS")</f>
        <v/>
      </c>
      <c r="N7" s="147">
        <f>IF(M7=0,"",$A7 &amp; IF(M7&gt;0," tăng "," giảm ") &amp; TEXT(ABS(M7)/1000,"0") &amp; "K = " &amp; TEXT(C7/1000,"#.##0") &amp; "K")</f>
        <v/>
      </c>
      <c r="O7" s="150">
        <f>IFERROR(D7-W3Q3FY26!D7,"OOS")</f>
        <v/>
      </c>
      <c r="P7" s="147">
        <f>IF(O7=0,"",$A7 &amp; IF(O7&gt;0," tăng "," giảm ") &amp; TEXT(ABS(O7)/1000,"0") &amp; "K = " &amp; TEXT(D7/1000,"#.##0") &amp; "K")</f>
        <v/>
      </c>
      <c r="Q7" s="150">
        <f>IFERROR(E7-W3Q3FY26!E7,"OOS")</f>
        <v/>
      </c>
      <c r="R7" s="147">
        <f>IF(Q7=0,"",$A7 &amp; IF(Q7&gt;0," tăng "," giảm ") &amp; TEXT(ABS(Q7)/1000,"0") &amp; "K = " &amp; TEXT(E7/1000,"#.##0") &amp; "K")</f>
        <v/>
      </c>
      <c r="S7" s="150">
        <f>IFERROR(F7-W3Q3FY26!F7,"OOS")</f>
        <v/>
      </c>
      <c r="T7" s="147">
        <f>IF(S7=0,"",$A7 &amp; IF(S7&gt;0," tăng "," giảm ") &amp; TEXT(ABS(S7)/1000,"0") &amp; "K = " &amp; TEXT(F7/1000,"#.##0") &amp; "K")</f>
        <v/>
      </c>
      <c r="U7" s="150">
        <f>IFERROR(G7-W3Q3FY26!G7,"OOS")</f>
        <v/>
      </c>
      <c r="V7" s="147">
        <f>IF(U7=0,"",$A7 &amp; IF(U7&gt;0," tăng "," giảm ") &amp; TEXT(ABS(U7)/1000,"0") &amp; "K = " &amp; TEXT(G7/1000,"#.##0") &amp; "K")</f>
        <v/>
      </c>
    </row>
    <row r="8" ht="15.95" customHeight="1" s="35">
      <c r="A8" t="inlineStr">
        <is>
          <t>iPhone 16 128GB</t>
        </is>
      </c>
      <c r="B8" s="71" t="n"/>
      <c r="C8" s="139" t="n">
        <v>19990000</v>
      </c>
      <c r="D8" s="139" t="n">
        <v>19990000</v>
      </c>
      <c r="E8" s="140" t="n">
        <v>20490000</v>
      </c>
      <c r="F8" s="133" t="n">
        <v>19990000</v>
      </c>
      <c r="G8" s="112" t="n">
        <v>20490000</v>
      </c>
      <c r="H8" s="154" t="n"/>
      <c r="M8" s="149">
        <f>IFERROR(C8-W3Q3FY26!C8,"OOS")</f>
        <v/>
      </c>
      <c r="N8" s="147">
        <f>IF(M8=0,"",$A8 &amp; IF(M8&gt;0," tăng "," giảm ") &amp; TEXT(ABS(M8)/1000,"0") &amp; "K = " &amp; TEXT(C8/1000,"#.##0") &amp; "K")</f>
        <v/>
      </c>
      <c r="O8" s="150">
        <f>IFERROR(D8-W3Q3FY26!D8,"OOS")</f>
        <v/>
      </c>
      <c r="P8" s="147">
        <f>IF(O8=0,"",$A8 &amp; IF(O8&gt;0," tăng "," giảm ") &amp; TEXT(ABS(O8)/1000,"0") &amp; "K = " &amp; TEXT(D8/1000,"#.##0") &amp; "K")</f>
        <v/>
      </c>
      <c r="Q8" s="150">
        <f>IFERROR(E8-W3Q3FY26!E8,"OOS")</f>
        <v/>
      </c>
      <c r="R8" s="147">
        <f>IF(Q8=0,"",$A8 &amp; IF(Q8&gt;0," tăng "," giảm ") &amp; TEXT(ABS(Q8)/1000,"0") &amp; "K = " &amp; TEXT(E8/1000,"#.##0") &amp; "K")</f>
        <v/>
      </c>
      <c r="S8" s="150">
        <f>IFERROR(F8-W3Q3FY26!F8,"OOS")</f>
        <v/>
      </c>
      <c r="T8" s="147">
        <f>IF(S8=0,"",$A8 &amp; IF(S8&gt;0," tăng "," giảm ") &amp; TEXT(ABS(S8)/1000,"0") &amp; "K = " &amp; TEXT(F8/1000,"#.##0") &amp; "K")</f>
        <v/>
      </c>
      <c r="U8" s="150">
        <f>IFERROR(G8-W3Q3FY26!G8,"OOS")</f>
        <v/>
      </c>
      <c r="V8" s="147">
        <f>IF(U8=0,"",$A8 &amp; IF(U8&gt;0," tăng "," giảm ") &amp; TEXT(ABS(U8)/1000,"0") &amp; "K = " &amp; TEXT(G8/1000,"#.##0") &amp; "K")</f>
        <v/>
      </c>
    </row>
    <row r="9" ht="15.95" customHeight="1" s="35">
      <c r="A9" t="inlineStr">
        <is>
          <t>iPhone 16  Plus 128GB</t>
        </is>
      </c>
      <c r="B9" s="3" t="n"/>
      <c r="C9" s="136" t="n">
        <v>23990000</v>
      </c>
      <c r="D9" s="141" t="n">
        <v>23490000</v>
      </c>
      <c r="E9" s="140" t="n">
        <v>23990000</v>
      </c>
      <c r="F9" s="133" t="n">
        <v>23990000</v>
      </c>
      <c r="G9" s="112" t="n">
        <v>24390000</v>
      </c>
      <c r="H9" s="154" t="n"/>
      <c r="M9" s="149">
        <f>IFERROR(C9-W3Q3FY26!C9,"OOS")</f>
        <v/>
      </c>
      <c r="N9" s="147">
        <f>IF(M9=0,"",$A9 &amp; IF(M9&gt;0," tăng "," giảm ") &amp; TEXT(ABS(M9)/1000,"0") &amp; "K = " &amp; TEXT(C9/1000,"#.##0") &amp; "K")</f>
        <v/>
      </c>
      <c r="O9" s="150">
        <f>IFERROR(D9-W3Q3FY26!D9,"OOS")</f>
        <v/>
      </c>
      <c r="P9" s="147">
        <f>IF(O9=0,"",$A9 &amp; IF(O9&gt;0," tăng "," giảm ") &amp; TEXT(ABS(O9)/1000,"0") &amp; "K = " &amp; TEXT(D9/1000,"#.##0") &amp; "K")</f>
        <v/>
      </c>
      <c r="Q9" s="150">
        <f>IFERROR(E9-W3Q3FY26!E9,"OOS")</f>
        <v/>
      </c>
      <c r="R9" s="147">
        <f>IF(Q9=0,"",$A9 &amp; IF(Q9&gt;0," tăng "," giảm ") &amp; TEXT(ABS(Q9)/1000,"0") &amp; "K = " &amp; TEXT(E9/1000,"#.##0") &amp; "K")</f>
        <v/>
      </c>
      <c r="S9" s="150">
        <f>IFERROR(F9-W3Q3FY26!F9,"OOS")</f>
        <v/>
      </c>
      <c r="T9" s="147">
        <f>IF(S9=0,"",$A9 &amp; IF(S9&gt;0," tăng "," giảm ") &amp; TEXT(ABS(S9)/1000,"0") &amp; "K = " &amp; TEXT(F9/1000,"#.##0") &amp; "K")</f>
        <v/>
      </c>
      <c r="U9" s="150">
        <f>IFERROR(G9-W3Q3FY26!G9,"OOS")</f>
        <v/>
      </c>
      <c r="V9" s="147">
        <f>IF(U9=0,"",$A9 &amp; IF(U9&gt;0," tăng "," giảm ") &amp; TEXT(ABS(U9)/1000,"0") &amp; "K = " &amp; TEXT(G9/1000,"#.##0") &amp; "K")</f>
        <v/>
      </c>
    </row>
    <row r="10" ht="15.95" customHeight="1" s="35">
      <c r="A10" t="inlineStr">
        <is>
          <t>iPhone 16 Pro 128GB</t>
        </is>
      </c>
      <c r="B10" s="25" t="n"/>
      <c r="C10" s="136" t="inlineStr">
        <is>
          <t>OOS</t>
        </is>
      </c>
      <c r="D10" s="111" t="n">
        <v>25590000</v>
      </c>
      <c r="E10" s="113" t="inlineStr">
        <is>
          <t>OOS</t>
        </is>
      </c>
      <c r="F10" s="134" t="n">
        <v>24490000</v>
      </c>
      <c r="G10" s="111" t="inlineStr">
        <is>
          <t>OOS</t>
        </is>
      </c>
      <c r="H10" s="154" t="n"/>
      <c r="M10" s="149">
        <f>IFERROR(C10-W3Q3FY26!C10,"OOS")</f>
        <v/>
      </c>
      <c r="N10" s="147">
        <f>IF(M10=0,"",$A10 &amp; IF(M10&gt;0," tăng "," giảm ") &amp; TEXT(ABS(M10)/1000,"0") &amp; "K = " &amp; TEXT(C10/1000,"#.##0") &amp; "K")</f>
        <v/>
      </c>
      <c r="O10" s="150">
        <f>IFERROR(D10-W3Q3FY26!D10,"OOS")</f>
        <v/>
      </c>
      <c r="P10" s="147">
        <f>IF(O10=0,"",$A10 &amp; IF(O10&gt;0," tăng "," giảm ") &amp; TEXT(ABS(O10)/1000,"0") &amp; "K = " &amp; TEXT(D10/1000,"#.##0") &amp; "K")</f>
        <v/>
      </c>
      <c r="Q10" s="150">
        <f>IFERROR(E10-W3Q3FY26!E10,"OOS")</f>
        <v/>
      </c>
      <c r="R10" s="147">
        <f>IF(Q10=0,"",$A10 &amp; IF(Q10&gt;0," tăng "," giảm ") &amp; TEXT(ABS(Q10)/1000,"0") &amp; "K = " &amp; TEXT(E10/1000,"#.##0") &amp; "K")</f>
        <v/>
      </c>
      <c r="S10" s="150">
        <f>IFERROR(F10-W3Q3FY26!F10,"OOS")</f>
        <v/>
      </c>
      <c r="T10" s="147">
        <f>IF(S10=0,"",$A10 &amp; IF(S10&gt;0," tăng "," giảm ") &amp; TEXT(ABS(S10)/1000,"0") &amp; "K = " &amp; TEXT(F10/1000,"#.##0") &amp; "K")</f>
        <v/>
      </c>
      <c r="U10" s="150">
        <f>IFERROR(G10-W3Q3FY26!G10,"OOS")</f>
        <v/>
      </c>
      <c r="V10" s="147">
        <f>IF(U10=0,"",$A10 &amp; IF(U10&gt;0," tăng "," giảm ") &amp; TEXT(ABS(U10)/1000,"0") &amp; "K = " &amp; TEXT(G10/1000,"#.##0") &amp; "K")</f>
        <v/>
      </c>
    </row>
    <row r="11" ht="15.95" customHeight="1" s="35">
      <c r="A11" t="inlineStr">
        <is>
          <t>iPhone 16 Pro Max 256GB</t>
        </is>
      </c>
      <c r="B11" s="3" t="n"/>
      <c r="C11" s="136" t="inlineStr">
        <is>
          <t>OOS</t>
        </is>
      </c>
      <c r="D11" s="113" t="inlineStr">
        <is>
          <t>OOS</t>
        </is>
      </c>
      <c r="E11" s="113" t="inlineStr">
        <is>
          <t>OOS</t>
        </is>
      </c>
      <c r="F11" s="133" t="n">
        <v>30990000</v>
      </c>
      <c r="G11" s="111" t="inlineStr">
        <is>
          <t>OOS</t>
        </is>
      </c>
      <c r="H11" s="154" t="n"/>
      <c r="M11" s="149">
        <f>IFERROR(C11-W3Q3FY26!C11,"OOS")</f>
        <v/>
      </c>
      <c r="N11" s="147">
        <f>IF(M11=0,"",$A11 &amp; IF(M11&gt;0," tăng "," giảm ") &amp; TEXT(ABS(M11)/1000,"0") &amp; "K = " &amp; TEXT(C11/1000,"#.##0") &amp; "K")</f>
        <v/>
      </c>
      <c r="O11" s="150">
        <f>IFERROR(D11-W3Q3FY26!D11,"OOS")</f>
        <v/>
      </c>
      <c r="P11" s="147">
        <f>IF(O11=0,"",$A11 &amp; IF(O11&gt;0," tăng "," giảm ") &amp; TEXT(ABS(O11)/1000,"0") &amp; "K = " &amp; TEXT(D11/1000,"#.##0") &amp; "K")</f>
        <v/>
      </c>
      <c r="Q11" s="150">
        <f>IFERROR(E11-W3Q3FY26!E11,"OOS")</f>
        <v/>
      </c>
      <c r="R11" s="147">
        <f>IF(Q11=0,"",$A11 &amp; IF(Q11&gt;0," tăng "," giảm ") &amp; TEXT(ABS(Q11)/1000,"0") &amp; "K = " &amp; TEXT(E11/1000,"#.##0") &amp; "K")</f>
        <v/>
      </c>
      <c r="S11" s="150">
        <f>IFERROR(F11-W3Q3FY26!F11,"OOS")</f>
        <v/>
      </c>
      <c r="T11" s="147">
        <f>IF(S11=0,"",$A11 &amp; IF(S11&gt;0," tăng "," giảm ") &amp; TEXT(ABS(S11)/1000,"0") &amp; "K = " &amp; TEXT(F11/1000,"#.##0") &amp; "K")</f>
        <v/>
      </c>
      <c r="U11" s="150">
        <f>IFERROR(G11-W3Q3FY26!G11,"OOS")</f>
        <v/>
      </c>
      <c r="V11" s="147">
        <f>IF(U11=0,"",$A11 &amp; IF(U11&gt;0," tăng "," giảm ") &amp; TEXT(ABS(U11)/1000,"0") &amp; "K = " &amp; TEXT(G11/1000,"#.##0") &amp; "K")</f>
        <v/>
      </c>
    </row>
    <row r="12" ht="15.95" customHeight="1" s="35">
      <c r="A12" t="inlineStr">
        <is>
          <t>iPhone 15  128GB</t>
        </is>
      </c>
      <c r="B12" s="25" t="n"/>
      <c r="C12" s="136" t="n">
        <v>17590000</v>
      </c>
      <c r="D12" s="141" t="n">
        <v>17490000</v>
      </c>
      <c r="E12" s="155" t="n">
        <v>17190000</v>
      </c>
      <c r="F12" s="133" t="n">
        <v>17590000</v>
      </c>
      <c r="G12" s="112" t="n">
        <v>17490000</v>
      </c>
      <c r="H12" s="154" t="n"/>
      <c r="M12" s="149">
        <f>IFERROR(C12-W3Q3FY26!C12,"OOS")</f>
        <v/>
      </c>
      <c r="N12" s="147">
        <f>IF(M12=0,"",$A12 &amp; IF(M12&gt;0," tăng "," giảm ") &amp; TEXT(ABS(M12)/1000,"0") &amp; "K = " &amp; TEXT(C12/1000,"#.##0") &amp; "K")</f>
        <v/>
      </c>
      <c r="O12" s="150">
        <f>IFERROR(D12-W3Q3FY26!D12,"OOS")</f>
        <v/>
      </c>
      <c r="P12" s="147">
        <f>IF(O12=0,"",$A12 &amp; IF(O12&gt;0," tăng "," giảm ") &amp; TEXT(ABS(O12)/1000,"0") &amp; "K = " &amp; TEXT(D12/1000,"#.##0") &amp; "K")</f>
        <v/>
      </c>
      <c r="Q12" s="150">
        <f>IFERROR(E12-W3Q3FY26!E12,"OOS")</f>
        <v/>
      </c>
      <c r="R12" s="147">
        <f>IF(Q12=0,"",$A12 &amp; IF(Q12&gt;0," tăng "," giảm ") &amp; TEXT(ABS(Q12)/1000,"0") &amp; "K = " &amp; TEXT(E12/1000,"#.##0") &amp; "K")</f>
        <v/>
      </c>
      <c r="S12" s="150">
        <f>IFERROR(F12-W3Q3FY26!F12,"OOS")</f>
        <v/>
      </c>
      <c r="T12" s="147">
        <f>IF(S12=0,"",$A12 &amp; IF(S12&gt;0," tăng "," giảm ") &amp; TEXT(ABS(S12)/1000,"0") &amp; "K = " &amp; TEXT(F12/1000,"#.##0") &amp; "K")</f>
        <v/>
      </c>
      <c r="U12" s="150">
        <f>IFERROR(G12-W3Q3FY26!G12,"OOS")</f>
        <v/>
      </c>
      <c r="V12" s="147">
        <f>IF(U12=0,"",$A12 &amp; IF(U12&gt;0," tăng "," giảm ") &amp; TEXT(ABS(U12)/1000,"0") &amp; "K = " &amp; TEXT(G12/1000,"#.##0") &amp; "K")</f>
        <v/>
      </c>
    </row>
    <row r="13" ht="15.95" customHeight="1" s="35">
      <c r="A13" t="inlineStr">
        <is>
          <t>iPhone 15  Plus 128GB</t>
        </is>
      </c>
      <c r="B13" s="25" t="n"/>
      <c r="C13" s="136" t="n">
        <v>17990000</v>
      </c>
      <c r="D13" s="136" t="inlineStr">
        <is>
          <t>OOS</t>
        </is>
      </c>
      <c r="E13" s="131" t="inlineStr">
        <is>
          <t>OOS</t>
        </is>
      </c>
      <c r="F13" s="133" t="n">
        <v>17690000</v>
      </c>
      <c r="G13" s="111" t="inlineStr">
        <is>
          <t>OOS</t>
        </is>
      </c>
      <c r="H13" s="154" t="n"/>
      <c r="M13" s="149">
        <f>IFERROR(C13-W3Q3FY26!C13,"OOS")</f>
        <v/>
      </c>
      <c r="N13" s="147">
        <f>IF(M13=0,"",$A13 &amp; IF(M13&gt;0," tăng "," giảm ") &amp; TEXT(ABS(M13)/1000,"0") &amp; "K = " &amp; TEXT(C13/1000,"#.##0") &amp; "K")</f>
        <v/>
      </c>
      <c r="O13" s="150">
        <f>IFERROR(D13-W3Q3FY26!D13,"OOS")</f>
        <v/>
      </c>
      <c r="P13" s="147">
        <f>IF(O13=0,"",$A13 &amp; IF(O13&gt;0," tăng "," giảm ") &amp; TEXT(ABS(O13)/1000,"0") &amp; "K = " &amp; TEXT(D13/1000,"#.##0") &amp; "K")</f>
        <v/>
      </c>
      <c r="Q13" s="150">
        <f>IFERROR(E13-W3Q3FY26!E13,"OOS")</f>
        <v/>
      </c>
      <c r="R13" s="147">
        <f>IF(Q13=0,"",$A13 &amp; IF(Q13&gt;0," tăng "," giảm ") &amp; TEXT(ABS(Q13)/1000,"0") &amp; "K = " &amp; TEXT(E13/1000,"#.##0") &amp; "K")</f>
        <v/>
      </c>
      <c r="S13" s="150">
        <f>IFERROR(F13-W3Q3FY26!F13,"OOS")</f>
        <v/>
      </c>
      <c r="T13" s="147">
        <f>IF(S13=0,"",$A13 &amp; IF(S13&gt;0," tăng "," giảm ") &amp; TEXT(ABS(S13)/1000,"0") &amp; "K = " &amp; TEXT(F13/1000,"#.##0") &amp; "K")</f>
        <v/>
      </c>
      <c r="U13" s="150">
        <f>IFERROR(G13-W3Q3FY26!G13,"OOS")</f>
        <v/>
      </c>
      <c r="V13" s="147">
        <f>IF(U13=0,"",$A13 &amp; IF(U13&gt;0," tăng "," giảm ") &amp; TEXT(ABS(U13)/1000,"0") &amp; "K = " &amp; TEXT(G13/1000,"#.##0") &amp; "K")</f>
        <v/>
      </c>
    </row>
    <row r="14" ht="15.95" customHeight="1" s="35">
      <c r="A14" t="inlineStr">
        <is>
          <t>iPhone 14 128GB</t>
        </is>
      </c>
      <c r="B14" s="25" t="n"/>
      <c r="C14" s="136" t="n">
        <v>13990000</v>
      </c>
      <c r="D14" s="141" t="n">
        <v>13490000</v>
      </c>
      <c r="E14" s="131" t="n">
        <v>13790000</v>
      </c>
      <c r="F14" s="133" t="n">
        <v>13990000</v>
      </c>
      <c r="G14" s="111" t="n">
        <v>12990000</v>
      </c>
      <c r="H14" s="154" t="n"/>
      <c r="M14" s="149">
        <f>IFERROR(C14-W3Q3FY26!C14,"OOS")</f>
        <v/>
      </c>
      <c r="N14" s="147">
        <f>IF(M14=0,"",$A14 &amp; IF(M14&gt;0," tăng "," giảm ") &amp; TEXT(ABS(M14)/1000,"0") &amp; "K = " &amp; TEXT(C14/1000,"#.##0") &amp; "K")</f>
        <v/>
      </c>
      <c r="O14" s="150">
        <f>IFERROR(D14-W3Q3FY26!D14,"OOS")</f>
        <v/>
      </c>
      <c r="P14" s="147">
        <f>IF(O14=0,"",$A14 &amp; IF(O14&gt;0," tăng "," giảm ") &amp; TEXT(ABS(O14)/1000,"0") &amp; "K = " &amp; TEXT(D14/1000,"#.##0") &amp; "K")</f>
        <v/>
      </c>
      <c r="Q14" s="150">
        <f>IFERROR(E14-W3Q3FY26!E14,"OOS")</f>
        <v/>
      </c>
      <c r="R14" s="147">
        <f>IF(Q14=0,"",$A14 &amp; IF(Q14&gt;0," tăng "," giảm ") &amp; TEXT(ABS(Q14)/1000,"0") &amp; "K = " &amp; TEXT(E14/1000,"#.##0") &amp; "K")</f>
        <v/>
      </c>
      <c r="S14" s="150">
        <f>IFERROR(F14-W3Q3FY26!F14,"OOS")</f>
        <v/>
      </c>
      <c r="T14" s="147">
        <f>IF(S14=0,"",$A14 &amp; IF(S14&gt;0," tăng "," giảm ") &amp; TEXT(ABS(S14)/1000,"0") &amp; "K = " &amp; TEXT(F14/1000,"#.##0") &amp; "K")</f>
        <v/>
      </c>
      <c r="U14" s="150">
        <f>IFERROR(G14-W3Q3FY26!G14,"OOS")</f>
        <v/>
      </c>
      <c r="V14" s="147">
        <f>IF(U14=0,"",$A14 &amp; IF(U14&gt;0," tăng "," giảm ") &amp; TEXT(ABS(U14)/1000,"0") &amp; "K = " &amp; TEXT(G14/1000,"#.##0") &amp; "K")</f>
        <v/>
      </c>
    </row>
    <row r="15" ht="15.95" customHeight="1" s="35">
      <c r="A15" t="inlineStr">
        <is>
          <t>iPhone 13  128GB</t>
        </is>
      </c>
      <c r="B15" s="3" t="n"/>
      <c r="C15" s="136" t="n">
        <v>11990000</v>
      </c>
      <c r="D15" s="136" t="n">
        <v>11990000</v>
      </c>
      <c r="E15" s="140" t="n">
        <v>12090000</v>
      </c>
      <c r="F15" s="133" t="n">
        <v>11990000</v>
      </c>
      <c r="G15" s="111" t="n">
        <v>11890000</v>
      </c>
      <c r="H15" s="154" t="n"/>
      <c r="M15" s="149">
        <f>IFERROR(C15-W3Q3FY26!C15,"OOS")</f>
        <v/>
      </c>
      <c r="N15" s="147">
        <f>IF(M15=0,"",$A15 &amp; IF(M15&gt;0," tăng "," giảm ") &amp; TEXT(ABS(M15)/1000,"0") &amp; "K = " &amp; TEXT(C15/1000,"#.##0") &amp; "K")</f>
        <v/>
      </c>
      <c r="O15" s="150">
        <f>IFERROR(D15-W3Q3FY26!D15,"OOS")</f>
        <v/>
      </c>
      <c r="P15" s="147">
        <f>IF(O15=0,"",$A15 &amp; IF(O15&gt;0," tăng "," giảm ") &amp; TEXT(ABS(O15)/1000,"0") &amp; "K = " &amp; TEXT(D15/1000,"#.##0") &amp; "K")</f>
        <v/>
      </c>
      <c r="Q15" s="150">
        <f>IFERROR(E15-W3Q3FY26!E15,"OOS")</f>
        <v/>
      </c>
      <c r="R15" s="147">
        <f>IF(Q15=0,"",$A15 &amp; IF(Q15&gt;0," tăng "," giảm ") &amp; TEXT(ABS(Q15)/1000,"0") &amp; "K = " &amp; TEXT(E15/1000,"#.##0") &amp; "K")</f>
        <v/>
      </c>
      <c r="S15" s="150">
        <f>IFERROR(F15-W3Q3FY26!F15,"OOS")</f>
        <v/>
      </c>
      <c r="T15" s="147">
        <f>IF(S15=0,"",$A15 &amp; IF(S15&gt;0," tăng "," giảm ") &amp; TEXT(ABS(S15)/1000,"0") &amp; "K = " &amp; TEXT(F15/1000,"#.##0") &amp; "K")</f>
        <v/>
      </c>
      <c r="U15" s="150">
        <f>IFERROR(G15-W3Q3FY26!G15,"OOS")</f>
        <v/>
      </c>
      <c r="V15" s="147">
        <f>IF(U15=0,"",$A15 &amp; IF(U15&gt;0," tăng "," giảm ") &amp; TEXT(ABS(U15)/1000,"0") &amp; "K = " &amp; TEXT(G15/1000,"#.##0") &amp; "K")</f>
        <v/>
      </c>
    </row>
    <row r="16" ht="15.95" customHeight="1" s="35">
      <c r="A16" t="inlineStr">
        <is>
          <t>iPad Mini 7 128GB Wifi</t>
        </is>
      </c>
      <c r="B16" s="25" t="n"/>
      <c r="C16" s="141" t="n">
        <v>12890000</v>
      </c>
      <c r="D16" s="141" t="n">
        <v>13490000</v>
      </c>
      <c r="E16" s="140" t="n">
        <v>13090000</v>
      </c>
      <c r="F16" s="134" t="n">
        <v>12890000</v>
      </c>
      <c r="G16" s="111" t="n">
        <v>13090000</v>
      </c>
      <c r="H16" s="154" t="n"/>
      <c r="M16" s="149">
        <f>IFERROR(C16-W3Q3FY26!C16,"OOS")</f>
        <v/>
      </c>
      <c r="N16" s="147">
        <f>IF(M16=0,"",$A16 &amp; IF(M16&gt;0," tăng "," giảm ") &amp; TEXT(ABS(M16)/1000,"0") &amp; "K = " &amp; TEXT(C16/1000,"#.##0") &amp; "K")</f>
        <v/>
      </c>
      <c r="O16" s="150">
        <f>IFERROR(D16-W3Q3FY26!D16,"OOS")</f>
        <v/>
      </c>
      <c r="P16" s="147">
        <f>IF(O16=0,"",$A16 &amp; IF(O16&gt;0," tăng "," giảm ") &amp; TEXT(ABS(O16)/1000,"0") &amp; "K = " &amp; TEXT(D16/1000,"#.##0") &amp; "K")</f>
        <v/>
      </c>
      <c r="Q16" s="150">
        <f>IFERROR(E16-W3Q3FY26!E16,"OOS")</f>
        <v/>
      </c>
      <c r="R16" s="147">
        <f>IF(Q16=0,"",$A16 &amp; IF(Q16&gt;0," tăng "," giảm ") &amp; TEXT(ABS(Q16)/1000,"0") &amp; "K = " &amp; TEXT(E16/1000,"#.##0") &amp; "K")</f>
        <v/>
      </c>
      <c r="S16" s="150">
        <f>IFERROR(F16-W3Q3FY26!F16,"OOS")</f>
        <v/>
      </c>
      <c r="T16" s="147">
        <f>IF(S16=0,"",$A16 &amp; IF(S16&gt;0," tăng "," giảm ") &amp; TEXT(ABS(S16)/1000,"0") &amp; "K = " &amp; TEXT(F16/1000,"#.##0") &amp; "K")</f>
        <v/>
      </c>
      <c r="U16" s="150">
        <f>IFERROR(G16-W3Q3FY26!G16,"OOS")</f>
        <v/>
      </c>
      <c r="V16" s="147">
        <f>IF(U16=0,"",$A16 &amp; IF(U16&gt;0," tăng "," giảm ") &amp; TEXT(ABS(U16)/1000,"0") &amp; "K = " &amp; TEXT(G16/1000,"#.##0") &amp; "K")</f>
        <v/>
      </c>
    </row>
    <row r="17" ht="15.95" customHeight="1" s="35">
      <c r="A17" t="inlineStr">
        <is>
          <t>iPad Gen 11th  128GB Wifi</t>
        </is>
      </c>
      <c r="B17" s="3" t="n"/>
      <c r="C17" s="141" t="n">
        <v>9290000</v>
      </c>
      <c r="D17" s="136" t="n">
        <v>9290000</v>
      </c>
      <c r="E17" s="155" t="n">
        <v>9190000</v>
      </c>
      <c r="F17" s="134" t="n">
        <v>9290000</v>
      </c>
      <c r="G17" s="112" t="n">
        <v>9290000</v>
      </c>
      <c r="H17" s="154" t="n"/>
      <c r="M17" s="149">
        <f>IFERROR(C17-W3Q3FY26!C17,"OOS")</f>
        <v/>
      </c>
      <c r="N17" s="147">
        <f>IF(M17=0,"",$A17 &amp; IF(M17&gt;0," tăng "," giảm ") &amp; TEXT(ABS(M17)/1000,"0") &amp; "K = " &amp; TEXT(C17/1000,"#.##0") &amp; "K")</f>
        <v/>
      </c>
      <c r="O17" s="150">
        <f>IFERROR(D17-W3Q3FY26!D17,"OOS")</f>
        <v/>
      </c>
      <c r="P17" s="147">
        <f>IF(O17=0,"",$A17 &amp; IF(O17&gt;0," tăng "," giảm ") &amp; TEXT(ABS(O17)/1000,"0") &amp; "K = " &amp; TEXT(D17/1000,"#.##0") &amp; "K")</f>
        <v/>
      </c>
      <c r="Q17" s="150">
        <f>IFERROR(E17-W3Q3FY26!E17,"OOS")</f>
        <v/>
      </c>
      <c r="R17" s="147">
        <f>IF(Q17=0,"",$A17 &amp; IF(Q17&gt;0," tăng "," giảm ") &amp; TEXT(ABS(Q17)/1000,"0") &amp; "K = " &amp; TEXT(E17/1000,"#.##0") &amp; "K")</f>
        <v/>
      </c>
      <c r="S17" s="150">
        <f>IFERROR(F17-W3Q3FY26!F17,"OOS")</f>
        <v/>
      </c>
      <c r="T17" s="147">
        <f>IF(S17=0,"",$A17 &amp; IF(S17&gt;0," tăng "," giảm ") &amp; TEXT(ABS(S17)/1000,"0") &amp; "K = " &amp; TEXT(F17/1000,"#.##0") &amp; "K")</f>
        <v/>
      </c>
      <c r="U17" s="150">
        <f>IFERROR(G17-W3Q3FY26!G17,"OOS")</f>
        <v/>
      </c>
      <c r="V17" s="147">
        <f>IF(U17=0,"",$A17 &amp; IF(U17&gt;0," tăng "," giảm ") &amp; TEXT(ABS(U17)/1000,"0") &amp; "K = " &amp; TEXT(G17/1000,"#.##0") &amp; "K")</f>
        <v/>
      </c>
      <c r="W17" t="inlineStr">
        <is>
          <t xml:space="preserve">MW </t>
        </is>
      </c>
      <c r="X17" t="inlineStr">
        <is>
          <t>Hải</t>
        </is>
      </c>
      <c r="Y17" t="b">
        <v>0</v>
      </c>
    </row>
    <row r="18" ht="15.95" customHeight="1" s="35">
      <c r="A18" t="inlineStr">
        <is>
          <t>iPad Air M3  11" 128 GB Wifi</t>
        </is>
      </c>
      <c r="B18" s="3" t="n"/>
      <c r="C18" s="141" t="n">
        <v>14990000</v>
      </c>
      <c r="D18" s="141" t="n">
        <v>14990000</v>
      </c>
      <c r="E18" s="155" t="n">
        <v>14290000</v>
      </c>
      <c r="F18" s="133" t="n">
        <v>15190000</v>
      </c>
      <c r="G18" s="111" t="inlineStr">
        <is>
          <t>OOS</t>
        </is>
      </c>
      <c r="H18" s="154" t="n"/>
      <c r="M18" s="149">
        <f>IFERROR(C18-W3Q3FY26!C18,"OOS")</f>
        <v/>
      </c>
      <c r="N18" s="147">
        <f>IF(M18=0,"",$A18 &amp; IF(M18&gt;0," tăng "," giảm ") &amp; TEXT(ABS(M18)/1000,"0") &amp; "K = " &amp; TEXT(C18/1000,"#.##0") &amp; "K")</f>
        <v/>
      </c>
      <c r="O18" s="150">
        <f>IFERROR(D18-W3Q3FY26!D18,"OOS")</f>
        <v/>
      </c>
      <c r="P18" s="147">
        <f>IF(O18=0,"",$A18 &amp; IF(O18&gt;0," tăng "," giảm ") &amp; TEXT(ABS(O18)/1000,"0") &amp; "K = " &amp; TEXT(D18/1000,"#.##0") &amp; "K")</f>
        <v/>
      </c>
      <c r="Q18" s="150">
        <f>IFERROR(E18-W3Q3FY26!E18,"OOS")</f>
        <v/>
      </c>
      <c r="R18" s="147">
        <f>IF(Q18=0,"",$A18 &amp; IF(Q18&gt;0," tăng "," giảm ") &amp; TEXT(ABS(Q18)/1000,"0") &amp; "K = " &amp; TEXT(E18/1000,"#.##0") &amp; "K")</f>
        <v/>
      </c>
      <c r="S18" s="150">
        <f>IFERROR(F18-W3Q3FY26!F18,"OOS")</f>
        <v/>
      </c>
      <c r="T18" s="147">
        <f>IF(S18=0,"",$A18 &amp; IF(S18&gt;0," tăng "," giảm ") &amp; TEXT(ABS(S18)/1000,"0") &amp; "K = " &amp; TEXT(F18/1000,"#.##0") &amp; "K")</f>
        <v/>
      </c>
      <c r="U18" s="150">
        <f>IFERROR(G18-W3Q3FY26!G18,"OOS")</f>
        <v/>
      </c>
      <c r="V18" s="147">
        <f>IF(U18=0,"",$A18 &amp; IF(U18&gt;0," tăng "," giảm ") &amp; TEXT(ABS(U18)/1000,"0") &amp; "K = " &amp; TEXT(G18/1000,"#.##0") &amp; "K")</f>
        <v/>
      </c>
      <c r="W18" t="inlineStr">
        <is>
          <t>FPT</t>
        </is>
      </c>
      <c r="X18" t="inlineStr">
        <is>
          <t>Trang</t>
        </is>
      </c>
      <c r="Y18" t="b">
        <v>1</v>
      </c>
    </row>
    <row r="19" ht="15.95" customHeight="1" s="35">
      <c r="A19" t="inlineStr">
        <is>
          <t>iPad Air M4  11" 128 GB Wifi</t>
        </is>
      </c>
      <c r="B19" s="3" t="n"/>
      <c r="C19" s="136" t="n">
        <v>16690000</v>
      </c>
      <c r="D19" s="136" t="n">
        <v>16490000</v>
      </c>
      <c r="E19" s="155" t="n">
        <v>15790000</v>
      </c>
      <c r="F19" s="112" t="n">
        <v>16390000</v>
      </c>
      <c r="G19" s="112" t="n">
        <v>16390000</v>
      </c>
      <c r="H19" s="154" t="n"/>
      <c r="M19" s="149">
        <f>IFERROR(C19-W3Q3FY26!C19,"OOS")</f>
        <v/>
      </c>
      <c r="N19" s="147" t="n"/>
      <c r="O19" s="150">
        <f>IFERROR(D19-W3Q3FY26!D19,"OOS")</f>
        <v/>
      </c>
      <c r="P19" s="147">
        <f>IF(O19=0,"",$A19 &amp; IF(O19&gt;0," tăng "," giảm ") &amp; TEXT(ABS(O19)/1000,"0") &amp; "K = " &amp; TEXT(D19/1000,"#.##0") &amp; "K")</f>
        <v/>
      </c>
      <c r="Q19" s="150">
        <f>IFERROR(E19-W3Q3FY26!E19,"OOS")</f>
        <v/>
      </c>
      <c r="R19" s="147">
        <f>IF(Q19=0,"",$A19 &amp; IF(Q19&gt;0," tăng "," giảm ") &amp; TEXT(ABS(Q19)/1000,"0") &amp; "K = " &amp; TEXT(E19/1000,"#.##0") &amp; "K")</f>
        <v/>
      </c>
      <c r="S19" s="150">
        <f>IFERROR(F19-W3Q3FY26!F19,"OOS")</f>
        <v/>
      </c>
      <c r="T19" s="147" t="n"/>
      <c r="U19" s="150">
        <f>IFERROR(G19-W3Q3FY26!G19,"OOS")</f>
        <v/>
      </c>
      <c r="V19" s="147">
        <f>IF(U19=0,"",$A19 &amp; IF(U19&gt;0," tăng "," giảm ") &amp; TEXT(ABS(U19)/1000,"0") &amp; "K = " &amp; TEXT(G19/1000,"#.##0") &amp; "K")</f>
        <v/>
      </c>
      <c r="W19" t="inlineStr">
        <is>
          <t>Viettel</t>
        </is>
      </c>
      <c r="X19" t="inlineStr">
        <is>
          <t>Nghĩa</t>
        </is>
      </c>
      <c r="Y19" t="b">
        <v>1</v>
      </c>
    </row>
    <row r="20" ht="15.95" customHeight="1" s="35">
      <c r="A20" t="inlineStr">
        <is>
          <t>iPad Air M3  13" 128 GB Wifi</t>
        </is>
      </c>
      <c r="B20" s="25" t="n"/>
      <c r="C20" s="136" t="n">
        <v>19890000</v>
      </c>
      <c r="D20" s="136" t="n">
        <v>19990000</v>
      </c>
      <c r="E20" s="155" t="n">
        <v>19190000</v>
      </c>
      <c r="F20" s="133" t="n">
        <v>18990000</v>
      </c>
      <c r="G20" s="111" t="inlineStr">
        <is>
          <t>OOS</t>
        </is>
      </c>
      <c r="H20" s="154" t="n"/>
      <c r="M20" s="149">
        <f>IFERROR(C20-W3Q3FY26!C20,"OOS")</f>
        <v/>
      </c>
      <c r="N20" s="147">
        <f>IF(M20=0,"",$A20 &amp; IF(M20&gt;0," tăng "," giảm ") &amp; TEXT(ABS(M20)/1000,"0") &amp; "K = " &amp; TEXT(C20/1000,"#.##0") &amp; "K")</f>
        <v/>
      </c>
      <c r="O20" s="150">
        <f>IFERROR(D20-W3Q3FY26!D20,"OOS")</f>
        <v/>
      </c>
      <c r="P20" s="147">
        <f>IF(O20=0,"",$A20 &amp; IF(O20&gt;0," tăng "," giảm ") &amp; TEXT(ABS(O20)/1000,"0") &amp; "K = " &amp; TEXT(D20/1000,"#.##0") &amp; "K")</f>
        <v/>
      </c>
      <c r="Q20" s="150">
        <f>IFERROR(E20-W3Q3FY26!E20,"OOS")</f>
        <v/>
      </c>
      <c r="R20" s="147">
        <f>IF(Q20=0,"",$A20 &amp; IF(Q20&gt;0," tăng "," giảm ") &amp; TEXT(ABS(Q20)/1000,"0") &amp; "K = " &amp; TEXT(E20/1000,"#.##0") &amp; "K")</f>
        <v/>
      </c>
      <c r="S20" s="150">
        <f>IFERROR(F20-W3Q3FY26!F20,"OOS")</f>
        <v/>
      </c>
      <c r="T20" s="147">
        <f>IF(S20=0,"",$A20 &amp; IF(S20&gt;0," tăng "," giảm ") &amp; TEXT(ABS(S20)/1000,"0") &amp; "K = " &amp; TEXT(F20/1000,"#.##0") &amp; "K")</f>
        <v/>
      </c>
      <c r="U20" s="150">
        <f>IFERROR(G20-W3Q3FY26!G20,"OOS")</f>
        <v/>
      </c>
      <c r="V20" s="147">
        <f>IF(U20=0,"",$A20 &amp; IF(U20&gt;0," tăng "," giảm ") &amp; TEXT(ABS(U20)/1000,"0") &amp; "K = " &amp; TEXT(G20/1000,"#.##0") &amp; "K")</f>
        <v/>
      </c>
      <c r="W20" t="inlineStr">
        <is>
          <t>CPS</t>
        </is>
      </c>
      <c r="X20" t="inlineStr">
        <is>
          <t>Duy</t>
        </is>
      </c>
      <c r="Y20" t="b">
        <v>0</v>
      </c>
    </row>
    <row r="21" ht="15.95" customHeight="1" s="35">
      <c r="A21" t="inlineStr">
        <is>
          <t>iPad Air M4  13" 128 GB Wifi</t>
        </is>
      </c>
      <c r="B21" s="25" t="n"/>
      <c r="C21" s="136" t="n">
        <v>22090000</v>
      </c>
      <c r="D21" s="136" t="n">
        <v>21990000</v>
      </c>
      <c r="E21" s="162" t="n">
        <v>21290000</v>
      </c>
      <c r="F21" s="136" t="n">
        <v>22090000</v>
      </c>
      <c r="G21" s="111" t="n"/>
      <c r="H21" s="154" t="n"/>
      <c r="M21" s="149" t="n"/>
      <c r="N21" s="147" t="n"/>
      <c r="O21" s="150" t="n"/>
      <c r="P21" s="147">
        <f>IF(O21=0,"",$A21 &amp; IF(O21&gt;0," tăng "," giảm ") &amp; TEXT(ABS(O21)/1000,"0") &amp; "K = " &amp; TEXT(D21/1000,"#.##0") &amp; "K")</f>
        <v/>
      </c>
      <c r="Q21" s="150" t="n"/>
      <c r="R21" s="147">
        <f>IF(Q21=0,"",$A21 &amp; IF(Q21&gt;0," tăng "," giảm ") &amp; TEXT(ABS(Q21)/1000,"0") &amp; "K = " &amp; TEXT(E21/1000,"#.##0") &amp; "K")</f>
        <v/>
      </c>
      <c r="S21" s="150" t="n"/>
      <c r="T21" s="147" t="n"/>
      <c r="U21" s="150" t="n"/>
      <c r="V21" s="147" t="n"/>
    </row>
    <row r="22" ht="15.95" customHeight="1" s="35">
      <c r="A22" t="inlineStr">
        <is>
          <t>iPad Pro M5 11” 256GB Wifi</t>
        </is>
      </c>
      <c r="B22" s="3" t="n"/>
      <c r="C22" s="136" t="n">
        <v>28190000</v>
      </c>
      <c r="D22" s="136" t="n">
        <v>28190000</v>
      </c>
      <c r="E22" s="124" t="n">
        <v>28490000</v>
      </c>
      <c r="F22" s="133" t="n">
        <v>28190000</v>
      </c>
      <c r="G22" s="112" t="n">
        <v>28190000</v>
      </c>
      <c r="H22" s="154" t="n"/>
      <c r="M22" s="149">
        <f>IFERROR(C22-W3Q3FY26!C21,"OOS")</f>
        <v/>
      </c>
      <c r="N22" s="147">
        <f>IF(M22=0,"",$A22 &amp; IF(M22&gt;0," tăng "," giảm ") &amp; TEXT(ABS(M22)/1000,"0") &amp; "K = " &amp; TEXT(C22/1000,"#.##0") &amp; "K")</f>
        <v/>
      </c>
      <c r="O22" s="150">
        <f>IFERROR(D22-W3Q3FY26!D21,"OOS")</f>
        <v/>
      </c>
      <c r="P22" s="147">
        <f>IF(O22=0,"",$A22 &amp; IF(O22&gt;0," tăng "," giảm ") &amp; TEXT(ABS(O22)/1000,"0") &amp; "K = " &amp; TEXT(D22/1000,"#.##0") &amp; "K")</f>
        <v/>
      </c>
      <c r="Q22" s="150">
        <f>IFERROR(E22-W3Q3FY26!E21,"OOS")</f>
        <v/>
      </c>
      <c r="R22" s="147">
        <f>IF(Q22=0,"",$A22 &amp; IF(Q22&gt;0," tăng "," giảm ") &amp; TEXT(ABS(Q22)/1000,"0") &amp; "K = " &amp; TEXT(E22/1000,"#.##0") &amp; "K")</f>
        <v/>
      </c>
      <c r="S22" s="150">
        <f>IFERROR(F22-W3Q3FY26!F21,"OOS")</f>
        <v/>
      </c>
      <c r="T22" s="147">
        <f>IF(S22=0,"",$A22 &amp; IF(S22&gt;0," tăng "," giảm ") &amp; TEXT(ABS(S22)/1000,"0") &amp; "K = " &amp; TEXT(F22/1000,"#.##0") &amp; "K")</f>
        <v/>
      </c>
      <c r="U22" s="150">
        <f>IFERROR(G22-W3Q3FY26!G21,"OOS")</f>
        <v/>
      </c>
      <c r="V22" s="147">
        <f>IF(U22=0,"",$A22 &amp; IF(U22&gt;0," tăng "," giảm ") &amp; TEXT(ABS(U22)/1000,"0") &amp; "K = " &amp; TEXT(G22/1000,"#.##0") &amp; "K")</f>
        <v/>
      </c>
      <c r="W22" t="inlineStr">
        <is>
          <t>ShopDunk</t>
        </is>
      </c>
      <c r="X22" t="inlineStr">
        <is>
          <t>Đạt</t>
        </is>
      </c>
      <c r="Y22" t="b">
        <v>1</v>
      </c>
    </row>
    <row r="23" ht="15.95" customHeight="1" s="35">
      <c r="A23" t="inlineStr">
        <is>
          <t>iPad Pro M5 13” 256GB Wifi</t>
        </is>
      </c>
      <c r="B23" s="3" t="n"/>
      <c r="C23" s="141" t="n">
        <v>38890000</v>
      </c>
      <c r="D23" s="142" t="n">
        <v>38990000</v>
      </c>
      <c r="E23" s="113" t="n">
        <v>37990000</v>
      </c>
      <c r="F23" s="133" t="n">
        <v>38890000</v>
      </c>
      <c r="G23" s="111" t="n">
        <v>38990000</v>
      </c>
      <c r="H23" s="154" t="n"/>
      <c r="M23" s="149">
        <f>IFERROR(C23-W3Q3FY26!C22,"OOS")</f>
        <v/>
      </c>
      <c r="N23" s="147">
        <f>IF(M23=0,"",$A23 &amp; IF(M23&gt;0," tăng "," giảm ") &amp; TEXT(ABS(M23)/1000,"0") &amp; "K = " &amp; TEXT(C23/1000,"#.##0") &amp; "K")</f>
        <v/>
      </c>
      <c r="O23" s="150">
        <f>IFERROR(D23-W3Q3FY26!D22,"OOS")</f>
        <v/>
      </c>
      <c r="P23" s="147">
        <f>IF(O23=0,"",$A23 &amp; IF(O23&gt;0," tăng "," giảm ") &amp; TEXT(ABS(O23)/1000,"0") &amp; "K = " &amp; TEXT(D23/1000,"#.##0") &amp; "K")</f>
        <v/>
      </c>
      <c r="Q23" s="150">
        <f>IFERROR(E23-W3Q3FY26!E22,"OOS")</f>
        <v/>
      </c>
      <c r="R23" s="147">
        <f>IF(Q23=0,"",$A23 &amp; IF(Q23&gt;0," tăng "," giảm ") &amp; TEXT(ABS(Q23)/1000,"0") &amp; "K = " &amp; TEXT(E23/1000,"#.##0") &amp; "K")</f>
        <v/>
      </c>
      <c r="S23" s="150">
        <f>IFERROR(F23-W3Q3FY26!F22,"OOS")</f>
        <v/>
      </c>
      <c r="T23" s="147">
        <f>IF(S23=0,"",$A23 &amp; IF(S23&gt;0," tăng "," giảm ") &amp; TEXT(ABS(S23)/1000,"0") &amp; "K = " &amp; TEXT(F23/1000,"#.##0") &amp; "K")</f>
        <v/>
      </c>
      <c r="U23" s="150">
        <f>IFERROR(G23-W3Q3FY26!G22,"OOS")</f>
        <v/>
      </c>
      <c r="V23" s="147">
        <f>IF(U23=0,"",$A23 &amp; IF(U23&gt;0," tăng "," giảm ") &amp; TEXT(ABS(U23)/1000,"0") &amp; "K = " &amp; TEXT(G23/1000,"#.##0") &amp; "K")</f>
        <v/>
      </c>
    </row>
    <row r="24" ht="15.95" customHeight="1" s="35">
      <c r="A24" t="inlineStr">
        <is>
          <t>AW SE 3 (40mm GPS)</t>
        </is>
      </c>
      <c r="B24" s="25" t="n"/>
      <c r="C24" s="141" t="n">
        <v>6390000</v>
      </c>
      <c r="D24" s="141" t="n">
        <v>6290000</v>
      </c>
      <c r="E24" s="140" t="n">
        <v>6190000</v>
      </c>
      <c r="F24" s="134" t="n">
        <v>6390000</v>
      </c>
      <c r="G24" s="112" t="n">
        <v>6290000</v>
      </c>
      <c r="H24" s="154" t="n"/>
      <c r="M24" s="149">
        <f>IFERROR(C24-W3Q3FY26!C23,"OOS")</f>
        <v/>
      </c>
      <c r="N24" s="147">
        <f>IF(M24=0,"",$A24 &amp; IF(M24&gt;0," tăng "," giảm ") &amp; TEXT(ABS(M24)/1000,"0") &amp; "K = " &amp; TEXT(C24/1000,"#.##0") &amp; "K")</f>
        <v/>
      </c>
      <c r="O24" s="150">
        <f>IFERROR(D24-W3Q3FY26!D23,"OOS")</f>
        <v/>
      </c>
      <c r="P24" s="147">
        <f>IF(O24=0,"",$A24 &amp; IF(O24&gt;0," tăng "," giảm ") &amp; TEXT(ABS(O24)/1000,"0") &amp; "K = " &amp; TEXT(D24/1000,"#.##0") &amp; "K")</f>
        <v/>
      </c>
      <c r="Q24" s="150">
        <f>IFERROR(E24-W3Q3FY26!E23,"OOS")</f>
        <v/>
      </c>
      <c r="R24" s="147">
        <f>IF(Q24=0,"",$A24 &amp; IF(Q24&gt;0," tăng "," giảm ") &amp; TEXT(ABS(Q24)/1000,"0") &amp; "K = " &amp; TEXT(E24/1000,"#.##0") &amp; "K")</f>
        <v/>
      </c>
      <c r="S24" s="150">
        <f>IFERROR(F24-W3Q3FY26!F23,"OOS")</f>
        <v/>
      </c>
      <c r="T24" s="147">
        <f>IF(S24=0,"",$A24 &amp; IF(S24&gt;0," tăng "," giảm ") &amp; TEXT(ABS(S24)/1000,"0") &amp; "K = " &amp; TEXT(F24/1000,"#.##0") &amp; "K")</f>
        <v/>
      </c>
      <c r="U24" s="150">
        <f>IFERROR(G24-W3Q3FY26!G23,"OOS")</f>
        <v/>
      </c>
      <c r="V24" s="147">
        <f>IF(U24=0,"",$A24 &amp; IF(U24&gt;0," tăng "," giảm ") &amp; TEXT(ABS(U24)/1000,"0") &amp; "K = " &amp; TEXT(G24/1000,"#.##0") &amp; "K")</f>
        <v/>
      </c>
    </row>
    <row r="25" ht="15.95" customHeight="1" s="35">
      <c r="A25" t="inlineStr">
        <is>
          <t>AW SE 3 (40mm LTE)</t>
        </is>
      </c>
      <c r="B25" s="25" t="n"/>
      <c r="C25" s="141" t="n">
        <v>7990000</v>
      </c>
      <c r="D25" s="141" t="n">
        <v>7690000</v>
      </c>
      <c r="E25" s="155" t="n">
        <v>7790000</v>
      </c>
      <c r="F25" s="134" t="n">
        <v>7990000</v>
      </c>
      <c r="G25" s="112" t="n">
        <v>7790000</v>
      </c>
      <c r="H25" s="154" t="n"/>
      <c r="M25" s="149">
        <f>IFERROR(C25-W3Q3FY26!C24,"OOS")</f>
        <v/>
      </c>
      <c r="N25" s="147">
        <f>IF(M25=0,"",$A25 &amp; IF(M25&gt;0," tăng "," giảm ") &amp; TEXT(ABS(M25)/1000,"0") &amp; "K = " &amp; TEXT(C25/1000,"#.##0") &amp; "K")</f>
        <v/>
      </c>
      <c r="O25" s="150">
        <f>IFERROR(D25-W3Q3FY26!D24,"OOS")</f>
        <v/>
      </c>
      <c r="P25" s="147">
        <f>IF(O25=0,"",$A25 &amp; IF(O25&gt;0," tăng "," giảm ") &amp; TEXT(ABS(O25)/1000,"0") &amp; "K = " &amp; TEXT(D25/1000,"#.##0") &amp; "K")</f>
        <v/>
      </c>
      <c r="Q25" s="150">
        <f>IFERROR(E25-W3Q3FY26!E24,"OOS")</f>
        <v/>
      </c>
      <c r="R25" s="147">
        <f>IF(Q25=0,"",$A25 &amp; IF(Q25&gt;0," tăng "," giảm ") &amp; TEXT(ABS(Q25)/1000,"0") &amp; "K = " &amp; TEXT(E25/1000,"#.##0") &amp; "K")</f>
        <v/>
      </c>
      <c r="S25" s="150">
        <f>IFERROR(F25-W3Q3FY26!F24,"OOS")</f>
        <v/>
      </c>
      <c r="T25" s="147">
        <f>IF(S25=0,"",$A25 &amp; IF(S25&gt;0," tăng "," giảm ") &amp; TEXT(ABS(S25)/1000,"0") &amp; "K = " &amp; TEXT(F25/1000,"#.##0") &amp; "K")</f>
        <v/>
      </c>
      <c r="U25" s="150">
        <f>IFERROR(G25-W3Q3FY26!G24,"OOS")</f>
        <v/>
      </c>
      <c r="V25" s="147">
        <f>IF(U25=0,"",$A25 &amp; IF(U25&gt;0," tăng "," giảm ") &amp; TEXT(ABS(U25)/1000,"0") &amp; "K = " &amp; TEXT(G25/1000,"#.##0") &amp; "K")</f>
        <v/>
      </c>
    </row>
    <row r="26" ht="15.95" customHeight="1" s="35">
      <c r="A26" t="inlineStr">
        <is>
          <t>AW SE 3 (44mm GPS)</t>
        </is>
      </c>
      <c r="B26" s="25" t="n"/>
      <c r="C26" s="141" t="n">
        <v>7290000</v>
      </c>
      <c r="D26" s="141" t="n">
        <v>6990000</v>
      </c>
      <c r="E26" s="140" t="n">
        <v>6990000</v>
      </c>
      <c r="F26" s="134" t="n">
        <v>7290000</v>
      </c>
      <c r="G26" s="112" t="n">
        <v>6990000</v>
      </c>
      <c r="H26" s="154" t="n"/>
      <c r="M26" s="149">
        <f>IFERROR(C26-W3Q3FY26!C25,"OOS")</f>
        <v/>
      </c>
      <c r="N26" s="147">
        <f>IF(M26=0,"",$A26 &amp; IF(M26&gt;0," tăng "," giảm ") &amp; TEXT(ABS(M26)/1000,"0") &amp; "K = " &amp; TEXT(C26/1000,"#.##0") &amp; "K")</f>
        <v/>
      </c>
      <c r="O26" s="150">
        <f>IFERROR(D26-W3Q3FY26!D25,"OOS")</f>
        <v/>
      </c>
      <c r="P26" s="147">
        <f>IF(O26=0,"",$A26 &amp; IF(O26&gt;0," tăng "," giảm ") &amp; TEXT(ABS(O26)/1000,"0") &amp; "K = " &amp; TEXT(D26/1000,"#.##0") &amp; "K")</f>
        <v/>
      </c>
      <c r="Q26" s="150">
        <f>IFERROR(E26-W3Q3FY26!E25,"OOS")</f>
        <v/>
      </c>
      <c r="R26" s="147">
        <f>IF(Q26=0,"",$A26 &amp; IF(Q26&gt;0," tăng "," giảm ") &amp; TEXT(ABS(Q26)/1000,"0") &amp; "K = " &amp; TEXT(E26/1000,"#.##0") &amp; "K")</f>
        <v/>
      </c>
      <c r="S26" s="150">
        <f>IFERROR(F26-W3Q3FY26!F25,"OOS")</f>
        <v/>
      </c>
      <c r="T26" s="147">
        <f>IF(S26=0,"",$A26 &amp; IF(S26&gt;0," tăng "," giảm ") &amp; TEXT(ABS(S26)/1000,"0") &amp; "K = " &amp; TEXT(F26/1000,"#.##0") &amp; "K")</f>
        <v/>
      </c>
      <c r="U26" s="150">
        <f>IFERROR(G26-W3Q3FY26!G25,"OOS")</f>
        <v/>
      </c>
      <c r="V26" s="147">
        <f>IF(U26=0,"",$A26 &amp; IF(U26&gt;0," tăng "," giảm ") &amp; TEXT(ABS(U26)/1000,"0") &amp; "K = " &amp; TEXT(G26/1000,"#.##0") &amp; "K")</f>
        <v/>
      </c>
    </row>
    <row r="27" ht="15.95" customHeight="1" s="35">
      <c r="A27" t="inlineStr">
        <is>
          <t>AW SE 3 (44mm LTE)</t>
        </is>
      </c>
      <c r="B27" s="25" t="n"/>
      <c r="C27" s="141" t="n">
        <v>8790000</v>
      </c>
      <c r="D27" s="141" t="n">
        <v>8490000</v>
      </c>
      <c r="E27" s="140" t="n">
        <v>8590000</v>
      </c>
      <c r="F27" s="134" t="n">
        <v>8790000</v>
      </c>
      <c r="G27" s="112" t="n">
        <v>8590000</v>
      </c>
      <c r="H27" s="154" t="n"/>
      <c r="M27" s="149">
        <f>IFERROR(C27-W3Q3FY26!C26,"OOS")</f>
        <v/>
      </c>
      <c r="N27" s="147">
        <f>IF(M27=0,"",$A27 &amp; IF(M27&gt;0," tăng "," giảm ") &amp; TEXT(ABS(M27)/1000,"0") &amp; "K = " &amp; TEXT(C27/1000,"#.##0") &amp; "K")</f>
        <v/>
      </c>
      <c r="O27" s="150">
        <f>IFERROR(D27-W3Q3FY26!D26,"OOS")</f>
        <v/>
      </c>
      <c r="P27" s="147">
        <f>IF(O27=0,"",$A27 &amp; IF(O27&gt;0," tăng "," giảm ") &amp; TEXT(ABS(O27)/1000,"0") &amp; "K = " &amp; TEXT(D27/1000,"#.##0") &amp; "K")</f>
        <v/>
      </c>
      <c r="Q27" s="150">
        <f>IFERROR(E27-W3Q3FY26!E26,"OOS")</f>
        <v/>
      </c>
      <c r="R27" s="147">
        <f>IF(Q27=0,"",$A27 &amp; IF(Q27&gt;0," tăng "," giảm ") &amp; TEXT(ABS(Q27)/1000,"0") &amp; "K = " &amp; TEXT(E27/1000,"#.##0") &amp; "K")</f>
        <v/>
      </c>
      <c r="S27" s="150">
        <f>IFERROR(F27-W3Q3FY26!F26,"OOS")</f>
        <v/>
      </c>
      <c r="T27" s="147">
        <f>IF(S27=0,"",$A27 &amp; IF(S27&gt;0," tăng "," giảm ") &amp; TEXT(ABS(S27)/1000,"0") &amp; "K = " &amp; TEXT(F27/1000,"#.##0") &amp; "K")</f>
        <v/>
      </c>
      <c r="U27" s="150">
        <f>IFERROR(G27-W3Q3FY26!G26,"OOS")</f>
        <v/>
      </c>
      <c r="V27" s="147">
        <f>IF(U27=0,"",$A27 &amp; IF(U27&gt;0," tăng "," giảm ") &amp; TEXT(ABS(U27)/1000,"0") &amp; "K = " &amp; TEXT(G27/1000,"#.##0") &amp; "K")</f>
        <v/>
      </c>
    </row>
    <row r="28" ht="15.95" customHeight="1" s="35">
      <c r="A28" t="inlineStr">
        <is>
          <t>AW S11 (42mm GPS)</t>
        </is>
      </c>
      <c r="B28" s="3" t="n"/>
      <c r="C28" s="141" t="n">
        <v>9190000</v>
      </c>
      <c r="D28" s="141" t="n">
        <v>11190000</v>
      </c>
      <c r="E28" s="140" t="n">
        <v>8990000</v>
      </c>
      <c r="F28" s="134" t="n">
        <v>9190000</v>
      </c>
      <c r="G28" s="112" t="n">
        <v>8990000</v>
      </c>
      <c r="H28" s="154" t="n"/>
      <c r="M28" s="149">
        <f>IFERROR(C28-W3Q3FY26!C27,"OOS")</f>
        <v/>
      </c>
      <c r="N28" s="147">
        <f>IF(M28=0,"",$A28 &amp; IF(M28&gt;0," tăng "," giảm ") &amp; TEXT(ABS(M28)/1000,"0") &amp; "K = " &amp; TEXT(C28/1000,"#.##0") &amp; "K")</f>
        <v/>
      </c>
      <c r="O28" s="150">
        <f>IFERROR(D28-W3Q3FY26!D27,"OOS")</f>
        <v/>
      </c>
      <c r="P28" s="147">
        <f>IF(O28=0,"",$A28 &amp; IF(O28&gt;0," tăng "," giảm ") &amp; TEXT(ABS(O28)/1000,"0") &amp; "K = " &amp; TEXT(D28/1000,"#.##0") &amp; "K")</f>
        <v/>
      </c>
      <c r="Q28" s="150">
        <f>IFERROR(E28-W3Q3FY26!E27,"OOS")</f>
        <v/>
      </c>
      <c r="R28" s="147">
        <f>IF(Q28=0,"",$A28 &amp; IF(Q28&gt;0," tăng "," giảm ") &amp; TEXT(ABS(Q28)/1000,"0") &amp; "K = " &amp; TEXT(E28/1000,"#.##0") &amp; "K")</f>
        <v/>
      </c>
      <c r="S28" s="150">
        <f>IFERROR(F28-W3Q3FY26!F27,"OOS")</f>
        <v/>
      </c>
      <c r="T28" s="147">
        <f>IF(S28=0,"",$A28 &amp; IF(S28&gt;0," tăng "," giảm ") &amp; TEXT(ABS(S28)/1000,"0") &amp; "K = " &amp; TEXT(F28/1000,"#.##0") &amp; "K")</f>
        <v/>
      </c>
      <c r="U28" s="150">
        <f>IFERROR(G28-W3Q3FY26!G27,"OOS")</f>
        <v/>
      </c>
      <c r="V28" s="147">
        <f>IF(U28=0,"",$A28 &amp; IF(U28&gt;0," tăng "," giảm ") &amp; TEXT(ABS(U28)/1000,"0") &amp; "K = " &amp; TEXT(G28/1000,"#.##0") &amp; "K")</f>
        <v/>
      </c>
    </row>
    <row r="29" ht="15.95" customHeight="1" s="35">
      <c r="A29" t="inlineStr">
        <is>
          <t>AW S11 (42mm CEL)</t>
        </is>
      </c>
      <c r="B29" s="3" t="n"/>
      <c r="C29" s="141" t="inlineStr">
        <is>
          <t>OOS</t>
        </is>
      </c>
      <c r="D29" s="141" t="n">
        <v>11990000</v>
      </c>
      <c r="E29" s="140" t="n">
        <v>11990000</v>
      </c>
      <c r="F29" s="134" t="n">
        <v>12090000</v>
      </c>
      <c r="G29" s="112" t="n">
        <v>11990000</v>
      </c>
      <c r="H29" s="154" t="n"/>
      <c r="M29" s="149">
        <f>IFERROR(C29-W3Q3FY26!C28,"OOS")</f>
        <v/>
      </c>
      <c r="N29" s="147">
        <f>IF(M29=0,"",$A29 &amp; IF(M29&gt;0," tăng "," giảm ") &amp; TEXT(ABS(M29)/1000,"0") &amp; "K = " &amp; TEXT(C29/1000,"#.##0") &amp; "K")</f>
        <v/>
      </c>
      <c r="O29" s="150">
        <f>IFERROR(D29-W3Q3FY26!D28,"OOS")</f>
        <v/>
      </c>
      <c r="P29" s="147">
        <f>IF(O29=0,"",$A29 &amp; IF(O29&gt;0," tăng "," giảm ") &amp; TEXT(ABS(O29)/1000,"0") &amp; "K = " &amp; TEXT(D29/1000,"#.##0") &amp; "K")</f>
        <v/>
      </c>
      <c r="Q29" s="150">
        <f>IFERROR(E29-W3Q3FY26!E28,"OOS")</f>
        <v/>
      </c>
      <c r="R29" s="147">
        <f>IF(Q29=0,"",$A29 &amp; IF(Q29&gt;0," tăng "," giảm ") &amp; TEXT(ABS(Q29)/1000,"0") &amp; "K = " &amp; TEXT(E29/1000,"#.##0") &amp; "K")</f>
        <v/>
      </c>
      <c r="S29" s="150">
        <f>IFERROR(F29-W3Q3FY26!F28,"OOS")</f>
        <v/>
      </c>
      <c r="T29" s="147">
        <f>IF(S29=0,"",$A29 &amp; IF(S29&gt;0," tăng "," giảm ") &amp; TEXT(ABS(S29)/1000,"0") &amp; "K = " &amp; TEXT(F29/1000,"#.##0") &amp; "K")</f>
        <v/>
      </c>
      <c r="U29" s="150">
        <f>IFERROR(G29-W3Q3FY26!G28,"OOS")</f>
        <v/>
      </c>
      <c r="V29" s="147">
        <f>IF(U29=0,"",$A29 &amp; IF(U29&gt;0," tăng "," giảm ") &amp; TEXT(ABS(U29)/1000,"0") &amp; "K = " &amp; TEXT(G29/1000,"#.##0") &amp; "K")</f>
        <v/>
      </c>
    </row>
    <row r="30" ht="15.95" customHeight="1" s="35">
      <c r="A30" t="inlineStr">
        <is>
          <t>AW S11 (46mm GPS)</t>
        </is>
      </c>
      <c r="B30" s="3" t="n"/>
      <c r="C30" s="141" t="n">
        <v>9990000</v>
      </c>
      <c r="D30" s="141" t="n">
        <v>9990000</v>
      </c>
      <c r="E30" s="140" t="n">
        <v>9690000</v>
      </c>
      <c r="F30" s="134" t="n">
        <v>9990000</v>
      </c>
      <c r="G30" s="112" t="n">
        <v>9990000</v>
      </c>
      <c r="H30" s="154" t="n"/>
      <c r="M30" s="149">
        <f>IFERROR(C30-W3Q3FY26!C29,"OOS")</f>
        <v/>
      </c>
      <c r="N30" s="147">
        <f>IF(M30=0,"",$A30 &amp; IF(M30&gt;0," tăng "," giảm ") &amp; TEXT(ABS(M30)/1000,"0") &amp; "K = " &amp; TEXT(C30/1000,"#.##0") &amp; "K")</f>
        <v/>
      </c>
      <c r="O30" s="150">
        <f>IFERROR(D30-W3Q3FY26!D29,"OOS")</f>
        <v/>
      </c>
      <c r="P30" s="147">
        <f>IF(O30=0,"",$A30 &amp; IF(O30&gt;0," tăng "," giảm ") &amp; TEXT(ABS(O30)/1000,"0") &amp; "K = " &amp; TEXT(D30/1000,"#.##0") &amp; "K")</f>
        <v/>
      </c>
      <c r="Q30" s="150">
        <f>IFERROR(E30-W3Q3FY26!E29,"OOS")</f>
        <v/>
      </c>
      <c r="R30" s="147">
        <f>IF(Q30=0,"",$A30 &amp; IF(Q30&gt;0," tăng "," giảm ") &amp; TEXT(ABS(Q30)/1000,"0") &amp; "K = " &amp; TEXT(E30/1000,"#.##0") &amp; "K")</f>
        <v/>
      </c>
      <c r="S30" s="150">
        <f>IFERROR(F30-W3Q3FY26!F29,"OOS")</f>
        <v/>
      </c>
      <c r="T30" s="147">
        <f>IF(S30=0,"",$A30 &amp; IF(S30&gt;0," tăng "," giảm ") &amp; TEXT(ABS(S30)/1000,"0") &amp; "K = " &amp; TEXT(F30/1000,"#.##0") &amp; "K")</f>
        <v/>
      </c>
      <c r="U30" s="150">
        <f>IFERROR(G30-W3Q3FY26!G29,"OOS")</f>
        <v/>
      </c>
      <c r="V30" s="147">
        <f>IF(U30=0,"",$A30 &amp; IF(U30&gt;0," tăng "," giảm ") &amp; TEXT(ABS(U30)/1000,"0") &amp; "K = " &amp; TEXT(G30/1000,"#.##0") &amp; "K")</f>
        <v/>
      </c>
    </row>
    <row r="31" ht="15.95" customHeight="1" s="35">
      <c r="A31" t="inlineStr">
        <is>
          <t>AW S11 (46mm CEL)</t>
        </is>
      </c>
      <c r="B31" s="3" t="n"/>
      <c r="C31" s="141" t="n">
        <v>12990000</v>
      </c>
      <c r="D31" s="141" t="n">
        <v>12490000</v>
      </c>
      <c r="E31" s="140" t="n">
        <v>12490000</v>
      </c>
      <c r="F31" s="134" t="n">
        <v>12990000</v>
      </c>
      <c r="G31" s="112" t="n">
        <v>12990000</v>
      </c>
      <c r="H31" s="154" t="n"/>
      <c r="M31" s="149">
        <f>IFERROR(C31-W3Q3FY26!C30,"OOS")</f>
        <v/>
      </c>
      <c r="N31" s="147">
        <f>IF(M31=0,"",$A31 &amp; IF(M31&gt;0," tăng "," giảm ") &amp; TEXT(ABS(M31)/1000,"0") &amp; "K = " &amp; TEXT(C31/1000,"#.##0") &amp; "K")</f>
        <v/>
      </c>
      <c r="O31" s="150">
        <f>IFERROR(D31-W3Q3FY26!D30,"OOS")</f>
        <v/>
      </c>
      <c r="P31" s="147">
        <f>IF(O31=0,"",$A31 &amp; IF(O31&gt;0," tăng "," giảm ") &amp; TEXT(ABS(O31)/1000,"0") &amp; "K = " &amp; TEXT(D31/1000,"#.##0") &amp; "K")</f>
        <v/>
      </c>
      <c r="Q31" s="150">
        <f>IFERROR(E31-W3Q3FY26!E30,"OOS")</f>
        <v/>
      </c>
      <c r="R31" s="147">
        <f>IF(Q31=0,"",$A31 &amp; IF(Q31&gt;0," tăng "," giảm ") &amp; TEXT(ABS(Q31)/1000,"0") &amp; "K = " &amp; TEXT(E31/1000,"#.##0") &amp; "K")</f>
        <v/>
      </c>
      <c r="S31" s="150">
        <f>IFERROR(F31-W3Q3FY26!F30,"OOS")</f>
        <v/>
      </c>
      <c r="T31" s="147">
        <f>IF(S31=0,"",$A31 &amp; IF(S31&gt;0," tăng "," giảm ") &amp; TEXT(ABS(S31)/1000,"0") &amp; "K = " &amp; TEXT(F31/1000,"#.##0") &amp; "K")</f>
        <v/>
      </c>
      <c r="U31" s="150">
        <f>IFERROR(G31-W3Q3FY26!G30,"OOS")</f>
        <v/>
      </c>
      <c r="V31" s="147">
        <f>IF(U31=0,"",$A31 &amp; IF(U31&gt;0," tăng "," giảm ") &amp; TEXT(ABS(U31)/1000,"0") &amp; "K = " &amp; TEXT(G31/1000,"#.##0") &amp; "K")</f>
        <v/>
      </c>
    </row>
    <row r="32" ht="15.95" customHeight="1" s="35">
      <c r="A32" t="inlineStr">
        <is>
          <t>AW Ultra 3 (49mm)</t>
        </is>
      </c>
      <c r="B32" s="25" t="n"/>
      <c r="C32" s="136" t="n">
        <v>23490000</v>
      </c>
      <c r="D32" s="136" t="n">
        <v>22990000</v>
      </c>
      <c r="E32" s="113" t="n">
        <v>22490000</v>
      </c>
      <c r="F32" s="133" t="n">
        <v>22990000</v>
      </c>
      <c r="G32" s="111" t="n">
        <v>22990000</v>
      </c>
      <c r="H32" s="154" t="n"/>
      <c r="M32" s="149">
        <f>IFERROR(C32-W3Q3FY26!C31,"OOS")</f>
        <v/>
      </c>
      <c r="N32" s="147">
        <f>IF(M32=0,"",$A32 &amp; IF(M32&gt;0," tăng "," giảm ") &amp; TEXT(ABS(M32)/1000,"0") &amp; "K = " &amp; TEXT(C32/1000,"#.##0") &amp; "K")</f>
        <v/>
      </c>
      <c r="O32" s="150">
        <f>IFERROR(D32-W3Q3FY26!D31,"OOS")</f>
        <v/>
      </c>
      <c r="P32" s="147">
        <f>IF(O32=0,"",$A32 &amp; IF(O32&gt;0," tăng "," giảm ") &amp; TEXT(ABS(O32)/1000,"0") &amp; "K = " &amp; TEXT(D32/1000,"#.##0") &amp; "K")</f>
        <v/>
      </c>
      <c r="Q32" s="150">
        <f>IFERROR(E32-W3Q3FY26!E31,"OOS")</f>
        <v/>
      </c>
      <c r="R32" s="147">
        <f>IF(Q32=0,"",$A32 &amp; IF(Q32&gt;0," tăng "," giảm ") &amp; TEXT(ABS(Q32)/1000,"0") &amp; "K = " &amp; TEXT(E32/1000,"#.##0") &amp; "K")</f>
        <v/>
      </c>
      <c r="S32" s="150">
        <f>IFERROR(F32-W3Q3FY26!F31,"OOS")</f>
        <v/>
      </c>
      <c r="T32" s="147">
        <f>IF(S32=0,"",$A32 &amp; IF(S32&gt;0," tăng "," giảm ") &amp; TEXT(ABS(S32)/1000,"0") &amp; "K = " &amp; TEXT(F32/1000,"#.##0") &amp; "K")</f>
        <v/>
      </c>
      <c r="U32" s="150">
        <f>IFERROR(G32-W3Q3FY26!G31,"OOS")</f>
        <v/>
      </c>
      <c r="V32" s="147">
        <f>IF(U32=0,"",$A32 &amp; IF(U32&gt;0," tăng "," giảm ") &amp; TEXT(ABS(U32)/1000,"0") &amp; "K = " &amp; TEXT(G32/1000,"#.##0") &amp; "K")</f>
        <v/>
      </c>
    </row>
    <row r="33" ht="15.95" customHeight="1" s="35">
      <c r="A33" t="inlineStr">
        <is>
          <t>AirPods Pro 2 - 2023 (C-Type)</t>
        </is>
      </c>
      <c r="B33" s="3" t="n"/>
      <c r="C33" s="136" t="n">
        <v>5190000</v>
      </c>
      <c r="D33" s="136" t="inlineStr">
        <is>
          <t>OOS</t>
        </is>
      </c>
      <c r="E33" s="131" t="inlineStr">
        <is>
          <t>OOS</t>
        </is>
      </c>
      <c r="F33" s="134" t="n">
        <v>4990000</v>
      </c>
      <c r="G33" s="111" t="n">
        <v>5590000</v>
      </c>
      <c r="H33" s="154" t="n"/>
      <c r="M33" s="149">
        <f>IFERROR(C33-W3Q3FY26!C32,"OOS")</f>
        <v/>
      </c>
      <c r="N33" s="147">
        <f>IF(M33=0,"",$A33 &amp; IF(M33&gt;0," tăng "," giảm ") &amp; TEXT(ABS(M33)/1000,"0") &amp; "K = " &amp; TEXT(C33/1000,"#.##0") &amp; "K")</f>
        <v/>
      </c>
      <c r="O33" s="150">
        <f>IFERROR(D33-W3Q3FY26!D32,"OOS")</f>
        <v/>
      </c>
      <c r="P33" s="147">
        <f>IF(O33=0,"",$A33 &amp; IF(O33&gt;0," tăng "," giảm ") &amp; TEXT(ABS(O33)/1000,"0") &amp; "K = " &amp; TEXT(D33/1000,"#.##0") &amp; "K")</f>
        <v/>
      </c>
      <c r="Q33" s="150">
        <f>IFERROR(E33-W3Q3FY26!E32,"OOS")</f>
        <v/>
      </c>
      <c r="R33" s="147">
        <f>IF(Q33=0,"",$A33 &amp; IF(Q33&gt;0," tăng "," giảm ") &amp; TEXT(ABS(Q33)/1000,"0") &amp; "K = " &amp; TEXT(E33/1000,"#.##0") &amp; "K")</f>
        <v/>
      </c>
      <c r="S33" s="150">
        <f>IFERROR(F33-W3Q3FY26!F32,"OOS")</f>
        <v/>
      </c>
      <c r="T33" s="147">
        <f>IF(S33=0,"",$A33 &amp; IF(S33&gt;0," tăng "," giảm ") &amp; TEXT(ABS(S33)/1000,"0") &amp; "K = " &amp; TEXT(F33/1000,"#.##0") &amp; "K")</f>
        <v/>
      </c>
      <c r="U33" s="150">
        <f>IFERROR(G33-W3Q3FY26!G32,"OOS")</f>
        <v/>
      </c>
      <c r="V33" s="147">
        <f>IF(U33=0,"",$A33 &amp; IF(U33&gt;0," tăng "," giảm ") &amp; TEXT(ABS(U33)/1000,"0") &amp; "K = " &amp; TEXT(G33/1000,"#.##0") &amp; "K")</f>
        <v/>
      </c>
    </row>
    <row r="34" ht="15.95" customHeight="1" s="35">
      <c r="A34" t="inlineStr">
        <is>
          <t>AirPods 4 ANC</t>
        </is>
      </c>
      <c r="B34" s="3" t="n"/>
      <c r="C34" s="141" t="n">
        <v>4390000</v>
      </c>
      <c r="D34" s="141" t="n">
        <v>4390000</v>
      </c>
      <c r="E34" s="155" t="n">
        <v>4290000</v>
      </c>
      <c r="F34" s="134" t="n">
        <v>4390000</v>
      </c>
      <c r="G34" s="111" t="n">
        <v>4390000</v>
      </c>
      <c r="H34" s="154" t="n"/>
      <c r="M34" s="149">
        <f>IFERROR(C34-W3Q3FY26!C33,"OOS")</f>
        <v/>
      </c>
      <c r="N34" s="147">
        <f>IF(M34=0,"",$A34 &amp; IF(M34&gt;0," tăng "," giảm ") &amp; TEXT(ABS(M34)/1000,"0") &amp; "K = " &amp; TEXT(C34/1000,"#.##0") &amp; "K")</f>
        <v/>
      </c>
      <c r="O34" s="150">
        <f>IFERROR(D34-W3Q3FY26!D33,"OOS")</f>
        <v/>
      </c>
      <c r="P34" s="147">
        <f>IF(O34=0,"",$A34 &amp; IF(O34&gt;0," tăng "," giảm ") &amp; TEXT(ABS(O34)/1000,"0") &amp; "K = " &amp; TEXT(D34/1000,"#.##0") &amp; "K")</f>
        <v/>
      </c>
      <c r="Q34" s="150">
        <f>IFERROR(E34-W3Q3FY26!E33,"OOS")</f>
        <v/>
      </c>
      <c r="R34" s="147">
        <f>IF(Q34=0,"",$A34 &amp; IF(Q34&gt;0," tăng "," giảm ") &amp; TEXT(ABS(Q34)/1000,"0") &amp; "K = " &amp; TEXT(E34/1000,"#.##0") &amp; "K")</f>
        <v/>
      </c>
      <c r="S34" s="150">
        <f>IFERROR(F34-W3Q3FY26!F33,"OOS")</f>
        <v/>
      </c>
      <c r="T34" s="147">
        <f>IF(S34=0,"",$A34 &amp; IF(S34&gt;0," tăng "," giảm ") &amp; TEXT(ABS(S34)/1000,"0") &amp; "K = " &amp; TEXT(F34/1000,"#.##0") &amp; "K")</f>
        <v/>
      </c>
      <c r="U34" s="150">
        <f>IFERROR(G34-W3Q3FY26!G33,"OOS")</f>
        <v/>
      </c>
      <c r="V34" s="147">
        <f>IF(U34=0,"",$A34 &amp; IF(U34&gt;0," tăng "," giảm ") &amp; TEXT(ABS(U34)/1000,"0") &amp; "K = " &amp; TEXT(G34/1000,"#.##0") &amp; "K")</f>
        <v/>
      </c>
    </row>
    <row r="35" ht="15.95" customHeight="1" s="35">
      <c r="A35" t="inlineStr">
        <is>
          <t>AirPods 4 with charging case</t>
        </is>
      </c>
      <c r="B35" s="3" t="n"/>
      <c r="C35" s="141" t="n">
        <v>3090000</v>
      </c>
      <c r="D35" s="141" t="n">
        <v>3090000</v>
      </c>
      <c r="E35" s="155" t="n">
        <v>2990000</v>
      </c>
      <c r="F35" s="134" t="n">
        <v>3090000</v>
      </c>
      <c r="G35" s="112" t="n">
        <v>2990000</v>
      </c>
      <c r="H35" s="154" t="n"/>
      <c r="M35" s="149">
        <f>IFERROR(C35-W3Q3FY26!C34,"OOS")</f>
        <v/>
      </c>
      <c r="N35" s="147">
        <f>IF(M35=0,"",$A35 &amp; IF(M35&gt;0," tăng "," giảm ") &amp; TEXT(ABS(M35)/1000,"0") &amp; "K = " &amp; TEXT(C35/1000,"#.##0") &amp; "K")</f>
        <v/>
      </c>
      <c r="O35" s="150">
        <f>IFERROR(D35-W3Q3FY26!D34,"OOS")</f>
        <v/>
      </c>
      <c r="P35" s="147">
        <f>IF(O35=0,"",$A35 &amp; IF(O35&gt;0," tăng "," giảm ") &amp; TEXT(ABS(O35)/1000,"0") &amp; "K = " &amp; TEXT(D35/1000,"#.##0") &amp; "K")</f>
        <v/>
      </c>
      <c r="Q35" s="150">
        <f>IFERROR(E35-W3Q3FY26!E34,"OOS")</f>
        <v/>
      </c>
      <c r="R35" s="147">
        <f>IF(Q35=0,"",$A35 &amp; IF(Q35&gt;0," tăng "," giảm ") &amp; TEXT(ABS(Q35)/1000,"0") &amp; "K = " &amp; TEXT(E35/1000,"#.##0") &amp; "K")</f>
        <v/>
      </c>
      <c r="S35" s="150">
        <f>IFERROR(F35-W3Q3FY26!F34,"OOS")</f>
        <v/>
      </c>
      <c r="T35" s="147">
        <f>IF(S35=0,"",$A35 &amp; IF(S35&gt;0," tăng "," giảm ") &amp; TEXT(ABS(S35)/1000,"0") &amp; "K = " &amp; TEXT(F35/1000,"#.##0") &amp; "K")</f>
        <v/>
      </c>
      <c r="U35" s="150">
        <f>IFERROR(G35-W3Q3FY26!G34,"OOS")</f>
        <v/>
      </c>
      <c r="V35" s="147">
        <f>IF(U35=0,"",$A35 &amp; IF(U35&gt;0," tăng "," giảm ") &amp; TEXT(ABS(U35)/1000,"0") &amp; "K = " &amp; TEXT(G35/1000,"#.##0") &amp; "K")</f>
        <v/>
      </c>
    </row>
    <row r="36" ht="15.95" customHeight="1" s="35">
      <c r="A36" t="inlineStr">
        <is>
          <t>AirPods Pro 3</t>
        </is>
      </c>
      <c r="B36" s="3" t="n"/>
      <c r="C36" s="141" t="n">
        <v>6190000</v>
      </c>
      <c r="D36" s="141" t="n">
        <v>6190000</v>
      </c>
      <c r="E36" s="135" t="n">
        <v>5990000</v>
      </c>
      <c r="F36" s="134" t="n">
        <v>6190000</v>
      </c>
      <c r="G36" s="112" t="n">
        <v>6090000</v>
      </c>
      <c r="H36" s="154" t="n"/>
      <c r="M36" s="149">
        <f>IFERROR(C36-W3Q3FY26!C35,"OOS")</f>
        <v/>
      </c>
      <c r="N36" s="147">
        <f>IF(M36=0,"",$A36 &amp; IF(M36&gt;0," tăng "," giảm ") &amp; TEXT(ABS(M36)/1000,"0") &amp; "K = " &amp; TEXT(C36/1000,"#.##0") &amp; "K")</f>
        <v/>
      </c>
      <c r="O36" s="150">
        <f>IFERROR(D36-W3Q3FY26!D35,"OOS")</f>
        <v/>
      </c>
      <c r="P36" s="147">
        <f>IF(O36=0,"",$A36 &amp; IF(O36&gt;0," tăng "," giảm ") &amp; TEXT(ABS(O36)/1000,"0") &amp; "K = " &amp; TEXT(D36/1000,"#.##0") &amp; "K")</f>
        <v/>
      </c>
      <c r="Q36" s="150">
        <f>IFERROR(E36-W3Q3FY26!E35,"OOS")</f>
        <v/>
      </c>
      <c r="R36" s="147">
        <f>IF(Q36=0,"",$A36 &amp; IF(Q36&gt;0," tăng "," giảm ") &amp; TEXT(ABS(Q36)/1000,"0") &amp; "K = " &amp; TEXT(E36/1000,"#.##0") &amp; "K")</f>
        <v/>
      </c>
      <c r="S36" s="150">
        <f>IFERROR(F36-W3Q3FY26!F35,"OOS")</f>
        <v/>
      </c>
      <c r="T36" s="147">
        <f>IF(S36=0,"",$A36 &amp; IF(S36&gt;0," tăng "," giảm ") &amp; TEXT(ABS(S36)/1000,"0") &amp; "K = " &amp; TEXT(F36/1000,"#.##0") &amp; "K")</f>
        <v/>
      </c>
      <c r="U36" s="150">
        <f>IFERROR(G36-W3Q3FY26!G35,"OOS")</f>
        <v/>
      </c>
      <c r="V36" s="147">
        <f>IF(U36=0,"",$A36 &amp; IF(U36&gt;0," tăng "," giảm ") &amp; TEXT(ABS(U36)/1000,"0") &amp; "K = " &amp; TEXT(G36/1000,"#.##0") &amp; "K")</f>
        <v/>
      </c>
    </row>
    <row r="37" ht="15.95" customHeight="1" s="35">
      <c r="A37" t="inlineStr">
        <is>
          <t>MacBook Air 13" M5 16/512GB</t>
        </is>
      </c>
      <c r="B37" s="25" t="n"/>
      <c r="C37" s="136" t="n">
        <v>29490000</v>
      </c>
      <c r="D37" s="136" t="n">
        <v>29990000</v>
      </c>
      <c r="E37" s="143" t="n"/>
      <c r="F37" s="112" t="n">
        <v>29390000</v>
      </c>
      <c r="G37" s="111" t="n">
        <v>29990000</v>
      </c>
      <c r="H37" s="154" t="n"/>
      <c r="M37" s="149">
        <f>IFERROR(C37-W3Q3FY26!C36,"OOS")</f>
        <v/>
      </c>
      <c r="N37" s="147">
        <f>IF(M37=0,"",$A37 &amp; IF(M37&gt;0," tăng "," giảm ") &amp; TEXT(ABS(M37)/1000,"0") &amp; "K = " &amp; TEXT(C37/1000,"#.##0") &amp; "K")</f>
        <v/>
      </c>
      <c r="O37" s="150">
        <f>IFERROR(D37-W3Q3FY26!D36,"OOS")</f>
        <v/>
      </c>
      <c r="P37" s="147">
        <f>IF(O37=0,"",$A37 &amp; IF(O37&gt;0," tăng "," giảm ") &amp; TEXT(ABS(O37)/1000,"0") &amp; "K = " &amp; TEXT(D37/1000,"#.##0") &amp; "K")</f>
        <v/>
      </c>
      <c r="Q37" s="150">
        <f>IFERROR(E37-W3Q3FY26!E36,"OOS")</f>
        <v/>
      </c>
      <c r="R37" s="147">
        <f>IF(Q37=0,"",$A37 &amp; IF(Q37&gt;0," tăng "," giảm ") &amp; TEXT(ABS(Q37)/1000,"0") &amp; "K = " &amp; TEXT(E37/1000,"#.##0") &amp; "K")</f>
        <v/>
      </c>
      <c r="S37" s="150">
        <f>IFERROR(F37-W3Q3FY26!F36,"OOS")</f>
        <v/>
      </c>
      <c r="T37" s="147">
        <f>IF(S37=0,"",$A37 &amp; IF(S37&gt;0," tăng "," giảm ") &amp; TEXT(ABS(S37)/1000,"0") &amp; "K = " &amp; TEXT(F37/1000,"#.##0") &amp; "K")</f>
        <v/>
      </c>
      <c r="U37" s="150">
        <f>IFERROR(G37-W3Q3FY26!G36,"OOS")</f>
        <v/>
      </c>
      <c r="V37" s="147">
        <f>IF(U37=0,"",$A37 &amp; IF(U37&gt;0," tăng "," giảm ") &amp; TEXT(ABS(U37)/1000,"0") &amp; "K = " &amp; TEXT(G37/1000,"#.##0") &amp; "K")</f>
        <v/>
      </c>
    </row>
    <row r="38" ht="15.95" customHeight="1" s="35">
      <c r="A38" t="inlineStr">
        <is>
          <t>MacBook NEO A18 Pro ( 8/256GB)</t>
        </is>
      </c>
      <c r="B38" s="25" t="n"/>
      <c r="C38" s="136" t="n">
        <v>15990000</v>
      </c>
      <c r="D38" s="141" t="n">
        <v>15990000</v>
      </c>
      <c r="E38" s="143" t="n"/>
      <c r="F38" s="112" t="n">
        <v>15990000</v>
      </c>
      <c r="G38" s="112" t="n">
        <v>15899000</v>
      </c>
      <c r="H38" s="154" t="n"/>
      <c r="M38" s="149">
        <f>IFERROR(C38-W3Q3FY26!C37,"OOS")</f>
        <v/>
      </c>
      <c r="N38" s="147">
        <f>IF(M38=0,"",$A38 &amp; IF(M38&gt;0," tăng "," giảm ") &amp; TEXT(ABS(M38)/1000,"0") &amp; "K = " &amp; TEXT(C38/1000,"#.##0") &amp; "K")</f>
        <v/>
      </c>
      <c r="O38" s="150">
        <f>IFERROR(D38-W3Q3FY26!D37,"OOS")</f>
        <v/>
      </c>
      <c r="P38" s="147">
        <f>IF(O38=0,"",$A38 &amp; IF(O38&gt;0," tăng "," giảm ") &amp; TEXT(ABS(O38)/1000,"0") &amp; "K = " &amp; TEXT(D38/1000,"#.##0") &amp; "K")</f>
        <v/>
      </c>
      <c r="Q38" s="150">
        <f>IFERROR(E38-W3Q3FY26!E37,"OOS")</f>
        <v/>
      </c>
      <c r="R38" s="147">
        <f>IF(Q38=0,"",$A38 &amp; IF(Q38&gt;0," tăng "," giảm ") &amp; TEXT(ABS(Q38)/1000,"0") &amp; "K = " &amp; TEXT(E38/1000,"#.##0") &amp; "K")</f>
        <v/>
      </c>
      <c r="S38" s="150">
        <f>IFERROR(F38-W3Q3FY26!F37,"OOS")</f>
        <v/>
      </c>
      <c r="T38" s="147">
        <f>IF(S38=0,"",$A38 &amp; IF(S38&gt;0," tăng "," giảm ") &amp; TEXT(ABS(S38)/1000,"0") &amp; "K = " &amp; TEXT(F38/1000,"#.##0") &amp; "K")</f>
        <v/>
      </c>
      <c r="U38" s="150">
        <f>IFERROR(G38-W3Q3FY26!G37,"OOS")</f>
        <v/>
      </c>
      <c r="V38" s="147">
        <f>IF(U38=0,"",$A38 &amp; IF(U38&gt;0," tăng "," giảm ") &amp; TEXT(ABS(U38)/1000,"0") &amp; "K = " &amp; TEXT(G38/1000,"#.##0") &amp; "K")</f>
        <v/>
      </c>
    </row>
    <row r="39" ht="15.95" customHeight="1" s="35">
      <c r="A39" t="inlineStr">
        <is>
          <t>MacBook Air 13" M4 16/256GB</t>
        </is>
      </c>
      <c r="B39" s="3" t="n"/>
      <c r="C39" s="136" t="n">
        <v>25590000</v>
      </c>
      <c r="D39" s="136" t="inlineStr">
        <is>
          <t>OOS</t>
        </is>
      </c>
      <c r="E39" s="143" t="n"/>
      <c r="F39" s="133" t="n">
        <v>25590000</v>
      </c>
      <c r="G39" s="111" t="n">
        <v>24590000</v>
      </c>
      <c r="H39" s="154" t="n"/>
      <c r="J39" t="inlineStr">
        <is>
          <t>`</t>
        </is>
      </c>
      <c r="M39" s="149">
        <f>IFERROR(C39-W3Q3FY26!C38,"OOS")</f>
        <v/>
      </c>
      <c r="N39" s="147">
        <f>IF(M39=0,"",$A39 &amp; IF(M39&gt;0," tăng "," giảm ") &amp; TEXT(ABS(M39)/1000,"0") &amp; "K = " &amp; TEXT(C39/1000,"#.##0") &amp; "K")</f>
        <v/>
      </c>
      <c r="O39" s="150">
        <f>IFERROR(D39-W3Q3FY26!D38,"OOS")</f>
        <v/>
      </c>
      <c r="P39" s="147">
        <f>IF(O39=0,"",$A39 &amp; IF(O39&gt;0," tăng "," giảm ") &amp; TEXT(ABS(O39)/1000,"0") &amp; "K = " &amp; TEXT(D39/1000,"#.##0") &amp; "K")</f>
        <v/>
      </c>
      <c r="Q39" s="150">
        <f>IFERROR(E39-W3Q3FY26!E38,"OOS")</f>
        <v/>
      </c>
      <c r="R39" s="147">
        <f>IF(Q39=0,"",$A39 &amp; IF(Q39&gt;0," tăng "," giảm ") &amp; TEXT(ABS(Q39)/1000,"0") &amp; "K = " &amp; TEXT(E39/1000,"#.##0") &amp; "K")</f>
        <v/>
      </c>
      <c r="S39" s="150">
        <f>IFERROR(F39-W3Q3FY26!F38,"OOS")</f>
        <v/>
      </c>
      <c r="T39" s="147">
        <f>IF(S39=0,"",$A39 &amp; IF(S39&gt;0," tăng "," giảm ") &amp; TEXT(ABS(S39)/1000,"0") &amp; "K = " &amp; TEXT(F39/1000,"#.##0") &amp; "K")</f>
        <v/>
      </c>
      <c r="U39" s="150">
        <f>IFERROR(G39-W3Q3FY26!G38,"OOS")</f>
        <v/>
      </c>
      <c r="V39" s="147">
        <f>IF(U39=0,"",$A39 &amp; IF(U39&gt;0," tăng "," giảm ") &amp; TEXT(ABS(U39)/1000,"0") &amp; "K = " &amp; TEXT(G39/1000,"#.##0") &amp; "K")</f>
        <v/>
      </c>
    </row>
    <row r="40" ht="15.95" customHeight="1" s="35">
      <c r="A40" t="inlineStr">
        <is>
          <t>MacBook Air 15" M4 16/256GB</t>
        </is>
      </c>
      <c r="B40" s="25" t="n"/>
      <c r="C40" s="141" t="n">
        <v>29490000</v>
      </c>
      <c r="D40" s="136" t="n">
        <v>29490000</v>
      </c>
      <c r="E40" s="143" t="n"/>
      <c r="F40" s="133" t="n">
        <v>29990000</v>
      </c>
      <c r="G40" s="111" t="n">
        <v>28990000</v>
      </c>
      <c r="H40" s="154" t="n"/>
      <c r="M40" s="149">
        <f>IFERROR(C40-W3Q3FY26!C39,"OOS")</f>
        <v/>
      </c>
      <c r="N40" s="147">
        <f>IF(M40=0,"",$A40 &amp; IF(M40&gt;0," tăng "," giảm ") &amp; TEXT(ABS(M40)/1000,"0") &amp; "K = " &amp; TEXT(C40/1000,"#.##0") &amp; "K")</f>
        <v/>
      </c>
      <c r="O40" s="150">
        <f>IFERROR(D40-W3Q3FY26!D39,"OOS")</f>
        <v/>
      </c>
      <c r="P40" s="147">
        <f>IF(O40=0,"",$A40 &amp; IF(O40&gt;0," tăng "," giảm ") &amp; TEXT(ABS(O40)/1000,"0") &amp; "K = " &amp; TEXT(D40/1000,"#.##0") &amp; "K")</f>
        <v/>
      </c>
      <c r="Q40" s="150">
        <f>IFERROR(E40-W3Q3FY26!E39,"OOS")</f>
        <v/>
      </c>
      <c r="R40" s="147">
        <f>IF(Q40=0,"",$A40 &amp; IF(Q40&gt;0," tăng "," giảm ") &amp; TEXT(ABS(Q40)/1000,"0") &amp; "K = " &amp; TEXT(E40/1000,"#.##0") &amp; "K")</f>
        <v/>
      </c>
      <c r="S40" s="150">
        <f>IFERROR(F40-W3Q3FY26!F39,"OOS")</f>
        <v/>
      </c>
      <c r="T40" s="147">
        <f>IF(S40=0,"",$A40 &amp; IF(S40&gt;0," tăng "," giảm ") &amp; TEXT(ABS(S40)/1000,"0") &amp; "K = " &amp; TEXT(F40/1000,"#.##0") &amp; "K")</f>
        <v/>
      </c>
      <c r="U40" s="150">
        <f>IFERROR(G40-W3Q3FY26!G39,"OOS")</f>
        <v/>
      </c>
      <c r="V40" s="147">
        <f>IF(U40=0,"",$A40 &amp; IF(U40&gt;0," tăng "," giảm ") &amp; TEXT(ABS(U40)/1000,"0") &amp; "K = " &amp; TEXT(G40/1000,"#.##0") &amp; "K")</f>
        <v/>
      </c>
    </row>
    <row r="41" ht="15.95" customHeight="1" s="35">
      <c r="A41" t="inlineStr">
        <is>
          <t>MacBook Pro 14" M5 16/512GB</t>
        </is>
      </c>
      <c r="B41" s="25" t="n"/>
      <c r="C41" s="136" t="n">
        <v>41490000</v>
      </c>
      <c r="D41" s="136" t="n">
        <v>41490000</v>
      </c>
      <c r="E41" s="143" t="n"/>
      <c r="F41" s="133" t="n">
        <v>41490000</v>
      </c>
      <c r="G41" s="111" t="n">
        <v>41490000</v>
      </c>
      <c r="H41" s="154" t="n"/>
      <c r="M41" s="149">
        <f>IFERROR(C41-W3Q3FY26!C41,"OOS")</f>
        <v/>
      </c>
      <c r="N41" s="147">
        <f>IF(M41=0,"",$A41 &amp; IF(M41&gt;0," tăng "," giảm ") &amp; TEXT(ABS(M41)/1000,"0") &amp; "K = " &amp; TEXT(C41/1000,"#.##0") &amp; "K")</f>
        <v/>
      </c>
      <c r="O41" s="150">
        <f>IFERROR(D41-W3Q3FY26!D41,"OOS")</f>
        <v/>
      </c>
      <c r="P41" s="147">
        <f>IF(O41=0,"",$A41 &amp; IF(O41&gt;0," tăng "," giảm ") &amp; TEXT(ABS(O41)/1000,"0") &amp; "K = " &amp; TEXT(D41/1000,"#.##0") &amp; "K")</f>
        <v/>
      </c>
      <c r="Q41" s="150">
        <f>IFERROR(E41-W3Q3FY26!E41,"OOS")</f>
        <v/>
      </c>
      <c r="R41" s="147">
        <f>IF(Q41=0,"",$A41 &amp; IF(Q41&gt;0," tăng "," giảm ") &amp; TEXT(ABS(Q41)/1000,"0") &amp; "K = " &amp; TEXT(E41/1000,"#.##0") &amp; "K")</f>
        <v/>
      </c>
      <c r="S41" s="150">
        <f>IFERROR(F41-W3Q3FY26!F41,"OOS")</f>
        <v/>
      </c>
      <c r="T41" s="147">
        <f>IF(S41=0,"",$A41 &amp; IF(S41&gt;0," tăng "," giảm ") &amp; TEXT(ABS(S41)/1000,"0") &amp; "K = " &amp; TEXT(F41/1000,"#.##0") &amp; "K")</f>
        <v/>
      </c>
      <c r="U41" s="150">
        <f>IFERROR(G41-W3Q3FY26!G41,"OOS")</f>
        <v/>
      </c>
      <c r="V41" s="147">
        <f>IF(U41=0,"",$A41 &amp; IF(U41&gt;0," tăng "," giảm ") &amp; TEXT(ABS(U41)/1000,"0") &amp; "K = " &amp; TEXT(G41/1000,"#.##0") &amp; "K")</f>
        <v/>
      </c>
    </row>
    <row r="42" ht="15.95" customHeight="1" s="35">
      <c r="A42" t="inlineStr">
        <is>
          <t>MacBook Pro 16" M4 24/512GB</t>
        </is>
      </c>
      <c r="B42" s="25" t="n"/>
      <c r="C42" s="136" t="inlineStr">
        <is>
          <t>OOS</t>
        </is>
      </c>
      <c r="D42" s="136" t="n">
        <v>63990000</v>
      </c>
      <c r="E42" s="143" t="n"/>
      <c r="F42" s="133" t="n">
        <v>62990000</v>
      </c>
      <c r="G42" s="111" t="n">
        <v>63990000</v>
      </c>
      <c r="H42" s="154" t="n"/>
      <c r="M42" s="149">
        <f>IFERROR(C42-W3Q3FY26!C42,"OOS")</f>
        <v/>
      </c>
      <c r="N42" s="147">
        <f>IF(M42=0,"",$A42 &amp; IF(M42&gt;0," tăng "," giảm ") &amp; TEXT(ABS(M42)/1000,"0") &amp; "K = " &amp; TEXT(C42/1000,"#.##0") &amp; "K")</f>
        <v/>
      </c>
      <c r="O42" s="150">
        <f>IFERROR(D42-W3Q3FY26!D42,"OOS")</f>
        <v/>
      </c>
      <c r="P42" s="147">
        <f>IF(O42=0,"",$A42 &amp; IF(O42&gt;0," tăng "," giảm ") &amp; TEXT(ABS(O42)/1000,"0") &amp; "K = " &amp; TEXT(D42/1000,"#.##0") &amp; "K")</f>
        <v/>
      </c>
      <c r="Q42" s="150">
        <f>IFERROR(E42-W3Q3FY26!E42,"OOS")</f>
        <v/>
      </c>
      <c r="R42" s="147">
        <f>IF(Q42=0,"",$A42 &amp; IF(Q42&gt;0," tăng "," giảm ") &amp; TEXT(ABS(Q42)/1000,"0") &amp; "K = " &amp; TEXT(E42/1000,"#.##0") &amp; "K")</f>
        <v/>
      </c>
      <c r="S42" s="150">
        <f>IFERROR(F42-W3Q3FY26!F42,"OOS")</f>
        <v/>
      </c>
      <c r="T42" s="147">
        <f>IF(S42=0,"",$A42 &amp; IF(S42&gt;0," tăng "," giảm ") &amp; TEXT(ABS(S42)/1000,"0") &amp; "K = " &amp; TEXT(F42/1000,"#.##0") &amp; "K")</f>
        <v/>
      </c>
      <c r="U42" s="150">
        <f>IFERROR(G42-W3Q3FY26!G42,"OOS")</f>
        <v/>
      </c>
      <c r="V42" s="147">
        <f>IF(U42=0,"",$A42 &amp; IF(U42&gt;0," tăng "," giảm ") &amp; TEXT(ABS(U42)/1000,"0") &amp; "K = " &amp; TEXT(G42/1000,"#.##0") &amp; "K")</f>
        <v/>
      </c>
    </row>
    <row r="43" ht="15.95" customHeight="1" s="35">
      <c r="C43" s="125" t="n"/>
      <c r="D43" s="125" t="n"/>
      <c r="V43" s="147">
        <f>IF(U43=0,"",$A43 &amp; IF(U43&gt;0," tăng "," giảm ") &amp; TEXT(ABS(U43)/1000,"0") &amp; "K = " &amp; TEXT(G43/1000,"#.##0") &amp; "K")</f>
        <v/>
      </c>
    </row>
    <row r="44" ht="15.95" customHeight="1" s="35">
      <c r="C44" s="125" t="n"/>
      <c r="D44" s="125" t="n"/>
      <c r="V44" s="147">
        <f>IF(U44=0,"",$A44 &amp; IF(U44&gt;0," tăng "," giảm ") &amp; TEXT(ABS(U44)/1000,"0") &amp; "K = " &amp; TEXT(G44/1000,"#.##0") &amp; "K")</f>
        <v/>
      </c>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row r="152" ht="15.95" customHeight="1" s="35">
      <c r="C152" s="125" t="n"/>
      <c r="D152" s="125" t="n"/>
    </row>
    <row r="153" ht="15.95" customHeight="1" s="35">
      <c r="C153" s="125" t="n"/>
      <c r="D153" s="125" t="n"/>
    </row>
    <row r="154" ht="15.95" customHeight="1" s="35">
      <c r="C154" s="125" t="n"/>
      <c r="D154" s="125" t="n"/>
    </row>
  </sheetData>
  <conditionalFormatting sqref="E2:E42">
    <cfRule type="expression" priority="5" dxfId="3" stopIfTrue="1">
      <formula>$Q2=0</formula>
    </cfRule>
    <cfRule type="expression" priority="6" dxfId="2" stopIfTrue="1">
      <formula>AND($Q2&lt;&gt;0,$Q2&lt;&gt;"")</formula>
    </cfRule>
  </conditionalFormatting>
  <conditionalFormatting sqref="G9:G11">
    <cfRule type="expression" priority="1" dxfId="3" stopIfTrue="1">
      <formula>$Q9=0</formula>
    </cfRule>
    <cfRule type="expression" priority="2" dxfId="2" stopIfTrue="1">
      <formula>AND($Q9&lt;&gt;0,$Q9&lt;&gt;"")</formula>
    </cfRule>
  </conditionalFormatting>
  <conditionalFormatting sqref="N2:N42 P2:P42 R2:R42 T2:T42 V2:V44">
    <cfRule type="containsText" priority="3" operator="containsText" dxfId="1" text="Tăng">
      <formula>NOT(ISERROR(SEARCH("Tăng",N2)))</formula>
    </cfRule>
    <cfRule type="containsText" priority="4"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5.xml><?xml version="1.0" encoding="utf-8"?>
<worksheet xmlns="http://schemas.openxmlformats.org/spreadsheetml/2006/main">
  <sheetPr>
    <outlinePr summaryBelow="1" summaryRight="1"/>
    <pageSetUpPr/>
  </sheetPr>
  <dimension ref="A1:Y153"/>
  <sheetViews>
    <sheetView showGridLines="0" zoomScale="92" zoomScaleNormal="80" workbookViewId="0">
      <pane xSplit="2" ySplit="1" topLeftCell="C2" activePane="bottomRight" state="frozen"/>
      <selection pane="bottomRight" activeCell="L24" sqref="L24"/>
      <selection pane="bottomLeft" activeCell="A2" sqref="A2"/>
      <selection pane="topRight" activeCell="C1" sqref="C1"/>
    </sheetView>
  </sheetViews>
  <sheetFormatPr baseColWidth="8" defaultColWidth="11" defaultRowHeight="15.75" customHeight="1"/>
  <cols>
    <col width="24.5" customWidth="1" style="35" min="1" max="1"/>
    <col width="3.12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8.3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ht="15.95" customHeight="1" s="35">
      <c r="A2" t="inlineStr">
        <is>
          <t>iPhone 17e 256GB</t>
        </is>
      </c>
      <c r="B2" s="83" t="n"/>
      <c r="C2" s="164" t="n">
        <v>17490000</v>
      </c>
      <c r="D2" s="128" t="n">
        <v>17490000</v>
      </c>
      <c r="E2" s="135" t="n">
        <v>17290000</v>
      </c>
      <c r="F2" s="157" t="n">
        <v>17490000</v>
      </c>
      <c r="G2" s="111" t="n">
        <v>17290000</v>
      </c>
      <c r="H2" s="154" t="n"/>
      <c r="M2" s="149">
        <f>IFERROR(C2-W4Q3FY26!C2,"OOS")</f>
        <v/>
      </c>
      <c r="N2" s="147">
        <f>IF(M2=0,"",$A2 &amp; IF(M2&gt;0," tăng "," giảm ") &amp; TEXT(ABS(M2)/1000,"0") &amp; "K = " &amp; TEXT(C2/1000,"#.##0") &amp; "K")</f>
        <v/>
      </c>
      <c r="O2" s="150">
        <f>IFERROR(D2-W4Q3FY26!D2,"OOS")</f>
        <v/>
      </c>
      <c r="P2" s="147">
        <f>IF(O2=0,"",$A2 &amp; IF(O2&gt;0," tăng "," giảm ") &amp; TEXT(ABS(O2)/1000,"0") &amp; "K = " &amp; TEXT(D2/1000,"#.##0") &amp; "K")</f>
        <v/>
      </c>
      <c r="Q2" s="150">
        <f>IFERROR(E2-W4Q3FY26!E2,"OOS")</f>
        <v/>
      </c>
      <c r="R2" s="147">
        <f>IF(Q2=0,"",$A2 &amp; IF(Q2&gt;0," tăng "," giảm ") &amp; TEXT(ABS(Q2)/1000,"0") &amp; "K = " &amp; TEXT(E2/1000,"#.##0") &amp; "K")</f>
        <v/>
      </c>
      <c r="S2" s="150">
        <f>IFERROR(F2-W4Q3FY26!F2,"OOS")</f>
        <v/>
      </c>
      <c r="T2" s="147">
        <f>IF(S2=0,"",$A2 &amp; IF(S2&gt;0," tăng "," giảm ") &amp; TEXT(ABS(S2)/1000,"0") &amp; "K = " &amp; TEXT(F2/1000,"#.##0") &amp; "K")</f>
        <v/>
      </c>
      <c r="U2" s="150">
        <f>IFERROR(G2-W4Q3FY26!G2,"OOS")</f>
        <v/>
      </c>
      <c r="V2" s="147">
        <f>IF(U2=0,"",$A2 &amp; IF(U2&gt;0," tăng "," giảm ") &amp; TEXT(ABS(U2)/1000,"0") &amp; "K = " &amp; TEXT(G2/1000,"#.##0") &amp; "K")</f>
        <v/>
      </c>
    </row>
    <row r="3" ht="15.95" customHeight="1" s="35">
      <c r="A3" t="inlineStr">
        <is>
          <t>iPhone 17  256GB</t>
        </is>
      </c>
      <c r="B3" s="83" t="n"/>
      <c r="C3" s="164" t="n">
        <v>24490000</v>
      </c>
      <c r="D3" s="130" t="n">
        <v>24490000</v>
      </c>
      <c r="E3" s="131" t="n">
        <v>23490000</v>
      </c>
      <c r="F3" s="161" t="n">
        <v>24390000</v>
      </c>
      <c r="G3" s="111" t="n">
        <v>24190000</v>
      </c>
      <c r="H3" s="154" t="n"/>
      <c r="M3" s="149">
        <f>IFERROR(C3-W4Q3FY26!C3,"OOS")</f>
        <v/>
      </c>
      <c r="N3" s="147">
        <f>IF(M3=0,"",$A3 &amp; IF(M3&gt;0," tăng "," giảm ") &amp; TEXT(ABS(M3)/1000,"0") &amp; "K = " &amp; TEXT(C3/1000,"#.##0") &amp; "K")</f>
        <v/>
      </c>
      <c r="O3" s="150">
        <f>IFERROR(D3-W4Q3FY26!D3,"OOS")</f>
        <v/>
      </c>
      <c r="P3" s="147">
        <f>IF(O3=0,"",$A3 &amp; IF(O3&gt;0," tăng "," giảm ") &amp; TEXT(ABS(O3)/1000,"0") &amp; "K = " &amp; TEXT(D3/1000,"#.##0") &amp; "K")</f>
        <v/>
      </c>
      <c r="Q3" s="150">
        <f>IFERROR(E3-W4Q3FY26!E3,"OOS")</f>
        <v/>
      </c>
      <c r="R3" s="147">
        <f>IF(Q3=0,"",$A3 &amp; IF(Q3&gt;0," tăng "," giảm ") &amp; TEXT(ABS(Q3)/1000,"0") &amp; "K = " &amp; TEXT(E3/1000,"#.##0") &amp; "K")</f>
        <v/>
      </c>
      <c r="S3" s="150">
        <f>IFERROR(F3-W4Q3FY26!F3,"OOS")</f>
        <v/>
      </c>
      <c r="T3" s="147">
        <f>IF(S3=0,"",$A3 &amp; IF(S3&gt;0," tăng "," giảm ") &amp; TEXT(ABS(S3)/1000,"0") &amp; "K = " &amp; TEXT(F3/1000,"#.##0") &amp; "K")</f>
        <v/>
      </c>
      <c r="U3" s="150">
        <f>IFERROR(G3-W4Q3FY26!G3,"OOS")</f>
        <v/>
      </c>
      <c r="V3" s="147">
        <f>IF(U3=0,"",$A3 &amp; IF(U3&gt;0," tăng "," giảm ") &amp; TEXT(ABS(U3)/1000,"0") &amp; "K = " &amp; TEXT(G3/1000,"#.##0") &amp; "K")</f>
        <v/>
      </c>
    </row>
    <row r="4" ht="15.95" customHeight="1" s="35">
      <c r="A4" t="inlineStr">
        <is>
          <t>iPhone Air 256G</t>
        </is>
      </c>
      <c r="B4" s="83" t="n"/>
      <c r="C4" s="164" t="n">
        <v>22990000</v>
      </c>
      <c r="D4" s="128" t="n">
        <v>22990000</v>
      </c>
      <c r="E4" s="131" t="n">
        <v>22990000</v>
      </c>
      <c r="F4" s="133" t="n">
        <v>22990000</v>
      </c>
      <c r="G4" s="111" t="n">
        <v>23490000</v>
      </c>
      <c r="H4" s="154" t="n"/>
      <c r="M4" s="149">
        <f>IFERROR(C4-W4Q3FY26!C4,"OOS")</f>
        <v/>
      </c>
      <c r="N4" s="147">
        <f>IF(M4=0,"",$A4 &amp; IF(M4&gt;0," tăng "," giảm ") &amp; TEXT(ABS(M4)/1000,"0") &amp; "K = " &amp; TEXT(C4/1000,"#.##0") &amp; "K")</f>
        <v/>
      </c>
      <c r="O4" s="150">
        <f>IFERROR(D4-W4Q3FY26!D4,"OOS")</f>
        <v/>
      </c>
      <c r="P4" s="147">
        <f>IF(O4=0,"",$A4 &amp; IF(O4&gt;0," tăng "," giảm ") &amp; TEXT(ABS(O4)/1000,"0") &amp; "K = " &amp; TEXT(D4/1000,"#.##0") &amp; "K")</f>
        <v/>
      </c>
      <c r="Q4" s="150">
        <f>IFERROR(E4-W4Q3FY26!E4,"OOS")</f>
        <v/>
      </c>
      <c r="R4" s="147">
        <f>IF(Q4=0,"",$A4 &amp; IF(Q4&gt;0," tăng "," giảm ") &amp; TEXT(ABS(Q4)/1000,"0") &amp; "K = " &amp; TEXT(E4/1000,"#.##0") &amp; "K")</f>
        <v/>
      </c>
      <c r="S4" s="150">
        <f>IFERROR(F4-W4Q3FY26!F4,"OOS")</f>
        <v/>
      </c>
      <c r="T4" s="147">
        <f>IF(S4=0,"",$A4 &amp; IF(S4&gt;0," tăng "," giảm ") &amp; TEXT(ABS(S4)/1000,"0") &amp; "K = " &amp; TEXT(F4/1000,"#.##0") &amp; "K")</f>
        <v/>
      </c>
      <c r="U4" s="150">
        <f>IFERROR(G4-W4Q3FY26!G4,"OOS")</f>
        <v/>
      </c>
      <c r="V4" s="147">
        <f>IF(U4=0,"",$A4 &amp; IF(U4&gt;0," tăng "," giảm ") &amp; TEXT(ABS(U4)/1000,"0") &amp; "K = " &amp; TEXT(G4/1000,"#.##0") &amp; "K")</f>
        <v/>
      </c>
    </row>
    <row r="5" ht="15.95" customHeight="1" s="35">
      <c r="A5" t="inlineStr">
        <is>
          <t>iPhone 17 Pro 256GB</t>
        </is>
      </c>
      <c r="B5" s="83" t="n"/>
      <c r="C5" s="164" t="n">
        <v>34790000</v>
      </c>
      <c r="D5" s="128" t="n">
        <v>34690000</v>
      </c>
      <c r="E5" s="131" t="n">
        <v>33190000</v>
      </c>
      <c r="F5" s="134" t="n">
        <v>34490000</v>
      </c>
      <c r="G5" s="111" t="n">
        <v>33990000</v>
      </c>
      <c r="H5" s="154" t="n"/>
      <c r="M5" s="149">
        <f>IFERROR(C5-W4Q3FY26!C5,"OOS")</f>
        <v/>
      </c>
      <c r="N5" s="147">
        <f>IF(M5=0,"",$A5 &amp; IF(M5&gt;0," tăng "," giảm ") &amp; TEXT(ABS(M5)/1000,"0") &amp; "K = " &amp; TEXT(C5/1000,"#.##0") &amp; "K")</f>
        <v/>
      </c>
      <c r="O5" s="150">
        <f>IFERROR(D5-W4Q3FY26!D5,"OOS")</f>
        <v/>
      </c>
      <c r="P5" s="147">
        <f>IF(O5=0,"",$A5 &amp; IF(O5&gt;0," tăng "," giảm ") &amp; TEXT(ABS(O5)/1000,"0") &amp; "K = " &amp; TEXT(D5/1000,"#.##0") &amp; "K")</f>
        <v/>
      </c>
      <c r="Q5" s="150">
        <f>IFERROR(E5-W4Q3FY26!E5,"OOS")</f>
        <v/>
      </c>
      <c r="R5" s="147">
        <f>IF(Q5=0,"",$A5 &amp; IF(Q5&gt;0," tăng "," giảm ") &amp; TEXT(ABS(Q5)/1000,"0") &amp; "K = " &amp; TEXT(E5/1000,"#.##0") &amp; "K")</f>
        <v/>
      </c>
      <c r="S5" s="150">
        <f>IFERROR(F5-W4Q3FY26!F5,"OOS")</f>
        <v/>
      </c>
      <c r="T5" s="147">
        <f>IF(S5=0,"",$A5 &amp; IF(S5&gt;0," tăng "," giảm ") &amp; TEXT(ABS(S5)/1000,"0") &amp; "K = " &amp; TEXT(F5/1000,"#.##0") &amp; "K")</f>
        <v/>
      </c>
      <c r="U5" s="150">
        <f>IFERROR(G5-W4Q3FY26!G5,"OOS")</f>
        <v/>
      </c>
      <c r="V5" s="147">
        <f>IF(U5=0,"",$A5 &amp; IF(U5&gt;0," tăng "," giảm ") &amp; TEXT(ABS(U5)/1000,"0") &amp; "K = " &amp; TEXT(G5/1000,"#.##0") &amp; "K")</f>
        <v/>
      </c>
    </row>
    <row r="6" ht="15.95" customHeight="1" s="35">
      <c r="A6" t="inlineStr">
        <is>
          <t>iPhone 17 Pro Max 256GB</t>
        </is>
      </c>
      <c r="B6" s="83" t="n"/>
      <c r="C6" s="164" t="n">
        <v>36990000</v>
      </c>
      <c r="D6" s="128" t="n">
        <v>36990000</v>
      </c>
      <c r="E6" s="135" t="n">
        <v>36290000</v>
      </c>
      <c r="F6" s="133" t="n">
        <v>36990000</v>
      </c>
      <c r="G6" s="111" t="n">
        <v>36890000</v>
      </c>
      <c r="H6" s="154" t="n"/>
      <c r="M6" s="149">
        <f>IFERROR(C6-W4Q3FY26!C6,"OOS")</f>
        <v/>
      </c>
      <c r="N6" s="147">
        <f>IF(M6=0,"",$A6 &amp; IF(M6&gt;0," tăng "," giảm ") &amp; TEXT(ABS(M6)/1000,"0") &amp; "K = " &amp; TEXT(C6/1000,"#.##0") &amp; "K")</f>
        <v/>
      </c>
      <c r="O6" s="150">
        <f>IFERROR(D6-W4Q3FY26!D6,"OOS")</f>
        <v/>
      </c>
      <c r="P6" s="147">
        <f>IF(O6=0,"",$A6 &amp; IF(O6&gt;0," tăng "," giảm ") &amp; TEXT(ABS(O6)/1000,"0") &amp; "K = " &amp; TEXT(D6/1000,"#.##0") &amp; "K")</f>
        <v/>
      </c>
      <c r="Q6" s="150">
        <f>IFERROR(E6-W4Q3FY26!E6,"OOS")</f>
        <v/>
      </c>
      <c r="R6" s="147">
        <f>IF(Q6=0,"",$A6 &amp; IF(Q6&gt;0," tăng "," giảm ") &amp; TEXT(ABS(Q6)/1000,"0") &amp; "K = " &amp; TEXT(E6/1000,"#.##0") &amp; "K")</f>
        <v/>
      </c>
      <c r="S6" s="150">
        <f>IFERROR(F6-W4Q3FY26!F6,"OOS")</f>
        <v/>
      </c>
      <c r="T6" s="147">
        <f>IF(S6=0,"",$A6 &amp; IF(S6&gt;0," tăng "," giảm ") &amp; TEXT(ABS(S6)/1000,"0") &amp; "K = " &amp; TEXT(F6/1000,"#.##0") &amp; "K")</f>
        <v/>
      </c>
      <c r="U6" s="150">
        <f>IFERROR(G6-W4Q3FY26!G6,"OOS")</f>
        <v/>
      </c>
      <c r="V6" s="147">
        <f>IF(U6=0,"",$A6 &amp; IF(U6&gt;0," tăng "," giảm ") &amp; TEXT(ABS(U6)/1000,"0") &amp; "K = " &amp; TEXT(G6/1000,"#.##0") &amp; "K")</f>
        <v/>
      </c>
    </row>
    <row r="7" ht="15.95" customHeight="1" s="35">
      <c r="A7" t="inlineStr">
        <is>
          <t>iPhone 16e  128GB</t>
        </is>
      </c>
      <c r="B7" s="83" t="n"/>
      <c r="C7" s="164" t="n">
        <v>15990000</v>
      </c>
      <c r="D7" s="136" t="n">
        <v>14990000</v>
      </c>
      <c r="E7" s="135" t="n">
        <v>11990000</v>
      </c>
      <c r="F7" s="137" t="n">
        <v>11990000</v>
      </c>
      <c r="G7" s="111" t="n">
        <v>15190000</v>
      </c>
      <c r="H7" s="154" t="n"/>
      <c r="M7" s="149">
        <f>IFERROR(C7-W4Q3FY26!C7,"OOS")</f>
        <v/>
      </c>
      <c r="N7" s="147">
        <f>IF(M7=0,"",$A7 &amp; IF(M7&gt;0," tăng "," giảm ") &amp; TEXT(ABS(M7)/1000,"0") &amp; "K = " &amp; TEXT(C7/1000,"#.##0") &amp; "K")</f>
        <v/>
      </c>
      <c r="O7" s="150">
        <f>IFERROR(D7-W4Q3FY26!D7,"OOS")</f>
        <v/>
      </c>
      <c r="P7" s="147">
        <f>IF(O7=0,"",$A7 &amp; IF(O7&gt;0," tăng "," giảm ") &amp; TEXT(ABS(O7)/1000,"0") &amp; "K = " &amp; TEXT(D7/1000,"#.##0") &amp; "K")</f>
        <v/>
      </c>
      <c r="Q7" s="150">
        <f>IFERROR(E7-W4Q3FY26!E7,"OOS")</f>
        <v/>
      </c>
      <c r="R7" s="147">
        <f>IF(Q7=0,"",$A7 &amp; IF(Q7&gt;0," tăng "," giảm ") &amp; TEXT(ABS(Q7)/1000,"0") &amp; "K = " &amp; TEXT(E7/1000,"#.##0") &amp; "K")</f>
        <v/>
      </c>
      <c r="S7" s="150">
        <f>IFERROR(F7-W4Q3FY26!F7,"OOS")</f>
        <v/>
      </c>
      <c r="T7" s="147">
        <f>IF(S7=0,"",$A7 &amp; IF(S7&gt;0," tăng "," giảm ") &amp; TEXT(ABS(S7)/1000,"0") &amp; "K = " &amp; TEXT(F7/1000,"#.##0") &amp; "K")</f>
        <v/>
      </c>
      <c r="U7" s="150">
        <f>IFERROR(G7-W4Q3FY26!G7,"OOS")</f>
        <v/>
      </c>
      <c r="V7" s="147">
        <f>IF(U7=0,"",$A7 &amp; IF(U7&gt;0," tăng "," giảm ") &amp; TEXT(ABS(U7)/1000,"0") &amp; "K = " &amp; TEXT(G7/1000,"#.##0") &amp; "K")</f>
        <v/>
      </c>
    </row>
    <row r="8" ht="15.95" customHeight="1" s="35">
      <c r="A8" t="inlineStr">
        <is>
          <t>iPhone 16 128GB</t>
        </is>
      </c>
      <c r="B8" s="71" t="n"/>
      <c r="C8" s="165" t="n">
        <v>19990000</v>
      </c>
      <c r="D8" s="139" t="n">
        <v>19990000</v>
      </c>
      <c r="E8" s="140" t="n">
        <v>20490000</v>
      </c>
      <c r="F8" s="133" t="n">
        <v>19990000</v>
      </c>
      <c r="G8" s="111" t="n">
        <v>20490000</v>
      </c>
      <c r="H8" s="154" t="n"/>
      <c r="M8" s="149">
        <f>IFERROR(C8-W4Q3FY26!C8,"OOS")</f>
        <v/>
      </c>
      <c r="N8" s="147">
        <f>IF(M8=0,"",$A8 &amp; IF(M8&gt;0," tăng "," giảm ") &amp; TEXT(ABS(M8)/1000,"0") &amp; "K = " &amp; TEXT(C8/1000,"#.##0") &amp; "K")</f>
        <v/>
      </c>
      <c r="O8" s="150">
        <f>IFERROR(D8-W4Q3FY26!D8,"OOS")</f>
        <v/>
      </c>
      <c r="P8" s="147">
        <f>IF(O8=0,"",$A8 &amp; IF(O8&gt;0," tăng "," giảm ") &amp; TEXT(ABS(O8)/1000,"0") &amp; "K = " &amp; TEXT(D8/1000,"#.##0") &amp; "K")</f>
        <v/>
      </c>
      <c r="Q8" s="150">
        <f>IFERROR(E8-W4Q3FY26!E8,"OOS")</f>
        <v/>
      </c>
      <c r="R8" s="147">
        <f>IF(Q8=0,"",$A8 &amp; IF(Q8&gt;0," tăng "," giảm ") &amp; TEXT(ABS(Q8)/1000,"0") &amp; "K = " &amp; TEXT(E8/1000,"#.##0") &amp; "K")</f>
        <v/>
      </c>
      <c r="S8" s="150">
        <f>IFERROR(F8-W4Q3FY26!F8,"OOS")</f>
        <v/>
      </c>
      <c r="T8" s="147">
        <f>IF(S8=0,"",$A8 &amp; IF(S8&gt;0," tăng "," giảm ") &amp; TEXT(ABS(S8)/1000,"0") &amp; "K = " &amp; TEXT(F8/1000,"#.##0") &amp; "K")</f>
        <v/>
      </c>
      <c r="U8" s="150">
        <f>IFERROR(G8-W4Q3FY26!G8,"OOS")</f>
        <v/>
      </c>
      <c r="V8" s="147">
        <f>IF(U8=0,"",$A8 &amp; IF(U8&gt;0," tăng "," giảm ") &amp; TEXT(ABS(U8)/1000,"0") &amp; "K = " &amp; TEXT(G8/1000,"#.##0") &amp; "K")</f>
        <v/>
      </c>
    </row>
    <row r="9" ht="15.95" customHeight="1" s="35">
      <c r="A9" t="inlineStr">
        <is>
          <t>iPhone 16  Plus 128GB</t>
        </is>
      </c>
      <c r="B9" s="3" t="n"/>
      <c r="C9" s="166" t="n">
        <v>23990000</v>
      </c>
      <c r="D9" s="136" t="n">
        <v>23490000</v>
      </c>
      <c r="E9" s="140" t="n">
        <v>24290000</v>
      </c>
      <c r="F9" s="133" t="n">
        <v>23990000</v>
      </c>
      <c r="G9" s="111" t="n">
        <v>24390000</v>
      </c>
      <c r="H9" s="154" t="n"/>
      <c r="M9" s="149">
        <f>IFERROR(C9-W4Q3FY26!C9,"OOS")</f>
        <v/>
      </c>
      <c r="N9" s="147">
        <f>IF(M9=0,"",$A9 &amp; IF(M9&gt;0," tăng "," giảm ") &amp; TEXT(ABS(M9)/1000,"0") &amp; "K = " &amp; TEXT(C9/1000,"#.##0") &amp; "K")</f>
        <v/>
      </c>
      <c r="O9" s="150">
        <f>IFERROR(D9-W4Q3FY26!D9,"OOS")</f>
        <v/>
      </c>
      <c r="P9" s="147">
        <f>IF(O9=0,"",$A9 &amp; IF(O9&gt;0," tăng "," giảm ") &amp; TEXT(ABS(O9)/1000,"0") &amp; "K = " &amp; TEXT(D9/1000,"#.##0") &amp; "K")</f>
        <v/>
      </c>
      <c r="Q9" s="150">
        <f>IFERROR(E9-W4Q3FY26!E9,"OOS")</f>
        <v/>
      </c>
      <c r="R9" s="147">
        <f>IF(Q9=0,"",$A9 &amp; IF(Q9&gt;0," tăng "," giảm ") &amp; TEXT(ABS(Q9)/1000,"0") &amp; "K = " &amp; TEXT(E9/1000,"#.##0") &amp; "K")</f>
        <v/>
      </c>
      <c r="S9" s="150">
        <f>IFERROR(F9-W4Q3FY26!F9,"OOS")</f>
        <v/>
      </c>
      <c r="T9" s="147">
        <f>IF(S9=0,"",$A9 &amp; IF(S9&gt;0," tăng "," giảm ") &amp; TEXT(ABS(S9)/1000,"0") &amp; "K = " &amp; TEXT(F9/1000,"#.##0") &amp; "K")</f>
        <v/>
      </c>
      <c r="U9" s="150">
        <f>IFERROR(G9-W4Q3FY26!G9,"OOS")</f>
        <v/>
      </c>
      <c r="V9" s="147">
        <f>IF(U9=0,"",$A9 &amp; IF(U9&gt;0," tăng "," giảm ") &amp; TEXT(ABS(U9)/1000,"0") &amp; "K = " &amp; TEXT(G9/1000,"#.##0") &amp; "K")</f>
        <v/>
      </c>
    </row>
    <row r="10" ht="15.95" customHeight="1" s="35">
      <c r="A10" t="inlineStr">
        <is>
          <t>iPhone 16 Pro 128GB</t>
        </is>
      </c>
      <c r="B10" s="25" t="n"/>
      <c r="C10" s="166" t="inlineStr">
        <is>
          <t>OOS</t>
        </is>
      </c>
      <c r="D10" s="113" t="inlineStr">
        <is>
          <t>OOS</t>
        </is>
      </c>
      <c r="E10" s="113" t="inlineStr">
        <is>
          <t>OOS</t>
        </is>
      </c>
      <c r="F10" s="133" t="n">
        <v>24490000</v>
      </c>
      <c r="G10" s="111" t="inlineStr">
        <is>
          <t>OOS</t>
        </is>
      </c>
      <c r="H10" s="154" t="n"/>
      <c r="M10" s="149">
        <f>IFERROR(C10-W4Q3FY26!C10,"OOS")</f>
        <v/>
      </c>
      <c r="N10" s="147">
        <f>IF(M10=0,"",$A10 &amp; IF(M10&gt;0," tăng "," giảm ") &amp; TEXT(ABS(M10)/1000,"0") &amp; "K = " &amp; TEXT(C10/1000,"#.##0") &amp; "K")</f>
        <v/>
      </c>
      <c r="O10" s="150">
        <f>IFERROR(D10-W4Q3FY26!D10,"OOS")</f>
        <v/>
      </c>
      <c r="P10" s="147">
        <f>IF(O10=0,"",$A10 &amp; IF(O10&gt;0," tăng "," giảm ") &amp; TEXT(ABS(O10)/1000,"0") &amp; "K = " &amp; TEXT(D10/1000,"#.##0") &amp; "K")</f>
        <v/>
      </c>
      <c r="Q10" s="150">
        <f>IFERROR(E10-W4Q3FY26!E10,"OOS")</f>
        <v/>
      </c>
      <c r="R10" s="147">
        <f>IF(Q10=0,"",$A10 &amp; IF(Q10&gt;0," tăng "," giảm ") &amp; TEXT(ABS(Q10)/1000,"0") &amp; "K = " &amp; TEXT(E10/1000,"#.##0") &amp; "K")</f>
        <v/>
      </c>
      <c r="S10" s="150">
        <f>IFERROR(F10-W4Q3FY26!F10,"OOS")</f>
        <v/>
      </c>
      <c r="T10" s="147">
        <f>IF(S10=0,"",$A10 &amp; IF(S10&gt;0," tăng "," giảm ") &amp; TEXT(ABS(S10)/1000,"0") &amp; "K = " &amp; TEXT(F10/1000,"#.##0") &amp; "K")</f>
        <v/>
      </c>
      <c r="U10" s="150">
        <f>IFERROR(G10-W4Q3FY26!G10,"OOS")</f>
        <v/>
      </c>
      <c r="V10" s="147">
        <f>IF(U10=0,"",$A10 &amp; IF(U10&gt;0," tăng "," giảm ") &amp; TEXT(ABS(U10)/1000,"0") &amp; "K = " &amp; TEXT(G10/1000,"#.##0") &amp; "K")</f>
        <v/>
      </c>
    </row>
    <row r="11" ht="15.95" customHeight="1" s="35">
      <c r="A11" t="inlineStr">
        <is>
          <t>iPhone 16 Pro Max 256GB</t>
        </is>
      </c>
      <c r="B11" s="3" t="n"/>
      <c r="C11" s="166" t="inlineStr">
        <is>
          <t>OOS</t>
        </is>
      </c>
      <c r="D11" s="113" t="inlineStr">
        <is>
          <t>OOS</t>
        </is>
      </c>
      <c r="E11" s="113" t="inlineStr">
        <is>
          <t>OOS</t>
        </is>
      </c>
      <c r="F11" s="133" t="n">
        <v>30990000</v>
      </c>
      <c r="G11" s="111" t="inlineStr">
        <is>
          <t>OOS</t>
        </is>
      </c>
      <c r="H11" s="154" t="n"/>
      <c r="M11" s="149">
        <f>IFERROR(C11-W4Q3FY26!C11,"OOS")</f>
        <v/>
      </c>
      <c r="N11" s="147">
        <f>IF(M11=0,"",$A11 &amp; IF(M11&gt;0," tăng "," giảm ") &amp; TEXT(ABS(M11)/1000,"0") &amp; "K = " &amp; TEXT(C11/1000,"#.##0") &amp; "K")</f>
        <v/>
      </c>
      <c r="O11" s="150">
        <f>IFERROR(D11-W4Q3FY26!D11,"OOS")</f>
        <v/>
      </c>
      <c r="P11" s="147">
        <f>IF(O11=0,"",$A11 &amp; IF(O11&gt;0," tăng "," giảm ") &amp; TEXT(ABS(O11)/1000,"0") &amp; "K = " &amp; TEXT(D11/1000,"#.##0") &amp; "K")</f>
        <v/>
      </c>
      <c r="Q11" s="150">
        <f>IFERROR(E11-W4Q3FY26!E11,"OOS")</f>
        <v/>
      </c>
      <c r="R11" s="147">
        <f>IF(Q11=0,"",$A11 &amp; IF(Q11&gt;0," tăng "," giảm ") &amp; TEXT(ABS(Q11)/1000,"0") &amp; "K = " &amp; TEXT(E11/1000,"#.##0") &amp; "K")</f>
        <v/>
      </c>
      <c r="S11" s="150">
        <f>IFERROR(F11-W4Q3FY26!F11,"OOS")</f>
        <v/>
      </c>
      <c r="T11" s="147">
        <f>IF(S11=0,"",$A11 &amp; IF(S11&gt;0," tăng "," giảm ") &amp; TEXT(ABS(S11)/1000,"0") &amp; "K = " &amp; TEXT(F11/1000,"#.##0") &amp; "K")</f>
        <v/>
      </c>
      <c r="U11" s="150">
        <f>IFERROR(G11-W4Q3FY26!G11,"OOS")</f>
        <v/>
      </c>
      <c r="V11" s="147">
        <f>IF(U11=0,"",$A11 &amp; IF(U11&gt;0," tăng "," giảm ") &amp; TEXT(ABS(U11)/1000,"0") &amp; "K = " &amp; TEXT(G11/1000,"#.##0") &amp; "K")</f>
        <v/>
      </c>
    </row>
    <row r="12" ht="15.95" customHeight="1" s="35">
      <c r="A12" t="inlineStr">
        <is>
          <t>iPhone 15  128GB</t>
        </is>
      </c>
      <c r="B12" s="25" t="n"/>
      <c r="C12" s="166" t="n">
        <v>17590000</v>
      </c>
      <c r="D12" s="136" t="n">
        <v>17490000</v>
      </c>
      <c r="E12" s="155" t="n">
        <v>17190000</v>
      </c>
      <c r="F12" s="133" t="n">
        <v>17590000</v>
      </c>
      <c r="G12" s="111" t="n">
        <v>17390000</v>
      </c>
      <c r="H12" s="154" t="n"/>
      <c r="M12" s="149">
        <f>IFERROR(C12-W4Q3FY26!C12,"OOS")</f>
        <v/>
      </c>
      <c r="N12" s="147">
        <f>IF(M12=0,"",$A12 &amp; IF(M12&gt;0," tăng "," giảm ") &amp; TEXT(ABS(M12)/1000,"0") &amp; "K = " &amp; TEXT(C12/1000,"#.##0") &amp; "K")</f>
        <v/>
      </c>
      <c r="O12" s="150">
        <f>IFERROR(D12-W4Q3FY26!D12,"OOS")</f>
        <v/>
      </c>
      <c r="P12" s="147">
        <f>IF(O12=0,"",$A12 &amp; IF(O12&gt;0," tăng "," giảm ") &amp; TEXT(ABS(O12)/1000,"0") &amp; "K = " &amp; TEXT(D12/1000,"#.##0") &amp; "K")</f>
        <v/>
      </c>
      <c r="Q12" s="150">
        <f>IFERROR(E12-W4Q3FY26!E12,"OOS")</f>
        <v/>
      </c>
      <c r="R12" s="147">
        <f>IF(Q12=0,"",$A12 &amp; IF(Q12&gt;0," tăng "," giảm ") &amp; TEXT(ABS(Q12)/1000,"0") &amp; "K = " &amp; TEXT(E12/1000,"#.##0") &amp; "K")</f>
        <v/>
      </c>
      <c r="S12" s="150">
        <f>IFERROR(F12-W4Q3FY26!F12,"OOS")</f>
        <v/>
      </c>
      <c r="T12" s="147">
        <f>IF(S12=0,"",$A12 &amp; IF(S12&gt;0," tăng "," giảm ") &amp; TEXT(ABS(S12)/1000,"0") &amp; "K = " &amp; TEXT(F12/1000,"#.##0") &amp; "K")</f>
        <v/>
      </c>
      <c r="U12" s="150">
        <f>IFERROR(G12-W4Q3FY26!G12,"OOS")</f>
        <v/>
      </c>
      <c r="V12" s="147">
        <f>IF(U12=0,"",$A12 &amp; IF(U12&gt;0," tăng "," giảm ") &amp; TEXT(ABS(U12)/1000,"0") &amp; "K = " &amp; TEXT(G12/1000,"#.##0") &amp; "K")</f>
        <v/>
      </c>
    </row>
    <row r="13" ht="15.95" customHeight="1" s="35">
      <c r="A13" t="inlineStr">
        <is>
          <t>iPhone 15  Plus 128GB</t>
        </is>
      </c>
      <c r="B13" s="25" t="n"/>
      <c r="C13" s="166" t="n">
        <v>17990000</v>
      </c>
      <c r="D13" s="136" t="inlineStr">
        <is>
          <t>OOS</t>
        </is>
      </c>
      <c r="E13" s="131" t="inlineStr">
        <is>
          <t>OOS</t>
        </is>
      </c>
      <c r="F13" s="133" t="n">
        <v>17690000</v>
      </c>
      <c r="G13" s="111" t="inlineStr">
        <is>
          <t>OOS</t>
        </is>
      </c>
      <c r="H13" s="154" t="n"/>
      <c r="M13" s="149">
        <f>IFERROR(C13-W4Q3FY26!C13,"OOS")</f>
        <v/>
      </c>
      <c r="N13" s="147">
        <f>IF(M13=0,"",$A13 &amp; IF(M13&gt;0," tăng "," giảm ") &amp; TEXT(ABS(M13)/1000,"0") &amp; "K = " &amp; TEXT(C13/1000,"#.##0") &amp; "K")</f>
        <v/>
      </c>
      <c r="O13" s="150">
        <f>IFERROR(D13-W4Q3FY26!D13,"OOS")</f>
        <v/>
      </c>
      <c r="P13" s="147">
        <f>IF(O13=0,"",$A13 &amp; IF(O13&gt;0," tăng "," giảm ") &amp; TEXT(ABS(O13)/1000,"0") &amp; "K = " &amp; TEXT(D13/1000,"#.##0") &amp; "K")</f>
        <v/>
      </c>
      <c r="Q13" s="150">
        <f>IFERROR(E13-W4Q3FY26!E13,"OOS")</f>
        <v/>
      </c>
      <c r="R13" s="147">
        <f>IF(Q13=0,"",$A13 &amp; IF(Q13&gt;0," tăng "," giảm ") &amp; TEXT(ABS(Q13)/1000,"0") &amp; "K = " &amp; TEXT(E13/1000,"#.##0") &amp; "K")</f>
        <v/>
      </c>
      <c r="S13" s="150">
        <f>IFERROR(F13-W4Q3FY26!F13,"OOS")</f>
        <v/>
      </c>
      <c r="T13" s="147">
        <f>IF(S13=0,"",$A13 &amp; IF(S13&gt;0," tăng "," giảm ") &amp; TEXT(ABS(S13)/1000,"0") &amp; "K = " &amp; TEXT(F13/1000,"#.##0") &amp; "K")</f>
        <v/>
      </c>
      <c r="U13" s="150">
        <f>IFERROR(G13-W4Q3FY26!G13,"OOS")</f>
        <v/>
      </c>
      <c r="V13" s="147">
        <f>IF(U13=0,"",$A13 &amp; IF(U13&gt;0," tăng "," giảm ") &amp; TEXT(ABS(U13)/1000,"0") &amp; "K = " &amp; TEXT(G13/1000,"#.##0") &amp; "K")</f>
        <v/>
      </c>
    </row>
    <row r="14" ht="15.95" customHeight="1" s="35">
      <c r="A14" t="inlineStr">
        <is>
          <t>iPhone 14 128GB</t>
        </is>
      </c>
      <c r="B14" s="25" t="n"/>
      <c r="C14" s="166" t="n">
        <v>13990000</v>
      </c>
      <c r="D14" s="141" t="n">
        <v>13490000</v>
      </c>
      <c r="E14" s="131" t="n">
        <v>13290000</v>
      </c>
      <c r="F14" s="133" t="n">
        <v>13990000</v>
      </c>
      <c r="G14" s="111" t="n">
        <v>12990000</v>
      </c>
      <c r="H14" s="154" t="n"/>
      <c r="M14" s="149">
        <f>IFERROR(C14-W4Q3FY26!C14,"OOS")</f>
        <v/>
      </c>
      <c r="N14" s="147">
        <f>IF(M14=0,"",$A14 &amp; IF(M14&gt;0," tăng "," giảm ") &amp; TEXT(ABS(M14)/1000,"0") &amp; "K = " &amp; TEXT(C14/1000,"#.##0") &amp; "K")</f>
        <v/>
      </c>
      <c r="O14" s="150">
        <f>IFERROR(D14-W4Q3FY26!D14,"OOS")</f>
        <v/>
      </c>
      <c r="P14" s="147">
        <f>IF(O14=0,"",$A14 &amp; IF(O14&gt;0," tăng "," giảm ") &amp; TEXT(ABS(O14)/1000,"0") &amp; "K = " &amp; TEXT(D14/1000,"#.##0") &amp; "K")</f>
        <v/>
      </c>
      <c r="Q14" s="150">
        <f>IFERROR(E14-W4Q3FY26!E14,"OOS")</f>
        <v/>
      </c>
      <c r="R14" s="147">
        <f>IF(Q14=0,"",$A14 &amp; IF(Q14&gt;0," tăng "," giảm ") &amp; TEXT(ABS(Q14)/1000,"0") &amp; "K = " &amp; TEXT(E14/1000,"#.##0") &amp; "K")</f>
        <v/>
      </c>
      <c r="S14" s="150">
        <f>IFERROR(F14-W4Q3FY26!F14,"OOS")</f>
        <v/>
      </c>
      <c r="T14" s="147">
        <f>IF(S14=0,"",$A14 &amp; IF(S14&gt;0," tăng "," giảm ") &amp; TEXT(ABS(S14)/1000,"0") &amp; "K = " &amp; TEXT(F14/1000,"#.##0") &amp; "K")</f>
        <v/>
      </c>
      <c r="U14" s="150">
        <f>IFERROR(G14-W4Q3FY26!G14,"OOS")</f>
        <v/>
      </c>
      <c r="V14" s="147">
        <f>IF(U14=0,"",$A14 &amp; IF(U14&gt;0," tăng "," giảm ") &amp; TEXT(ABS(U14)/1000,"0") &amp; "K = " &amp; TEXT(G14/1000,"#.##0") &amp; "K")</f>
        <v/>
      </c>
    </row>
    <row r="15" ht="15.95" customHeight="1" s="35">
      <c r="A15" t="inlineStr">
        <is>
          <t>iPhone 13  128GB</t>
        </is>
      </c>
      <c r="B15" s="3" t="n"/>
      <c r="C15" s="166" t="n">
        <v>11990000</v>
      </c>
      <c r="D15" s="136" t="n">
        <v>11990000</v>
      </c>
      <c r="E15" s="140" t="n">
        <v>11590000</v>
      </c>
      <c r="F15" s="133" t="n">
        <v>11990000</v>
      </c>
      <c r="G15" s="111" t="n">
        <v>11890000</v>
      </c>
      <c r="H15" s="154" t="n"/>
      <c r="M15" s="149">
        <f>IFERROR(C15-W4Q3FY26!C15,"OOS")</f>
        <v/>
      </c>
      <c r="N15" s="147">
        <f>IF(M15=0,"",$A15 &amp; IF(M15&gt;0," tăng "," giảm ") &amp; TEXT(ABS(M15)/1000,"0") &amp; "K = " &amp; TEXT(C15/1000,"#.##0") &amp; "K")</f>
        <v/>
      </c>
      <c r="O15" s="150">
        <f>IFERROR(D15-W4Q3FY26!D15,"OOS")</f>
        <v/>
      </c>
      <c r="P15" s="147">
        <f>IF(O15=0,"",$A15 &amp; IF(O15&gt;0," tăng "," giảm ") &amp; TEXT(ABS(O15)/1000,"0") &amp; "K = " &amp; TEXT(D15/1000,"#.##0") &amp; "K")</f>
        <v/>
      </c>
      <c r="Q15" s="150">
        <f>IFERROR(E15-W4Q3FY26!E15,"OOS")</f>
        <v/>
      </c>
      <c r="R15" s="147">
        <f>IF(Q15=0,"",$A15 &amp; IF(Q15&gt;0," tăng "," giảm ") &amp; TEXT(ABS(Q15)/1000,"0") &amp; "K = " &amp; TEXT(E15/1000,"#.##0") &amp; "K")</f>
        <v/>
      </c>
      <c r="S15" s="150">
        <f>IFERROR(F15-W4Q3FY26!F15,"OOS")</f>
        <v/>
      </c>
      <c r="T15" s="147">
        <f>IF(S15=0,"",$A15 &amp; IF(S15&gt;0," tăng "," giảm ") &amp; TEXT(ABS(S15)/1000,"0") &amp; "K = " &amp; TEXT(F15/1000,"#.##0") &amp; "K")</f>
        <v/>
      </c>
      <c r="U15" s="150">
        <f>IFERROR(G15-W4Q3FY26!G15,"OOS")</f>
        <v/>
      </c>
      <c r="V15" s="147">
        <f>IF(U15=0,"",$A15 &amp; IF(U15&gt;0," tăng "," giảm ") &amp; TEXT(ABS(U15)/1000,"0") &amp; "K = " &amp; TEXT(G15/1000,"#.##0") &amp; "K")</f>
        <v/>
      </c>
    </row>
    <row r="16" ht="15.95" customHeight="1" s="35">
      <c r="A16" t="inlineStr">
        <is>
          <t>iPad Mini 7 128GB Wifi</t>
        </is>
      </c>
      <c r="B16" s="25" t="n"/>
      <c r="C16" s="166" t="n">
        <v>12890000</v>
      </c>
      <c r="D16" s="141" t="n">
        <v>13490000</v>
      </c>
      <c r="E16" s="140" t="n">
        <v>13290000</v>
      </c>
      <c r="F16" s="133" t="n">
        <v>12890000</v>
      </c>
      <c r="G16" s="111" t="n">
        <v>13090000</v>
      </c>
      <c r="H16" s="154" t="n"/>
      <c r="M16" s="149">
        <f>IFERROR(C16-W4Q3FY26!C16,"OOS")</f>
        <v/>
      </c>
      <c r="N16" s="147">
        <f>IF(M16=0,"",$A16 &amp; IF(M16&gt;0," tăng "," giảm ") &amp; TEXT(ABS(M16)/1000,"0") &amp; "K = " &amp; TEXT(C16/1000,"#.##0") &amp; "K")</f>
        <v/>
      </c>
      <c r="O16" s="150">
        <f>IFERROR(D16-W4Q3FY26!D16,"OOS")</f>
        <v/>
      </c>
      <c r="P16" s="147">
        <f>IF(O16=0,"",$A16 &amp; IF(O16&gt;0," tăng "," giảm ") &amp; TEXT(ABS(O16)/1000,"0") &amp; "K = " &amp; TEXT(D16/1000,"#.##0") &amp; "K")</f>
        <v/>
      </c>
      <c r="Q16" s="150">
        <f>IFERROR(E16-W4Q3FY26!E16,"OOS")</f>
        <v/>
      </c>
      <c r="R16" s="147">
        <f>IF(Q16=0,"",$A16 &amp; IF(Q16&gt;0," tăng "," giảm ") &amp; TEXT(ABS(Q16)/1000,"0") &amp; "K = " &amp; TEXT(E16/1000,"#.##0") &amp; "K")</f>
        <v/>
      </c>
      <c r="S16" s="150">
        <f>IFERROR(F16-W4Q3FY26!F16,"OOS")</f>
        <v/>
      </c>
      <c r="T16" s="147">
        <f>IF(S16=0,"",$A16 &amp; IF(S16&gt;0," tăng "," giảm ") &amp; TEXT(ABS(S16)/1000,"0") &amp; "K = " &amp; TEXT(F16/1000,"#.##0") &amp; "K")</f>
        <v/>
      </c>
      <c r="U16" s="150">
        <f>IFERROR(G16-W4Q3FY26!G16,"OOS")</f>
        <v/>
      </c>
      <c r="V16" s="147">
        <f>IF(U16=0,"",$A16 &amp; IF(U16&gt;0," tăng "," giảm ") &amp; TEXT(ABS(U16)/1000,"0") &amp; "K = " &amp; TEXT(G16/1000,"#.##0") &amp; "K")</f>
        <v/>
      </c>
    </row>
    <row r="17" ht="15.95" customHeight="1" s="35">
      <c r="A17" t="inlineStr">
        <is>
          <t>iPad Gen 11th  128GB Wifi</t>
        </is>
      </c>
      <c r="B17" s="3" t="n"/>
      <c r="C17" s="166" t="n">
        <v>9290000</v>
      </c>
      <c r="D17" s="136" t="n">
        <v>9290000</v>
      </c>
      <c r="E17" s="155" t="n">
        <v>9190000</v>
      </c>
      <c r="F17" s="133" t="n">
        <v>9290000</v>
      </c>
      <c r="G17" s="111" t="n">
        <v>9290000</v>
      </c>
      <c r="H17" s="154" t="n"/>
      <c r="M17" s="149">
        <f>IFERROR(C17-W4Q3FY26!C17,"OOS")</f>
        <v/>
      </c>
      <c r="N17" s="147">
        <f>IF(M17=0,"",$A17 &amp; IF(M17&gt;0," tăng "," giảm ") &amp; TEXT(ABS(M17)/1000,"0") &amp; "K = " &amp; TEXT(C17/1000,"#.##0") &amp; "K")</f>
        <v/>
      </c>
      <c r="O17" s="150">
        <f>IFERROR(D17-W4Q3FY26!D17,"OOS")</f>
        <v/>
      </c>
      <c r="P17" s="147">
        <f>IF(O17=0,"",$A17 &amp; IF(O17&gt;0," tăng "," giảm ") &amp; TEXT(ABS(O17)/1000,"0") &amp; "K = " &amp; TEXT(D17/1000,"#.##0") &amp; "K")</f>
        <v/>
      </c>
      <c r="Q17" s="150">
        <f>IFERROR(E17-W4Q3FY26!E17,"OOS")</f>
        <v/>
      </c>
      <c r="R17" s="147">
        <f>IF(Q17=0,"",$A17 &amp; IF(Q17&gt;0," tăng "," giảm ") &amp; TEXT(ABS(Q17)/1000,"0") &amp; "K = " &amp; TEXT(E17/1000,"#.##0") &amp; "K")</f>
        <v/>
      </c>
      <c r="S17" s="150">
        <f>IFERROR(F17-W4Q3FY26!F17,"OOS")</f>
        <v/>
      </c>
      <c r="T17" s="147">
        <f>IF(S17=0,"",$A17 &amp; IF(S17&gt;0," tăng "," giảm ") &amp; TEXT(ABS(S17)/1000,"0") &amp; "K = " &amp; TEXT(F17/1000,"#.##0") &amp; "K")</f>
        <v/>
      </c>
      <c r="U17" s="150">
        <f>IFERROR(G17-W4Q3FY26!G17,"OOS")</f>
        <v/>
      </c>
      <c r="V17" s="147">
        <f>IF(U17=0,"",$A17 &amp; IF(U17&gt;0," tăng "," giảm ") &amp; TEXT(ABS(U17)/1000,"0") &amp; "K = " &amp; TEXT(G17/1000,"#.##0") &amp; "K")</f>
        <v/>
      </c>
      <c r="W17" t="inlineStr">
        <is>
          <t xml:space="preserve">MW </t>
        </is>
      </c>
      <c r="X17" t="inlineStr">
        <is>
          <t>Hải</t>
        </is>
      </c>
      <c r="Y17" t="b">
        <v>0</v>
      </c>
    </row>
    <row r="18" ht="15.95" customHeight="1" s="35">
      <c r="A18" t="inlineStr">
        <is>
          <t>iPad Air M3  11" 128 GB Wifi</t>
        </is>
      </c>
      <c r="B18" s="3" t="n"/>
      <c r="C18" s="166" t="n">
        <v>14990000</v>
      </c>
      <c r="D18" s="136" t="n">
        <v>14990000</v>
      </c>
      <c r="E18" s="155" t="n">
        <v>14290000</v>
      </c>
      <c r="F18" s="133" t="n">
        <v>15190000</v>
      </c>
      <c r="G18" s="111" t="inlineStr">
        <is>
          <t>OOS</t>
        </is>
      </c>
      <c r="H18" s="154" t="n"/>
      <c r="M18" s="149">
        <f>IFERROR(C18-W4Q3FY26!C18,"OOS")</f>
        <v/>
      </c>
      <c r="N18" s="147">
        <f>IF(M18=0,"",$A18 &amp; IF(M18&gt;0," tăng "," giảm ") &amp; TEXT(ABS(M18)/1000,"0") &amp; "K = " &amp; TEXT(C18/1000,"#.##0") &amp; "K")</f>
        <v/>
      </c>
      <c r="O18" s="150">
        <f>IFERROR(D18-W4Q3FY26!D18,"OOS")</f>
        <v/>
      </c>
      <c r="P18" s="147">
        <f>IF(O18=0,"",$A18 &amp; IF(O18&gt;0," tăng "," giảm ") &amp; TEXT(ABS(O18)/1000,"0") &amp; "K = " &amp; TEXT(D18/1000,"#.##0") &amp; "K")</f>
        <v/>
      </c>
      <c r="Q18" s="150">
        <f>IFERROR(E18-W4Q3FY26!E18,"OOS")</f>
        <v/>
      </c>
      <c r="R18" s="147">
        <f>IF(Q18=0,"",$A18 &amp; IF(Q18&gt;0," tăng "," giảm ") &amp; TEXT(ABS(Q18)/1000,"0") &amp; "K = " &amp; TEXT(E18/1000,"#.##0") &amp; "K")</f>
        <v/>
      </c>
      <c r="S18" s="150">
        <f>IFERROR(F18-W4Q3FY26!F18,"OOS")</f>
        <v/>
      </c>
      <c r="T18" s="147">
        <f>IF(S18=0,"",$A18 &amp; IF(S18&gt;0," tăng "," giảm ") &amp; TEXT(ABS(S18)/1000,"0") &amp; "K = " &amp; TEXT(F18/1000,"#.##0") &amp; "K")</f>
        <v/>
      </c>
      <c r="U18" s="150">
        <f>IFERROR(G18-W4Q3FY26!G18,"OOS")</f>
        <v/>
      </c>
      <c r="V18" s="147">
        <f>IF(U18=0,"",$A18 &amp; IF(U18&gt;0," tăng "," giảm ") &amp; TEXT(ABS(U18)/1000,"0") &amp; "K = " &amp; TEXT(G18/1000,"#.##0") &amp; "K")</f>
        <v/>
      </c>
      <c r="W18" t="inlineStr">
        <is>
          <t>FPT</t>
        </is>
      </c>
      <c r="X18" t="inlineStr">
        <is>
          <t>Trang</t>
        </is>
      </c>
      <c r="Y18" t="b">
        <v>0</v>
      </c>
    </row>
    <row r="19" ht="15.95" customHeight="1" s="35">
      <c r="A19" t="inlineStr">
        <is>
          <t>iPad Air M4  11" 128 GB Wifi</t>
        </is>
      </c>
      <c r="B19" s="3" t="n"/>
      <c r="C19" s="166" t="n">
        <v>16490000</v>
      </c>
      <c r="D19" s="141" t="n">
        <v>16490000</v>
      </c>
      <c r="E19" s="155" t="n">
        <v>15790000</v>
      </c>
      <c r="F19" s="111" t="n">
        <v>16390000</v>
      </c>
      <c r="G19" s="111" t="n">
        <v>16390000</v>
      </c>
      <c r="H19" s="154" t="n"/>
      <c r="M19" s="149">
        <f>IFERROR(C19-W4Q3FY26!C19,"OOS")</f>
        <v/>
      </c>
      <c r="N19" s="147" t="n"/>
      <c r="O19" s="150">
        <f>IFERROR(D19-W4Q3FY26!D19,"OOS")</f>
        <v/>
      </c>
      <c r="P19" s="147">
        <f>IF(O19=0,"",$A19 &amp; IF(O19&gt;0," tăng "," giảm ") &amp; TEXT(ABS(O19)/1000,"0") &amp; "K = " &amp; TEXT(D19/1000,"#.##0") &amp; "K")</f>
        <v/>
      </c>
      <c r="Q19" s="150">
        <f>IFERROR(E19-W4Q3FY26!E19,"OOS")</f>
        <v/>
      </c>
      <c r="R19" s="147">
        <f>IF(Q19=0,"",$A19 &amp; IF(Q19&gt;0," tăng "," giảm ") &amp; TEXT(ABS(Q19)/1000,"0") &amp; "K = " &amp; TEXT(E19/1000,"#.##0") &amp; "K")</f>
        <v/>
      </c>
      <c r="S19" s="150">
        <f>IFERROR(F19-W4Q3FY26!F19,"OOS")</f>
        <v/>
      </c>
      <c r="T19" s="147" t="n"/>
      <c r="U19" s="150">
        <f>IFERROR(G19-W4Q3FY26!G19,"OOS")</f>
        <v/>
      </c>
      <c r="V19" s="147">
        <f>IF(U19=0,"",$A19 &amp; IF(U19&gt;0," tăng "," giảm ") &amp; TEXT(ABS(U19)/1000,"0") &amp; "K = " &amp; TEXT(G19/1000,"#.##0") &amp; "K")</f>
        <v/>
      </c>
      <c r="W19" t="inlineStr">
        <is>
          <t>Viettel</t>
        </is>
      </c>
      <c r="X19" t="inlineStr">
        <is>
          <t>Nghĩa</t>
        </is>
      </c>
      <c r="Y19" t="b">
        <v>1</v>
      </c>
    </row>
    <row r="20" ht="15.95" customHeight="1" s="35">
      <c r="A20" t="inlineStr">
        <is>
          <t>iPad Air M3  13" 128 GB Wifi</t>
        </is>
      </c>
      <c r="B20" s="25" t="n"/>
      <c r="C20" s="166" t="n">
        <v>19890000</v>
      </c>
      <c r="D20" s="136" t="n">
        <v>19990000</v>
      </c>
      <c r="E20" s="155" t="n">
        <v>19190000</v>
      </c>
      <c r="F20" s="134" t="n">
        <v>18790000</v>
      </c>
      <c r="G20" s="111" t="inlineStr">
        <is>
          <t>OOS</t>
        </is>
      </c>
      <c r="H20" s="154" t="n"/>
      <c r="M20" s="149">
        <f>IFERROR(C20-W4Q3FY26!C20,"OOS")</f>
        <v/>
      </c>
      <c r="N20" s="147">
        <f>IF(M20=0,"",$A20 &amp; IF(M20&gt;0," tăng "," giảm ") &amp; TEXT(ABS(M20)/1000,"0") &amp; "K = " &amp; TEXT(C20/1000,"#.##0") &amp; "K")</f>
        <v/>
      </c>
      <c r="O20" s="150">
        <f>IFERROR(D20-W4Q3FY26!D20,"OOS")</f>
        <v/>
      </c>
      <c r="P20" s="147">
        <f>IF(O20=0,"",$A20 &amp; IF(O20&gt;0," tăng "," giảm ") &amp; TEXT(ABS(O20)/1000,"0") &amp; "K = " &amp; TEXT(D20/1000,"#.##0") &amp; "K")</f>
        <v/>
      </c>
      <c r="Q20" s="150">
        <f>IFERROR(E20-W4Q3FY26!E20,"OOS")</f>
        <v/>
      </c>
      <c r="R20" s="147">
        <f>IF(Q20=0,"",$A20 &amp; IF(Q20&gt;0," tăng "," giảm ") &amp; TEXT(ABS(Q20)/1000,"0") &amp; "K = " &amp; TEXT(E20/1000,"#.##0") &amp; "K")</f>
        <v/>
      </c>
      <c r="S20" s="150">
        <f>IFERROR(F20-W4Q3FY26!F20,"OOS")</f>
        <v/>
      </c>
      <c r="T20" s="147">
        <f>IF(S20=0,"",$A20 &amp; IF(S20&gt;0," tăng "," giảm ") &amp; TEXT(ABS(S20)/1000,"0") &amp; "K = " &amp; TEXT(F20/1000,"#.##0") &amp; "K")</f>
        <v/>
      </c>
      <c r="U20" s="150">
        <f>IFERROR(G20-W4Q3FY26!G20,"OOS")</f>
        <v/>
      </c>
      <c r="V20" s="147">
        <f>IF(U20=0,"",$A20 &amp; IF(U20&gt;0," tăng "," giảm ") &amp; TEXT(ABS(U20)/1000,"0") &amp; "K = " &amp; TEXT(G20/1000,"#.##0") &amp; "K")</f>
        <v/>
      </c>
      <c r="W20" t="inlineStr">
        <is>
          <t>CPS</t>
        </is>
      </c>
      <c r="X20" t="inlineStr">
        <is>
          <t>Duy</t>
        </is>
      </c>
      <c r="Y20" t="b">
        <v>0</v>
      </c>
    </row>
    <row r="21" ht="15.95" customHeight="1" s="35">
      <c r="A21" t="inlineStr">
        <is>
          <t>iPad Air M4  13" 128 GB Wifi</t>
        </is>
      </c>
      <c r="B21" s="25" t="n"/>
      <c r="C21" s="166" t="n">
        <v>22090000</v>
      </c>
      <c r="D21" s="136" t="n">
        <v>21990000</v>
      </c>
      <c r="E21" s="162" t="n">
        <v>21290000</v>
      </c>
      <c r="F21" s="136" t="n">
        <v>22090000</v>
      </c>
      <c r="G21" s="111" t="n"/>
      <c r="H21" s="154" t="n"/>
      <c r="M21" s="149">
        <f>IFERROR(C21-W4Q3FY26!C21,"OOS")</f>
        <v/>
      </c>
      <c r="N21" s="147" t="n"/>
      <c r="O21" s="150">
        <f>IFERROR(D21-W4Q3FY26!D21,"OOS")</f>
        <v/>
      </c>
      <c r="P21" s="147">
        <f>IF(O21=0,"",$A21 &amp; IF(O21&gt;0," tăng "," giảm ") &amp; TEXT(ABS(O21)/1000,"0") &amp; "K = " &amp; TEXT(D21/1000,"#.##0") &amp; "K")</f>
        <v/>
      </c>
      <c r="Q21" s="150">
        <f>IFERROR(E21-W4Q3FY26!E21,"OOS")</f>
        <v/>
      </c>
      <c r="R21" s="147">
        <f>IF(Q21=0,"",$A21 &amp; IF(Q21&gt;0," tăng "," giảm ") &amp; TEXT(ABS(Q21)/1000,"0") &amp; "K = " &amp; TEXT(E21/1000,"#.##0") &amp; "K")</f>
        <v/>
      </c>
      <c r="S21" s="150">
        <f>IFERROR(F21-W4Q3FY26!F21,"OOS")</f>
        <v/>
      </c>
      <c r="T21" s="147" t="n"/>
      <c r="U21" s="150">
        <f>IFERROR(G21-W4Q3FY26!G21,"OOS")</f>
        <v/>
      </c>
      <c r="V21" s="147" t="n"/>
    </row>
    <row r="22" ht="15.95" customHeight="1" s="35">
      <c r="A22" t="inlineStr">
        <is>
          <t>iPad Pro M5 11” 256GB Wifi</t>
        </is>
      </c>
      <c r="B22" s="3" t="n"/>
      <c r="C22" s="166" t="n">
        <v>28190000</v>
      </c>
      <c r="D22" s="136" t="n">
        <v>28190000</v>
      </c>
      <c r="E22" s="124" t="n">
        <v>28490000</v>
      </c>
      <c r="F22" s="133" t="n">
        <v>28190000</v>
      </c>
      <c r="G22" s="111" t="n">
        <v>28190000</v>
      </c>
      <c r="H22" s="154" t="n"/>
      <c r="M22" s="149">
        <f>IFERROR(C22-W4Q3FY26!C22,"OOS")</f>
        <v/>
      </c>
      <c r="N22" s="147">
        <f>IF(M22=0,"",$A22 &amp; IF(M22&gt;0," tăng "," giảm ") &amp; TEXT(ABS(M22)/1000,"0") &amp; "K = " &amp; TEXT(C22/1000,"#.##0") &amp; "K")</f>
        <v/>
      </c>
      <c r="O22" s="150">
        <f>IFERROR(D22-W4Q3FY26!D22,"OOS")</f>
        <v/>
      </c>
      <c r="P22" s="147">
        <f>IF(O22=0,"",$A22 &amp; IF(O22&gt;0," tăng "," giảm ") &amp; TEXT(ABS(O22)/1000,"0") &amp; "K = " &amp; TEXT(D22/1000,"#.##0") &amp; "K")</f>
        <v/>
      </c>
      <c r="Q22" s="150">
        <f>IFERROR(E22-W4Q3FY26!E22,"OOS")</f>
        <v/>
      </c>
      <c r="R22" s="147">
        <f>IF(Q22=0,"",$A22 &amp; IF(Q22&gt;0," tăng "," giảm ") &amp; TEXT(ABS(Q22)/1000,"0") &amp; "K = " &amp; TEXT(E22/1000,"#.##0") &amp; "K")</f>
        <v/>
      </c>
      <c r="S22" s="150">
        <f>IFERROR(F22-W4Q3FY26!F22,"OOS")</f>
        <v/>
      </c>
      <c r="T22" s="147">
        <f>IF(S22=0,"",$A22 &amp; IF(S22&gt;0," tăng "," giảm ") &amp; TEXT(ABS(S22)/1000,"0") &amp; "K = " &amp; TEXT(F22/1000,"#.##0") &amp; "K")</f>
        <v/>
      </c>
      <c r="U22" s="150">
        <f>IFERROR(G22-W4Q3FY26!G22,"OOS")</f>
        <v/>
      </c>
      <c r="V22" s="147">
        <f>IF(U22=0,"",$A22 &amp; IF(U22&gt;0," tăng "," giảm ") &amp; TEXT(ABS(U22)/1000,"0") &amp; "K = " &amp; TEXT(G22/1000,"#.##0") &amp; "K")</f>
        <v/>
      </c>
      <c r="W22" t="inlineStr">
        <is>
          <t>ShopDunk</t>
        </is>
      </c>
      <c r="X22" t="inlineStr">
        <is>
          <t>Đạt</t>
        </is>
      </c>
      <c r="Y22" t="b">
        <v>1</v>
      </c>
    </row>
    <row r="23" ht="15.95" customHeight="1" s="35">
      <c r="A23" t="inlineStr">
        <is>
          <t>iPad Pro M5 13” 256GB Wifi</t>
        </is>
      </c>
      <c r="B23" s="3" t="n"/>
      <c r="C23" s="166" t="n">
        <v>38890000</v>
      </c>
      <c r="D23" s="142" t="n">
        <v>38990000</v>
      </c>
      <c r="E23" s="113" t="n">
        <v>37990000</v>
      </c>
      <c r="F23" s="133" t="n">
        <v>38890000</v>
      </c>
      <c r="G23" s="111" t="n">
        <v>38990000</v>
      </c>
      <c r="H23" s="154" t="n"/>
      <c r="M23" s="149">
        <f>IFERROR(C23-W4Q3FY26!C23,"OOS")</f>
        <v/>
      </c>
      <c r="N23" s="147">
        <f>IF(M23=0,"",$A23 &amp; IF(M23&gt;0," tăng "," giảm ") &amp; TEXT(ABS(M23)/1000,"0") &amp; "K = " &amp; TEXT(C23/1000,"#.##0") &amp; "K")</f>
        <v/>
      </c>
      <c r="O23" s="150">
        <f>IFERROR(D23-W4Q3FY26!D23,"OOS")</f>
        <v/>
      </c>
      <c r="P23" s="147">
        <f>IF(O23=0,"",$A23 &amp; IF(O23&gt;0," tăng "," giảm ") &amp; TEXT(ABS(O23)/1000,"0") &amp; "K = " &amp; TEXT(D23/1000,"#.##0") &amp; "K")</f>
        <v/>
      </c>
      <c r="Q23" s="150">
        <f>IFERROR(E23-W4Q3FY26!E23,"OOS")</f>
        <v/>
      </c>
      <c r="R23" s="147">
        <f>IF(Q23=0,"",$A23 &amp; IF(Q23&gt;0," tăng "," giảm ") &amp; TEXT(ABS(Q23)/1000,"0") &amp; "K = " &amp; TEXT(E23/1000,"#.##0") &amp; "K")</f>
        <v/>
      </c>
      <c r="S23" s="150">
        <f>IFERROR(F23-W4Q3FY26!F23,"OOS")</f>
        <v/>
      </c>
      <c r="T23" s="147">
        <f>IF(S23=0,"",$A23 &amp; IF(S23&gt;0," tăng "," giảm ") &amp; TEXT(ABS(S23)/1000,"0") &amp; "K = " &amp; TEXT(F23/1000,"#.##0") &amp; "K")</f>
        <v/>
      </c>
      <c r="U23" s="150">
        <f>IFERROR(G23-W4Q3FY26!G23,"OOS")</f>
        <v/>
      </c>
      <c r="V23" s="147">
        <f>IF(U23=0,"",$A23 &amp; IF(U23&gt;0," tăng "," giảm ") &amp; TEXT(ABS(U23)/1000,"0") &amp; "K = " &amp; TEXT(G23/1000,"#.##0") &amp; "K")</f>
        <v/>
      </c>
    </row>
    <row r="24" ht="15.95" customHeight="1" s="35">
      <c r="A24" t="inlineStr">
        <is>
          <t>AW SE 3 (40mm GPS)</t>
        </is>
      </c>
      <c r="B24" s="25" t="n"/>
      <c r="C24" s="166" t="n">
        <v>6390000</v>
      </c>
      <c r="D24" s="141" t="n">
        <v>6390000</v>
      </c>
      <c r="E24" s="140" t="n">
        <v>6190000</v>
      </c>
      <c r="F24" s="133" t="n">
        <v>6390000</v>
      </c>
      <c r="G24" s="111" t="n">
        <v>6290000</v>
      </c>
      <c r="H24" s="154" t="n"/>
      <c r="M24" s="149">
        <f>IFERROR(C24-W4Q3FY26!C24,"OOS")</f>
        <v/>
      </c>
      <c r="N24" s="147">
        <f>IF(M24=0,"",$A24 &amp; IF(M24&gt;0," tăng "," giảm ") &amp; TEXT(ABS(M24)/1000,"0") &amp; "K = " &amp; TEXT(C24/1000,"#.##0") &amp; "K")</f>
        <v/>
      </c>
      <c r="O24" s="150">
        <f>IFERROR(D24-W4Q3FY26!D24,"OOS")</f>
        <v/>
      </c>
      <c r="P24" s="147">
        <f>IF(O24=0,"",$A24 &amp; IF(O24&gt;0," tăng "," giảm ") &amp; TEXT(ABS(O24)/1000,"0") &amp; "K = " &amp; TEXT(D24/1000,"#.##0") &amp; "K")</f>
        <v/>
      </c>
      <c r="Q24" s="150">
        <f>IFERROR(E24-W4Q3FY26!E24,"OOS")</f>
        <v/>
      </c>
      <c r="R24" s="147">
        <f>IF(Q24=0,"",$A24 &amp; IF(Q24&gt;0," tăng "," giảm ") &amp; TEXT(ABS(Q24)/1000,"0") &amp; "K = " &amp; TEXT(E24/1000,"#.##0") &amp; "K")</f>
        <v/>
      </c>
      <c r="S24" s="150">
        <f>IFERROR(F24-W4Q3FY26!F24,"OOS")</f>
        <v/>
      </c>
      <c r="T24" s="147">
        <f>IF(S24=0,"",$A24 &amp; IF(S24&gt;0," tăng "," giảm ") &amp; TEXT(ABS(S24)/1000,"0") &amp; "K = " &amp; TEXT(F24/1000,"#.##0") &amp; "K")</f>
        <v/>
      </c>
      <c r="U24" s="150">
        <f>IFERROR(G24-W4Q3FY26!G24,"OOS")</f>
        <v/>
      </c>
      <c r="V24" s="147">
        <f>IF(U24=0,"",$A24 &amp; IF(U24&gt;0," tăng "," giảm ") &amp; TEXT(ABS(U24)/1000,"0") &amp; "K = " &amp; TEXT(G24/1000,"#.##0") &amp; "K")</f>
        <v/>
      </c>
    </row>
    <row r="25" ht="15.95" customHeight="1" s="35">
      <c r="A25" t="inlineStr">
        <is>
          <t>AW SE 3 (40mm LTE)</t>
        </is>
      </c>
      <c r="B25" s="25" t="n"/>
      <c r="C25" s="166" t="n">
        <v>7990000</v>
      </c>
      <c r="D25" s="136" t="n">
        <v>7690000</v>
      </c>
      <c r="E25" s="155" t="n">
        <v>7790000</v>
      </c>
      <c r="F25" s="133" t="n">
        <v>7990000</v>
      </c>
      <c r="G25" s="111" t="n">
        <v>7790000</v>
      </c>
      <c r="H25" s="154" t="n"/>
      <c r="M25" s="149">
        <f>IFERROR(C25-W4Q3FY26!C25,"OOS")</f>
        <v/>
      </c>
      <c r="N25" s="147">
        <f>IF(M25=0,"",$A25 &amp; IF(M25&gt;0," tăng "," giảm ") &amp; TEXT(ABS(M25)/1000,"0") &amp; "K = " &amp; TEXT(C25/1000,"#.##0") &amp; "K")</f>
        <v/>
      </c>
      <c r="O25" s="150">
        <f>IFERROR(D25-W4Q3FY26!D25,"OOS")</f>
        <v/>
      </c>
      <c r="P25" s="147">
        <f>IF(O25=0,"",$A25 &amp; IF(O25&gt;0," tăng "," giảm ") &amp; TEXT(ABS(O25)/1000,"0") &amp; "K = " &amp; TEXT(D25/1000,"#.##0") &amp; "K")</f>
        <v/>
      </c>
      <c r="Q25" s="150">
        <f>IFERROR(E25-W4Q3FY26!E25,"OOS")</f>
        <v/>
      </c>
      <c r="R25" s="147">
        <f>IF(Q25=0,"",$A25 &amp; IF(Q25&gt;0," tăng "," giảm ") &amp; TEXT(ABS(Q25)/1000,"0") &amp; "K = " &amp; TEXT(E25/1000,"#.##0") &amp; "K")</f>
        <v/>
      </c>
      <c r="S25" s="150">
        <f>IFERROR(F25-W4Q3FY26!F25,"OOS")</f>
        <v/>
      </c>
      <c r="T25" s="147">
        <f>IF(S25=0,"",$A25 &amp; IF(S25&gt;0," tăng "," giảm ") &amp; TEXT(ABS(S25)/1000,"0") &amp; "K = " &amp; TEXT(F25/1000,"#.##0") &amp; "K")</f>
        <v/>
      </c>
      <c r="U25" s="150">
        <f>IFERROR(G25-W4Q3FY26!G25,"OOS")</f>
        <v/>
      </c>
      <c r="V25" s="147">
        <f>IF(U25=0,"",$A25 &amp; IF(U25&gt;0," tăng "," giảm ") &amp; TEXT(ABS(U25)/1000,"0") &amp; "K = " &amp; TEXT(G25/1000,"#.##0") &amp; "K")</f>
        <v/>
      </c>
    </row>
    <row r="26" ht="15.95" customHeight="1" s="35">
      <c r="A26" t="inlineStr">
        <is>
          <t>AW SE 3 (44mm GPS)</t>
        </is>
      </c>
      <c r="B26" s="25" t="n"/>
      <c r="C26" s="166" t="n">
        <v>7290000</v>
      </c>
      <c r="D26" s="136" t="n">
        <v>6990000</v>
      </c>
      <c r="E26" s="140" t="n">
        <v>6990000</v>
      </c>
      <c r="F26" s="133" t="n">
        <v>7290000</v>
      </c>
      <c r="G26" s="111" t="n">
        <v>6990000</v>
      </c>
      <c r="H26" s="154" t="n"/>
      <c r="M26" s="149">
        <f>IFERROR(C26-W4Q3FY26!C26,"OOS")</f>
        <v/>
      </c>
      <c r="N26" s="147">
        <f>IF(M26=0,"",$A26 &amp; IF(M26&gt;0," tăng "," giảm ") &amp; TEXT(ABS(M26)/1000,"0") &amp; "K = " &amp; TEXT(C26/1000,"#.##0") &amp; "K")</f>
        <v/>
      </c>
      <c r="O26" s="150">
        <f>IFERROR(D26-W4Q3FY26!D26,"OOS")</f>
        <v/>
      </c>
      <c r="P26" s="147">
        <f>IF(O26=0,"",$A26 &amp; IF(O26&gt;0," tăng "," giảm ") &amp; TEXT(ABS(O26)/1000,"0") &amp; "K = " &amp; TEXT(D26/1000,"#.##0") &amp; "K")</f>
        <v/>
      </c>
      <c r="Q26" s="150">
        <f>IFERROR(E26-W4Q3FY26!E26,"OOS")</f>
        <v/>
      </c>
      <c r="R26" s="147">
        <f>IF(Q26=0,"",$A26 &amp; IF(Q26&gt;0," tăng "," giảm ") &amp; TEXT(ABS(Q26)/1000,"0") &amp; "K = " &amp; TEXT(E26/1000,"#.##0") &amp; "K")</f>
        <v/>
      </c>
      <c r="S26" s="150">
        <f>IFERROR(F26-W4Q3FY26!F26,"OOS")</f>
        <v/>
      </c>
      <c r="T26" s="147">
        <f>IF(S26=0,"",$A26 &amp; IF(S26&gt;0," tăng "," giảm ") &amp; TEXT(ABS(S26)/1000,"0") &amp; "K = " &amp; TEXT(F26/1000,"#.##0") &amp; "K")</f>
        <v/>
      </c>
      <c r="U26" s="150">
        <f>IFERROR(G26-W4Q3FY26!G26,"OOS")</f>
        <v/>
      </c>
      <c r="V26" s="147">
        <f>IF(U26=0,"",$A26 &amp; IF(U26&gt;0," tăng "," giảm ") &amp; TEXT(ABS(U26)/1000,"0") &amp; "K = " &amp; TEXT(G26/1000,"#.##0") &amp; "K")</f>
        <v/>
      </c>
    </row>
    <row r="27" ht="15.95" customHeight="1" s="35">
      <c r="A27" t="inlineStr">
        <is>
          <t>AW SE 3 (44mm LTE)</t>
        </is>
      </c>
      <c r="B27" s="25" t="n"/>
      <c r="C27" s="166" t="n">
        <v>8790000</v>
      </c>
      <c r="D27" s="136" t="n">
        <v>8490000</v>
      </c>
      <c r="E27" s="140" t="n">
        <v>8590000</v>
      </c>
      <c r="F27" s="133" t="n">
        <v>8790000</v>
      </c>
      <c r="G27" s="111" t="n">
        <v>8590000</v>
      </c>
      <c r="H27" s="154" t="n"/>
      <c r="M27" s="149">
        <f>IFERROR(C27-W4Q3FY26!C27,"OOS")</f>
        <v/>
      </c>
      <c r="N27" s="147">
        <f>IF(M27=0,"",$A27 &amp; IF(M27&gt;0," tăng "," giảm ") &amp; TEXT(ABS(M27)/1000,"0") &amp; "K = " &amp; TEXT(C27/1000,"#.##0") &amp; "K")</f>
        <v/>
      </c>
      <c r="O27" s="150">
        <f>IFERROR(D27-W4Q3FY26!D27,"OOS")</f>
        <v/>
      </c>
      <c r="P27" s="147">
        <f>IF(O27=0,"",$A27 &amp; IF(O27&gt;0," tăng "," giảm ") &amp; TEXT(ABS(O27)/1000,"0") &amp; "K = " &amp; TEXT(D27/1000,"#.##0") &amp; "K")</f>
        <v/>
      </c>
      <c r="Q27" s="150">
        <f>IFERROR(E27-W4Q3FY26!E27,"OOS")</f>
        <v/>
      </c>
      <c r="R27" s="147">
        <f>IF(Q27=0,"",$A27 &amp; IF(Q27&gt;0," tăng "," giảm ") &amp; TEXT(ABS(Q27)/1000,"0") &amp; "K = " &amp; TEXT(E27/1000,"#.##0") &amp; "K")</f>
        <v/>
      </c>
      <c r="S27" s="150">
        <f>IFERROR(F27-W4Q3FY26!F27,"OOS")</f>
        <v/>
      </c>
      <c r="T27" s="147">
        <f>IF(S27=0,"",$A27 &amp; IF(S27&gt;0," tăng "," giảm ") &amp; TEXT(ABS(S27)/1000,"0") &amp; "K = " &amp; TEXT(F27/1000,"#.##0") &amp; "K")</f>
        <v/>
      </c>
      <c r="U27" s="150">
        <f>IFERROR(G27-W4Q3FY26!G27,"OOS")</f>
        <v/>
      </c>
      <c r="V27" s="147">
        <f>IF(U27=0,"",$A27 &amp; IF(U27&gt;0," tăng "," giảm ") &amp; TEXT(ABS(U27)/1000,"0") &amp; "K = " &amp; TEXT(G27/1000,"#.##0") &amp; "K")</f>
        <v/>
      </c>
    </row>
    <row r="28" ht="15.95" customHeight="1" s="35">
      <c r="A28" t="inlineStr">
        <is>
          <t>AW S11 (42mm GPS)</t>
        </is>
      </c>
      <c r="B28" s="3" t="n"/>
      <c r="C28" s="166" t="n">
        <v>9190000</v>
      </c>
      <c r="D28" s="141" t="n">
        <v>9190000</v>
      </c>
      <c r="E28" s="140" t="n">
        <v>8990000</v>
      </c>
      <c r="F28" s="133" t="n">
        <v>9190000</v>
      </c>
      <c r="G28" s="111" t="n">
        <v>8990000</v>
      </c>
      <c r="H28" s="154" t="n"/>
      <c r="M28" s="149">
        <f>IFERROR(C28-W4Q3FY26!C28,"OOS")</f>
        <v/>
      </c>
      <c r="N28" s="147">
        <f>IF(M28=0,"",$A28 &amp; IF(M28&gt;0," tăng "," giảm ") &amp; TEXT(ABS(M28)/1000,"0") &amp; "K = " &amp; TEXT(C28/1000,"#.##0") &amp; "K")</f>
        <v/>
      </c>
      <c r="O28" s="150">
        <f>IFERROR(D28-W4Q3FY26!D28,"OOS")</f>
        <v/>
      </c>
      <c r="P28" s="147">
        <f>IF(O28=0,"",$A28 &amp; IF(O28&gt;0," tăng "," giảm ") &amp; TEXT(ABS(O28)/1000,"0") &amp; "K = " &amp; TEXT(D28/1000,"#.##0") &amp; "K")</f>
        <v/>
      </c>
      <c r="Q28" s="150">
        <f>IFERROR(E28-W4Q3FY26!E28,"OOS")</f>
        <v/>
      </c>
      <c r="R28" s="147">
        <f>IF(Q28=0,"",$A28 &amp; IF(Q28&gt;0," tăng "," giảm ") &amp; TEXT(ABS(Q28)/1000,"0") &amp; "K = " &amp; TEXT(E28/1000,"#.##0") &amp; "K")</f>
        <v/>
      </c>
      <c r="S28" s="150">
        <f>IFERROR(F28-W4Q3FY26!F28,"OOS")</f>
        <v/>
      </c>
      <c r="T28" s="147">
        <f>IF(S28=0,"",$A28 &amp; IF(S28&gt;0," tăng "," giảm ") &amp; TEXT(ABS(S28)/1000,"0") &amp; "K = " &amp; TEXT(F28/1000,"#.##0") &amp; "K")</f>
        <v/>
      </c>
      <c r="U28" s="150">
        <f>IFERROR(G28-W4Q3FY26!G28,"OOS")</f>
        <v/>
      </c>
      <c r="V28" s="147">
        <f>IF(U28=0,"",$A28 &amp; IF(U28&gt;0," tăng "," giảm ") &amp; TEXT(ABS(U28)/1000,"0") &amp; "K = " &amp; TEXT(G28/1000,"#.##0") &amp; "K")</f>
        <v/>
      </c>
    </row>
    <row r="29" ht="15.95" customHeight="1" s="35">
      <c r="A29" t="inlineStr">
        <is>
          <t>AW S11 (42mm CEL)</t>
        </is>
      </c>
      <c r="B29" s="3" t="n"/>
      <c r="C29" s="166" t="n">
        <v>12090000</v>
      </c>
      <c r="D29" s="136" t="n">
        <v>11990000</v>
      </c>
      <c r="E29" s="140" t="n">
        <v>11990000</v>
      </c>
      <c r="F29" s="133" t="n">
        <v>12090000</v>
      </c>
      <c r="G29" s="111" t="n">
        <v>11990000</v>
      </c>
      <c r="H29" s="154" t="n"/>
      <c r="M29" s="149">
        <f>IFERROR(C29-W4Q3FY26!C29,"OOS")</f>
        <v/>
      </c>
      <c r="N29" s="147">
        <f>IF(M29=0,"",$A29 &amp; IF(M29&gt;0," tăng "," giảm ") &amp; TEXT(ABS(M29)/1000,"0") &amp; "K = " &amp; TEXT(C29/1000,"#.##0") &amp; "K")</f>
        <v/>
      </c>
      <c r="O29" s="150">
        <f>IFERROR(D29-W4Q3FY26!D29,"OOS")</f>
        <v/>
      </c>
      <c r="P29" s="147">
        <f>IF(O29=0,"",$A29 &amp; IF(O29&gt;0," tăng "," giảm ") &amp; TEXT(ABS(O29)/1000,"0") &amp; "K = " &amp; TEXT(D29/1000,"#.##0") &amp; "K")</f>
        <v/>
      </c>
      <c r="Q29" s="150">
        <f>IFERROR(E29-W4Q3FY26!E29,"OOS")</f>
        <v/>
      </c>
      <c r="R29" s="147">
        <f>IF(Q29=0,"",$A29 &amp; IF(Q29&gt;0," tăng "," giảm ") &amp; TEXT(ABS(Q29)/1000,"0") &amp; "K = " &amp; TEXT(E29/1000,"#.##0") &amp; "K")</f>
        <v/>
      </c>
      <c r="S29" s="150">
        <f>IFERROR(F29-W4Q3FY26!F29,"OOS")</f>
        <v/>
      </c>
      <c r="T29" s="147">
        <f>IF(S29=0,"",$A29 &amp; IF(S29&gt;0," tăng "," giảm ") &amp; TEXT(ABS(S29)/1000,"0") &amp; "K = " &amp; TEXT(F29/1000,"#.##0") &amp; "K")</f>
        <v/>
      </c>
      <c r="U29" s="150">
        <f>IFERROR(G29-W4Q3FY26!G29,"OOS")</f>
        <v/>
      </c>
      <c r="V29" s="147">
        <f>IF(U29=0,"",$A29 &amp; IF(U29&gt;0," tăng "," giảm ") &amp; TEXT(ABS(U29)/1000,"0") &amp; "K = " &amp; TEXT(G29/1000,"#.##0") &amp; "K")</f>
        <v/>
      </c>
    </row>
    <row r="30" ht="15.95" customHeight="1" s="35">
      <c r="A30" t="inlineStr">
        <is>
          <t>AW S11 (46mm GPS)</t>
        </is>
      </c>
      <c r="B30" s="3" t="n"/>
      <c r="C30" s="166" t="n">
        <v>9990000</v>
      </c>
      <c r="D30" s="136" t="n">
        <v>9990000</v>
      </c>
      <c r="E30" s="140" t="n">
        <v>9690000</v>
      </c>
      <c r="F30" s="133" t="n">
        <v>9990000</v>
      </c>
      <c r="G30" s="111" t="n">
        <v>9990000</v>
      </c>
      <c r="H30" s="154" t="n"/>
      <c r="M30" s="149">
        <f>IFERROR(C30-W4Q3FY26!C30,"OOS")</f>
        <v/>
      </c>
      <c r="N30" s="147">
        <f>IF(M30=0,"",$A30 &amp; IF(M30&gt;0," tăng "," giảm ") &amp; TEXT(ABS(M30)/1000,"0") &amp; "K = " &amp; TEXT(C30/1000,"#.##0") &amp; "K")</f>
        <v/>
      </c>
      <c r="O30" s="150">
        <f>IFERROR(D30-W4Q3FY26!D30,"OOS")</f>
        <v/>
      </c>
      <c r="P30" s="147">
        <f>IF(O30=0,"",$A30 &amp; IF(O30&gt;0," tăng "," giảm ") &amp; TEXT(ABS(O30)/1000,"0") &amp; "K = " &amp; TEXT(D30/1000,"#.##0") &amp; "K")</f>
        <v/>
      </c>
      <c r="Q30" s="150">
        <f>IFERROR(E30-W4Q3FY26!E30,"OOS")</f>
        <v/>
      </c>
      <c r="R30" s="147">
        <f>IF(Q30=0,"",$A30 &amp; IF(Q30&gt;0," tăng "," giảm ") &amp; TEXT(ABS(Q30)/1000,"0") &amp; "K = " &amp; TEXT(E30/1000,"#.##0") &amp; "K")</f>
        <v/>
      </c>
      <c r="S30" s="150">
        <f>IFERROR(F30-W4Q3FY26!F30,"OOS")</f>
        <v/>
      </c>
      <c r="T30" s="147">
        <f>IF(S30=0,"",$A30 &amp; IF(S30&gt;0," tăng "," giảm ") &amp; TEXT(ABS(S30)/1000,"0") &amp; "K = " &amp; TEXT(F30/1000,"#.##0") &amp; "K")</f>
        <v/>
      </c>
      <c r="U30" s="150">
        <f>IFERROR(G30-W4Q3FY26!G30,"OOS")</f>
        <v/>
      </c>
      <c r="V30" s="147">
        <f>IF(U30=0,"",$A30 &amp; IF(U30&gt;0," tăng "," giảm ") &amp; TEXT(ABS(U30)/1000,"0") &amp; "K = " &amp; TEXT(G30/1000,"#.##0") &amp; "K")</f>
        <v/>
      </c>
    </row>
    <row r="31" ht="15.95" customHeight="1" s="35">
      <c r="A31" t="inlineStr">
        <is>
          <t>AW S11 (46mm CEL)</t>
        </is>
      </c>
      <c r="B31" s="3" t="n"/>
      <c r="C31" s="166" t="n">
        <v>12990000</v>
      </c>
      <c r="D31" s="136" t="n">
        <v>12490000</v>
      </c>
      <c r="E31" s="140" t="n">
        <v>12490000</v>
      </c>
      <c r="F31" s="133" t="n">
        <v>12990000</v>
      </c>
      <c r="G31" s="111" t="n">
        <v>12990000</v>
      </c>
      <c r="H31" s="154" t="n"/>
      <c r="M31" s="149">
        <f>IFERROR(C31-W4Q3FY26!C31,"OOS")</f>
        <v/>
      </c>
      <c r="N31" s="147">
        <f>IF(M31=0,"",$A31 &amp; IF(M31&gt;0," tăng "," giảm ") &amp; TEXT(ABS(M31)/1000,"0") &amp; "K = " &amp; TEXT(C31/1000,"#.##0") &amp; "K")</f>
        <v/>
      </c>
      <c r="O31" s="150">
        <f>IFERROR(D31-W4Q3FY26!D31,"OOS")</f>
        <v/>
      </c>
      <c r="P31" s="147">
        <f>IF(O31=0,"",$A31 &amp; IF(O31&gt;0," tăng "," giảm ") &amp; TEXT(ABS(O31)/1000,"0") &amp; "K = " &amp; TEXT(D31/1000,"#.##0") &amp; "K")</f>
        <v/>
      </c>
      <c r="Q31" s="150">
        <f>IFERROR(E31-W4Q3FY26!E31,"OOS")</f>
        <v/>
      </c>
      <c r="R31" s="147">
        <f>IF(Q31=0,"",$A31 &amp; IF(Q31&gt;0," tăng "," giảm ") &amp; TEXT(ABS(Q31)/1000,"0") &amp; "K = " &amp; TEXT(E31/1000,"#.##0") &amp; "K")</f>
        <v/>
      </c>
      <c r="S31" s="150">
        <f>IFERROR(F31-W4Q3FY26!F31,"OOS")</f>
        <v/>
      </c>
      <c r="T31" s="147">
        <f>IF(S31=0,"",$A31 &amp; IF(S31&gt;0," tăng "," giảm ") &amp; TEXT(ABS(S31)/1000,"0") &amp; "K = " &amp; TEXT(F31/1000,"#.##0") &amp; "K")</f>
        <v/>
      </c>
      <c r="U31" s="150">
        <f>IFERROR(G31-W4Q3FY26!G31,"OOS")</f>
        <v/>
      </c>
      <c r="V31" s="147">
        <f>IF(U31=0,"",$A31 &amp; IF(U31&gt;0," tăng "," giảm ") &amp; TEXT(ABS(U31)/1000,"0") &amp; "K = " &amp; TEXT(G31/1000,"#.##0") &amp; "K")</f>
        <v/>
      </c>
    </row>
    <row r="32" ht="15.95" customHeight="1" s="35">
      <c r="A32" t="inlineStr">
        <is>
          <t>AW Ultra 3 (49mm)</t>
        </is>
      </c>
      <c r="B32" s="25" t="n"/>
      <c r="C32" s="166" t="n">
        <v>23490000</v>
      </c>
      <c r="D32" s="136" t="n">
        <v>22990000</v>
      </c>
      <c r="E32" s="113" t="n">
        <v>22490000</v>
      </c>
      <c r="F32" s="133" t="n">
        <v>22990000</v>
      </c>
      <c r="G32" s="111" t="n">
        <v>22990000</v>
      </c>
      <c r="H32" s="154" t="n"/>
      <c r="M32" s="149">
        <f>IFERROR(C32-W4Q3FY26!C32,"OOS")</f>
        <v/>
      </c>
      <c r="N32" s="147">
        <f>IF(M32=0,"",$A32 &amp; IF(M32&gt;0," tăng "," giảm ") &amp; TEXT(ABS(M32)/1000,"0") &amp; "K = " &amp; TEXT(C32/1000,"#.##0") &amp; "K")</f>
        <v/>
      </c>
      <c r="O32" s="150">
        <f>IFERROR(D32-W4Q3FY26!D32,"OOS")</f>
        <v/>
      </c>
      <c r="P32" s="147">
        <f>IF(O32=0,"",$A32 &amp; IF(O32&gt;0," tăng "," giảm ") &amp; TEXT(ABS(O32)/1000,"0") &amp; "K = " &amp; TEXT(D32/1000,"#.##0") &amp; "K")</f>
        <v/>
      </c>
      <c r="Q32" s="150">
        <f>IFERROR(E32-W4Q3FY26!E32,"OOS")</f>
        <v/>
      </c>
      <c r="R32" s="147">
        <f>IF(Q32=0,"",$A32 &amp; IF(Q32&gt;0," tăng "," giảm ") &amp; TEXT(ABS(Q32)/1000,"0") &amp; "K = " &amp; TEXT(E32/1000,"#.##0") &amp; "K")</f>
        <v/>
      </c>
      <c r="S32" s="150">
        <f>IFERROR(F32-W4Q3FY26!F32,"OOS")</f>
        <v/>
      </c>
      <c r="T32" s="147">
        <f>IF(S32=0,"",$A32 &amp; IF(S32&gt;0," tăng "," giảm ") &amp; TEXT(ABS(S32)/1000,"0") &amp; "K = " &amp; TEXT(F32/1000,"#.##0") &amp; "K")</f>
        <v/>
      </c>
      <c r="U32" s="150">
        <f>IFERROR(G32-W4Q3FY26!G32,"OOS")</f>
        <v/>
      </c>
      <c r="V32" s="147">
        <f>IF(U32=0,"",$A32 &amp; IF(U32&gt;0," tăng "," giảm ") &amp; TEXT(ABS(U32)/1000,"0") &amp; "K = " &amp; TEXT(G32/1000,"#.##0") &amp; "K")</f>
        <v/>
      </c>
    </row>
    <row r="33" ht="15.95" customHeight="1" s="35">
      <c r="A33" t="inlineStr">
        <is>
          <t>AirPods Pro 2 - 2023 (C-Type)</t>
        </is>
      </c>
      <c r="B33" s="3" t="n"/>
      <c r="C33" s="166" t="n">
        <v>5190000</v>
      </c>
      <c r="D33" s="136" t="inlineStr">
        <is>
          <t>OOS</t>
        </is>
      </c>
      <c r="E33" s="131" t="inlineStr">
        <is>
          <t>OOS</t>
        </is>
      </c>
      <c r="F33" s="133" t="n">
        <v>4990000</v>
      </c>
      <c r="G33" s="111" t="n">
        <v>5590000</v>
      </c>
      <c r="H33" s="154" t="n"/>
      <c r="M33" s="149">
        <f>IFERROR(C33-W4Q3FY26!C33,"OOS")</f>
        <v/>
      </c>
      <c r="N33" s="147">
        <f>IF(M33=0,"",$A33 &amp; IF(M33&gt;0," tăng "," giảm ") &amp; TEXT(ABS(M33)/1000,"0") &amp; "K = " &amp; TEXT(C33/1000,"#.##0") &amp; "K")</f>
        <v/>
      </c>
      <c r="O33" s="150">
        <f>IFERROR(D33-W4Q3FY26!D33,"OOS")</f>
        <v/>
      </c>
      <c r="P33" s="147">
        <f>IF(O33=0,"",$A33 &amp; IF(O33&gt;0," tăng "," giảm ") &amp; TEXT(ABS(O33)/1000,"0") &amp; "K = " &amp; TEXT(D33/1000,"#.##0") &amp; "K")</f>
        <v/>
      </c>
      <c r="Q33" s="150">
        <f>IFERROR(E33-W4Q3FY26!E33,"OOS")</f>
        <v/>
      </c>
      <c r="R33" s="147">
        <f>IF(Q33=0,"",$A33 &amp; IF(Q33&gt;0," tăng "," giảm ") &amp; TEXT(ABS(Q33)/1000,"0") &amp; "K = " &amp; TEXT(E33/1000,"#.##0") &amp; "K")</f>
        <v/>
      </c>
      <c r="S33" s="150">
        <f>IFERROR(F33-W4Q3FY26!F33,"OOS")</f>
        <v/>
      </c>
      <c r="T33" s="147">
        <f>IF(S33=0,"",$A33 &amp; IF(S33&gt;0," tăng "," giảm ") &amp; TEXT(ABS(S33)/1000,"0") &amp; "K = " &amp; TEXT(F33/1000,"#.##0") &amp; "K")</f>
        <v/>
      </c>
      <c r="U33" s="150">
        <f>IFERROR(G33-W4Q3FY26!G33,"OOS")</f>
        <v/>
      </c>
      <c r="V33" s="147">
        <f>IF(U33=0,"",$A33 &amp; IF(U33&gt;0," tăng "," giảm ") &amp; TEXT(ABS(U33)/1000,"0") &amp; "K = " &amp; TEXT(G33/1000,"#.##0") &amp; "K")</f>
        <v/>
      </c>
    </row>
    <row r="34" ht="15.95" customHeight="1" s="35">
      <c r="A34" t="inlineStr">
        <is>
          <t>AirPods 4 ANC</t>
        </is>
      </c>
      <c r="B34" s="3" t="n"/>
      <c r="C34" s="166" t="n">
        <v>4390000</v>
      </c>
      <c r="D34" s="136" t="n">
        <v>4390000</v>
      </c>
      <c r="E34" s="155" t="n">
        <v>4290000</v>
      </c>
      <c r="F34" s="133" t="n">
        <v>4390000</v>
      </c>
      <c r="G34" s="111" t="n">
        <v>4390000</v>
      </c>
      <c r="H34" s="154" t="n"/>
      <c r="M34" s="149">
        <f>IFERROR(C34-W4Q3FY26!C34,"OOS")</f>
        <v/>
      </c>
      <c r="N34" s="147">
        <f>IF(M34=0,"",$A34 &amp; IF(M34&gt;0," tăng "," giảm ") &amp; TEXT(ABS(M34)/1000,"0") &amp; "K = " &amp; TEXT(C34/1000,"#.##0") &amp; "K")</f>
        <v/>
      </c>
      <c r="O34" s="150">
        <f>IFERROR(D34-W4Q3FY26!D34,"OOS")</f>
        <v/>
      </c>
      <c r="P34" s="147">
        <f>IF(O34=0,"",$A34 &amp; IF(O34&gt;0," tăng "," giảm ") &amp; TEXT(ABS(O34)/1000,"0") &amp; "K = " &amp; TEXT(D34/1000,"#.##0") &amp; "K")</f>
        <v/>
      </c>
      <c r="Q34" s="150">
        <f>IFERROR(E34-W4Q3FY26!E34,"OOS")</f>
        <v/>
      </c>
      <c r="R34" s="147">
        <f>IF(Q34=0,"",$A34 &amp; IF(Q34&gt;0," tăng "," giảm ") &amp; TEXT(ABS(Q34)/1000,"0") &amp; "K = " &amp; TEXT(E34/1000,"#.##0") &amp; "K")</f>
        <v/>
      </c>
      <c r="S34" s="150">
        <f>IFERROR(F34-W4Q3FY26!F34,"OOS")</f>
        <v/>
      </c>
      <c r="T34" s="147">
        <f>IF(S34=0,"",$A34 &amp; IF(S34&gt;0," tăng "," giảm ") &amp; TEXT(ABS(S34)/1000,"0") &amp; "K = " &amp; TEXT(F34/1000,"#.##0") &amp; "K")</f>
        <v/>
      </c>
      <c r="U34" s="150">
        <f>IFERROR(G34-W4Q3FY26!G34,"OOS")</f>
        <v/>
      </c>
      <c r="V34" s="147">
        <f>IF(U34=0,"",$A34 &amp; IF(U34&gt;0," tăng "," giảm ") &amp; TEXT(ABS(U34)/1000,"0") &amp; "K = " &amp; TEXT(G34/1000,"#.##0") &amp; "K")</f>
        <v/>
      </c>
    </row>
    <row r="35" ht="15.95" customHeight="1" s="35">
      <c r="A35" t="inlineStr">
        <is>
          <t>AirPods 4 with charging case</t>
        </is>
      </c>
      <c r="B35" s="3" t="n"/>
      <c r="C35" s="141" t="n">
        <v>2990000</v>
      </c>
      <c r="D35" s="141" t="n">
        <v>2990000</v>
      </c>
      <c r="E35" s="155" t="n">
        <v>2990000</v>
      </c>
      <c r="F35" s="134" t="n">
        <v>2990000</v>
      </c>
      <c r="G35" s="111" t="n">
        <v>2990000</v>
      </c>
      <c r="H35" s="154" t="n"/>
      <c r="M35" s="149">
        <f>IFERROR(C35-W4Q3FY26!C35,"OOS")</f>
        <v/>
      </c>
      <c r="N35" s="147">
        <f>IF(M35=0,"",$A35 &amp; IF(M35&gt;0," tăng "," giảm ") &amp; TEXT(ABS(M35)/1000,"0") &amp; "K = " &amp; TEXT(C35/1000,"#.##0") &amp; "K")</f>
        <v/>
      </c>
      <c r="O35" s="150">
        <f>IFERROR(D35-W4Q3FY26!D35,"OOS")</f>
        <v/>
      </c>
      <c r="P35" s="147">
        <f>IF(O35=0,"",$A35 &amp; IF(O35&gt;0," tăng "," giảm ") &amp; TEXT(ABS(O35)/1000,"0") &amp; "K = " &amp; TEXT(D35/1000,"#.##0") &amp; "K")</f>
        <v/>
      </c>
      <c r="Q35" s="150">
        <f>IFERROR(E35-W4Q3FY26!E35,"OOS")</f>
        <v/>
      </c>
      <c r="R35" s="147">
        <f>IF(Q35=0,"",$A35 &amp; IF(Q35&gt;0," tăng "," giảm ") &amp; TEXT(ABS(Q35)/1000,"0") &amp; "K = " &amp; TEXT(E35/1000,"#.##0") &amp; "K")</f>
        <v/>
      </c>
      <c r="S35" s="150">
        <f>IFERROR(F35-W4Q3FY26!F35,"OOS")</f>
        <v/>
      </c>
      <c r="T35" s="147">
        <f>IF(S35=0,"",$A35 &amp; IF(S35&gt;0," tăng "," giảm ") &amp; TEXT(ABS(S35)/1000,"0") &amp; "K = " &amp; TEXT(F35/1000,"#.##0") &amp; "K")</f>
        <v/>
      </c>
      <c r="U35" s="150">
        <f>IFERROR(G35-W4Q3FY26!G35,"OOS")</f>
        <v/>
      </c>
      <c r="V35" s="147">
        <f>IF(U35=0,"",$A35 &amp; IF(U35&gt;0," tăng "," giảm ") &amp; TEXT(ABS(U35)/1000,"0") &amp; "K = " &amp; TEXT(G35/1000,"#.##0") &amp; "K")</f>
        <v/>
      </c>
    </row>
    <row r="36" ht="15.95" customHeight="1" s="35">
      <c r="A36" t="inlineStr">
        <is>
          <t>AirPods Pro 3</t>
        </is>
      </c>
      <c r="B36" s="3" t="n"/>
      <c r="C36" s="163" t="n">
        <v>6190000</v>
      </c>
      <c r="D36" s="136" t="inlineStr">
        <is>
          <t>$</t>
        </is>
      </c>
      <c r="E36" s="135" t="n">
        <v>5990000</v>
      </c>
      <c r="F36" s="133" t="n">
        <v>6190000</v>
      </c>
      <c r="G36" s="111" t="n">
        <v>6090000</v>
      </c>
      <c r="H36" s="154" t="n"/>
      <c r="M36" s="149">
        <f>IFERROR(C36-W4Q3FY26!C36,"OOS")</f>
        <v/>
      </c>
      <c r="N36" s="147">
        <f>IF(M36=0,"",$A36 &amp; IF(M36&gt;0," tăng "," giảm ") &amp; TEXT(ABS(M36)/1000,"0") &amp; "K = " &amp; TEXT(C36/1000,"#.##0") &amp; "K")</f>
        <v/>
      </c>
      <c r="O36" s="150">
        <f>IFERROR(D36-W4Q3FY26!D36,"OOS")</f>
        <v/>
      </c>
      <c r="P36" s="147">
        <f>IF(O36=0,"",$A36 &amp; IF(O36&gt;0," tăng "," giảm ") &amp; TEXT(ABS(O36)/1000,"0") &amp; "K = " &amp; TEXT(D36/1000,"#.##0") &amp; "K")</f>
        <v/>
      </c>
      <c r="Q36" s="150">
        <f>IFERROR(E36-W4Q3FY26!E36,"OOS")</f>
        <v/>
      </c>
      <c r="R36" s="147">
        <f>IF(Q36=0,"",$A36 &amp; IF(Q36&gt;0," tăng "," giảm ") &amp; TEXT(ABS(Q36)/1000,"0") &amp; "K = " &amp; TEXT(E36/1000,"#.##0") &amp; "K")</f>
        <v/>
      </c>
      <c r="S36" s="150">
        <f>IFERROR(F36-W4Q3FY26!F36,"OOS")</f>
        <v/>
      </c>
      <c r="T36" s="147">
        <f>IF(S36=0,"",$A36 &amp; IF(S36&gt;0," tăng "," giảm ") &amp; TEXT(ABS(S36)/1000,"0") &amp; "K = " &amp; TEXT(F36/1000,"#.##0") &amp; "K")</f>
        <v/>
      </c>
      <c r="U36" s="150">
        <f>IFERROR(G36-W4Q3FY26!G36,"OOS")</f>
        <v/>
      </c>
      <c r="V36" s="147">
        <f>IF(U36=0,"",$A36 &amp; IF(U36&gt;0," tăng "," giảm ") &amp; TEXT(ABS(U36)/1000,"0") &amp; "K = " &amp; TEXT(G36/1000,"#.##0") &amp; "K")</f>
        <v/>
      </c>
    </row>
    <row r="37" ht="15.95" customHeight="1" s="35">
      <c r="A37" t="inlineStr">
        <is>
          <t>MacBook Air 13" M5 16/512GB</t>
        </is>
      </c>
      <c r="B37" s="25" t="n"/>
      <c r="C37" s="136" t="n">
        <v>29490000</v>
      </c>
      <c r="D37" s="141" t="n">
        <v>29490000</v>
      </c>
      <c r="E37" s="143" t="n"/>
      <c r="F37" s="111" t="n">
        <v>29390000</v>
      </c>
      <c r="G37" s="111" t="n">
        <v>29990000</v>
      </c>
      <c r="H37" s="154" t="n"/>
      <c r="M37" s="149">
        <f>IFERROR(C37-W4Q3FY26!C37,"OOS")</f>
        <v/>
      </c>
      <c r="N37" s="147">
        <f>IF(M37=0,"",$A37 &amp; IF(M37&gt;0," tăng "," giảm ") &amp; TEXT(ABS(M37)/1000,"0") &amp; "K = " &amp; TEXT(C37/1000,"#.##0") &amp; "K")</f>
        <v/>
      </c>
      <c r="O37" s="150">
        <f>IFERROR(D37-W4Q3FY26!D37,"OOS")</f>
        <v/>
      </c>
      <c r="P37" s="147">
        <f>IF(O37=0,"",$A37 &amp; IF(O37&gt;0," tăng "," giảm ") &amp; TEXT(ABS(O37)/1000,"0") &amp; "K = " &amp; TEXT(D37/1000,"#.##0") &amp; "K")</f>
        <v/>
      </c>
      <c r="Q37" s="150">
        <f>IFERROR(E37-W4Q3FY26!E37,"OOS")</f>
        <v/>
      </c>
      <c r="R37" s="147">
        <f>IF(Q37=0,"",$A37 &amp; IF(Q37&gt;0," tăng "," giảm ") &amp; TEXT(ABS(Q37)/1000,"0") &amp; "K = " &amp; TEXT(E37/1000,"#.##0") &amp; "K")</f>
        <v/>
      </c>
      <c r="S37" s="150">
        <f>IFERROR(F37-W4Q3FY26!F37,"OOS")</f>
        <v/>
      </c>
      <c r="T37" s="147">
        <f>IF(S37=0,"",$A37 &amp; IF(S37&gt;0," tăng "," giảm ") &amp; TEXT(ABS(S37)/1000,"0") &amp; "K = " &amp; TEXT(F37/1000,"#.##0") &amp; "K")</f>
        <v/>
      </c>
      <c r="U37" s="150">
        <f>IFERROR(G37-W4Q3FY26!G37,"OOS")</f>
        <v/>
      </c>
      <c r="V37" s="147">
        <f>IF(U37=0,"",$A37 &amp; IF(U37&gt;0," tăng "," giảm ") &amp; TEXT(ABS(U37)/1000,"0") &amp; "K = " &amp; TEXT(G37/1000,"#.##0") &amp; "K")</f>
        <v/>
      </c>
    </row>
    <row r="38" ht="15.95" customHeight="1" s="35">
      <c r="A38" t="inlineStr">
        <is>
          <t>MacBook NEO A18 Pro ( 8/256GB)</t>
        </is>
      </c>
      <c r="B38" s="25" t="n"/>
      <c r="C38" s="141" t="n">
        <v>15690000</v>
      </c>
      <c r="D38" s="136" t="n">
        <v>15990000</v>
      </c>
      <c r="E38" s="143" t="n"/>
      <c r="F38" s="112" t="n">
        <v>15690000</v>
      </c>
      <c r="G38" s="111" t="n">
        <v>15899000</v>
      </c>
      <c r="H38" s="154" t="n"/>
      <c r="M38" s="149">
        <f>IFERROR(C38-W4Q3FY26!C38,"OOS")</f>
        <v/>
      </c>
      <c r="N38" s="147">
        <f>IF(M38=0,"",$A38 &amp; IF(M38&gt;0," tăng "," giảm ") &amp; TEXT(ABS(M38)/1000,"0") &amp; "K = " &amp; TEXT(C38/1000,"#.##0") &amp; "K")</f>
        <v/>
      </c>
      <c r="O38" s="150">
        <f>IFERROR(D38-W4Q3FY26!D38,"OOS")</f>
        <v/>
      </c>
      <c r="P38" s="147">
        <f>IF(O38=0,"",$A38 &amp; IF(O38&gt;0," tăng "," giảm ") &amp; TEXT(ABS(O38)/1000,"0") &amp; "K = " &amp; TEXT(D38/1000,"#.##0") &amp; "K")</f>
        <v/>
      </c>
      <c r="Q38" s="150">
        <f>IFERROR(E38-W4Q3FY26!E38,"OOS")</f>
        <v/>
      </c>
      <c r="R38" s="147">
        <f>IF(Q38=0,"",$A38 &amp; IF(Q38&gt;0," tăng "," giảm ") &amp; TEXT(ABS(Q38)/1000,"0") &amp; "K = " &amp; TEXT(E38/1000,"#.##0") &amp; "K")</f>
        <v/>
      </c>
      <c r="S38" s="150">
        <f>IFERROR(F38-W4Q3FY26!F38,"OOS")</f>
        <v/>
      </c>
      <c r="T38" s="147">
        <f>IF(S38=0,"",$A38 &amp; IF(S38&gt;0," tăng "," giảm ") &amp; TEXT(ABS(S38)/1000,"0") &amp; "K = " &amp; TEXT(F38/1000,"#.##0") &amp; "K")</f>
        <v/>
      </c>
      <c r="U38" s="150">
        <f>IFERROR(G38-W4Q3FY26!G38,"OOS")</f>
        <v/>
      </c>
      <c r="V38" s="147">
        <f>IF(U38=0,"",$A38 &amp; IF(U38&gt;0," tăng "," giảm ") &amp; TEXT(ABS(U38)/1000,"0") &amp; "K = " &amp; TEXT(G38/1000,"#.##0") &amp; "K")</f>
        <v/>
      </c>
    </row>
    <row r="39" ht="15.95" customHeight="1" s="35">
      <c r="A39" t="inlineStr">
        <is>
          <t>MacBook Air 13" M4 16/256GB</t>
        </is>
      </c>
      <c r="B39" s="3" t="n"/>
      <c r="C39" s="136" t="n">
        <v>25590000</v>
      </c>
      <c r="D39" s="136" t="inlineStr">
        <is>
          <t>OOS</t>
        </is>
      </c>
      <c r="E39" s="143" t="n"/>
      <c r="F39" s="134" t="n">
        <v>24990000</v>
      </c>
      <c r="G39" s="111" t="n">
        <v>24590000</v>
      </c>
      <c r="H39" s="154" t="n"/>
      <c r="J39" t="inlineStr">
        <is>
          <t>`</t>
        </is>
      </c>
      <c r="M39" s="149">
        <f>IFERROR(C39-W4Q3FY26!C39,"OOS")</f>
        <v/>
      </c>
      <c r="N39" s="147">
        <f>IF(M39=0,"",$A39 &amp; IF(M39&gt;0," tăng "," giảm ") &amp; TEXT(ABS(M39)/1000,"0") &amp; "K = " &amp; TEXT(C39/1000,"#.##0") &amp; "K")</f>
        <v/>
      </c>
      <c r="O39" s="150">
        <f>IFERROR(D39-W4Q3FY26!D39,"OOS")</f>
        <v/>
      </c>
      <c r="P39" s="147">
        <f>IF(O39=0,"",$A39 &amp; IF(O39&gt;0," tăng "," giảm ") &amp; TEXT(ABS(O39)/1000,"0") &amp; "K = " &amp; TEXT(D39/1000,"#.##0") &amp; "K")</f>
        <v/>
      </c>
      <c r="Q39" s="150">
        <f>IFERROR(E39-W4Q3FY26!E39,"OOS")</f>
        <v/>
      </c>
      <c r="R39" s="147">
        <f>IF(Q39=0,"",$A39 &amp; IF(Q39&gt;0," tăng "," giảm ") &amp; TEXT(ABS(Q39)/1000,"0") &amp; "K = " &amp; TEXT(E39/1000,"#.##0") &amp; "K")</f>
        <v/>
      </c>
      <c r="S39" s="150">
        <f>IFERROR(F39-W4Q3FY26!F39,"OOS")</f>
        <v/>
      </c>
      <c r="T39" s="147">
        <f>IF(S39=0,"",$A39 &amp; IF(S39&gt;0," tăng "," giảm ") &amp; TEXT(ABS(S39)/1000,"0") &amp; "K = " &amp; TEXT(F39/1000,"#.##0") &amp; "K")</f>
        <v/>
      </c>
      <c r="U39" s="150">
        <f>IFERROR(G39-W4Q3FY26!G39,"OOS")</f>
        <v/>
      </c>
      <c r="V39" s="147">
        <f>IF(U39=0,"",$A39 &amp; IF(U39&gt;0," tăng "," giảm ") &amp; TEXT(ABS(U39)/1000,"0") &amp; "K = " &amp; TEXT(G39/1000,"#.##0") &amp; "K")</f>
        <v/>
      </c>
    </row>
    <row r="40" ht="15.95" customHeight="1" s="35">
      <c r="A40" t="inlineStr">
        <is>
          <t>MacBook Air 15" M4 16/256GB</t>
        </is>
      </c>
      <c r="B40" s="25" t="n"/>
      <c r="C40" s="163" t="n">
        <v>29490000</v>
      </c>
      <c r="D40" s="136" t="n">
        <v>29490000</v>
      </c>
      <c r="E40" s="143" t="n"/>
      <c r="F40" s="133" t="n">
        <v>29990000</v>
      </c>
      <c r="G40" s="112" t="n">
        <v>29390000</v>
      </c>
      <c r="H40" s="154" t="n"/>
      <c r="M40" s="149">
        <f>IFERROR(C40-W4Q3FY26!C40,"OOS")</f>
        <v/>
      </c>
      <c r="N40" s="147">
        <f>IF(M40=0,"",$A40 &amp; IF(M40&gt;0," tăng "," giảm ") &amp; TEXT(ABS(M40)/1000,"0") &amp; "K = " &amp; TEXT(C40/1000,"#.##0") &amp; "K")</f>
        <v/>
      </c>
      <c r="O40" s="150">
        <f>IFERROR(D40-W4Q3FY26!D40,"OOS")</f>
        <v/>
      </c>
      <c r="P40" s="147">
        <f>IF(O40=0,"",$A40 &amp; IF(O40&gt;0," tăng "," giảm ") &amp; TEXT(ABS(O40)/1000,"0") &amp; "K = " &amp; TEXT(D40/1000,"#.##0") &amp; "K")</f>
        <v/>
      </c>
      <c r="Q40" s="150">
        <f>IFERROR(E40-W4Q3FY26!E40,"OOS")</f>
        <v/>
      </c>
      <c r="R40" s="147">
        <f>IF(Q40=0,"",$A40 &amp; IF(Q40&gt;0," tăng "," giảm ") &amp; TEXT(ABS(Q40)/1000,"0") &amp; "K = " &amp; TEXT(E40/1000,"#.##0") &amp; "K")</f>
        <v/>
      </c>
      <c r="S40" s="150">
        <f>IFERROR(F40-W4Q3FY26!F40,"OOS")</f>
        <v/>
      </c>
      <c r="T40" s="147">
        <f>IF(S40=0,"",$A40 &amp; IF(S40&gt;0," tăng "," giảm ") &amp; TEXT(ABS(S40)/1000,"0") &amp; "K = " &amp; TEXT(F40/1000,"#.##0") &amp; "K")</f>
        <v/>
      </c>
      <c r="U40" s="150">
        <f>IFERROR(G40-W4Q3FY26!G40,"OOS")</f>
        <v/>
      </c>
      <c r="V40" s="147">
        <f>IF(U40=0,"",$A40 &amp; IF(U40&gt;0," tăng "," giảm ") &amp; TEXT(ABS(U40)/1000,"0") &amp; "K = " &amp; TEXT(G40/1000,"#.##0") &amp; "K")</f>
        <v/>
      </c>
    </row>
    <row r="41" ht="15.95" customHeight="1" s="35">
      <c r="A41" t="inlineStr">
        <is>
          <t>MacBook Pro 14" M5 16/512GB</t>
        </is>
      </c>
      <c r="B41" s="25" t="n"/>
      <c r="C41" s="136" t="n">
        <v>41490000</v>
      </c>
      <c r="D41" s="136" t="n">
        <v>41490000</v>
      </c>
      <c r="E41" s="143" t="n"/>
      <c r="F41" s="133" t="n">
        <v>41490000</v>
      </c>
      <c r="G41" s="111" t="n">
        <v>41490000</v>
      </c>
      <c r="H41" s="154" t="n"/>
      <c r="M41" s="149">
        <f>IFERROR(C41-W4Q3FY26!C41,"OOS")</f>
        <v/>
      </c>
      <c r="N41" s="147">
        <f>IF(M41=0,"",$A41 &amp; IF(M41&gt;0," tăng "," giảm ") &amp; TEXT(ABS(M41)/1000,"0") &amp; "K = " &amp; TEXT(C41/1000,"#.##0") &amp; "K")</f>
        <v/>
      </c>
      <c r="O41" s="150">
        <f>IFERROR(D41-W4Q3FY26!D41,"OOS")</f>
        <v/>
      </c>
      <c r="P41" s="147">
        <f>IF(O41=0,"",$A41 &amp; IF(O41&gt;0," tăng "," giảm ") &amp; TEXT(ABS(O41)/1000,"0") &amp; "K = " &amp; TEXT(D41/1000,"#.##0") &amp; "K")</f>
        <v/>
      </c>
      <c r="Q41" s="150">
        <f>IFERROR(E41-W4Q3FY26!E41,"OOS")</f>
        <v/>
      </c>
      <c r="R41" s="147">
        <f>IF(Q41=0,"",$A41 &amp; IF(Q41&gt;0," tăng "," giảm ") &amp; TEXT(ABS(Q41)/1000,"0") &amp; "K = " &amp; TEXT(E41/1000,"#.##0") &amp; "K")</f>
        <v/>
      </c>
      <c r="S41" s="150">
        <f>IFERROR(F41-W4Q3FY26!F41,"OOS")</f>
        <v/>
      </c>
      <c r="T41" s="147">
        <f>IF(S41=0,"",$A41 &amp; IF(S41&gt;0," tăng "," giảm ") &amp; TEXT(ABS(S41)/1000,"0") &amp; "K = " &amp; TEXT(F41/1000,"#.##0") &amp; "K")</f>
        <v/>
      </c>
      <c r="U41" s="150">
        <f>IFERROR(G41-W4Q3FY26!G41,"OOS")</f>
        <v/>
      </c>
      <c r="V41" s="147">
        <f>IF(U41=0,"",$A41 &amp; IF(U41&gt;0," tăng "," giảm ") &amp; TEXT(ABS(U41)/1000,"0") &amp; "K = " &amp; TEXT(G41/1000,"#.##0") &amp; "K")</f>
        <v/>
      </c>
    </row>
    <row r="42" ht="15.95" customHeight="1" s="35">
      <c r="A42" t="inlineStr">
        <is>
          <t>MacBook Pro 16" M4 24/512GB</t>
        </is>
      </c>
      <c r="B42" s="25" t="n"/>
      <c r="C42" s="136" t="inlineStr">
        <is>
          <t>OOS</t>
        </is>
      </c>
      <c r="D42" s="136" t="n">
        <v>63990000</v>
      </c>
      <c r="E42" s="143" t="n"/>
      <c r="F42" s="133" t="n">
        <v>62990000</v>
      </c>
      <c r="G42" s="111" t="n">
        <v>63990000</v>
      </c>
      <c r="H42" s="154" t="n"/>
      <c r="M42" s="149">
        <f>IFERROR(C42-W4Q3FY26!C42,"OOS")</f>
        <v/>
      </c>
      <c r="N42" s="147">
        <f>IF(M42=0,"",$A42 &amp; IF(M42&gt;0," tăng "," giảm ") &amp; TEXT(ABS(M42)/1000,"0") &amp; "K = " &amp; TEXT(C42/1000,"#.##0") &amp; "K")</f>
        <v/>
      </c>
      <c r="O42" s="150">
        <f>IFERROR(D42-W4Q3FY26!D42,"OOS")</f>
        <v/>
      </c>
      <c r="P42" s="147">
        <f>IF(O42=0,"",$A42 &amp; IF(O42&gt;0," tăng "," giảm ") &amp; TEXT(ABS(O42)/1000,"0") &amp; "K = " &amp; TEXT(D42/1000,"#.##0") &amp; "K")</f>
        <v/>
      </c>
      <c r="Q42" s="150">
        <f>IFERROR(E42-W4Q3FY26!E42,"OOS")</f>
        <v/>
      </c>
      <c r="R42" s="147">
        <f>IF(Q42=0,"",$A42 &amp; IF(Q42&gt;0," tăng "," giảm ") &amp; TEXT(ABS(Q42)/1000,"0") &amp; "K = " &amp; TEXT(E42/1000,"#.##0") &amp; "K")</f>
        <v/>
      </c>
      <c r="S42" s="150">
        <f>IFERROR(F42-W4Q3FY26!F42,"OOS")</f>
        <v/>
      </c>
      <c r="T42" s="147">
        <f>IF(S42=0,"",$A42 &amp; IF(S42&gt;0," tăng "," giảm ") &amp; TEXT(ABS(S42)/1000,"0") &amp; "K = " &amp; TEXT(F42/1000,"#.##0") &amp; "K")</f>
        <v/>
      </c>
      <c r="U42" s="150">
        <f>IFERROR(G42-W4Q3FY26!G42,"OOS")</f>
        <v/>
      </c>
      <c r="V42" s="147">
        <f>IF(U42=0,"",$A42 &amp; IF(U42&gt;0," tăng "," giảm ") &amp; TEXT(ABS(U42)/1000,"0") &amp; "K = " &amp; TEXT(G42/1000,"#.##0") &amp; "K")</f>
        <v/>
      </c>
    </row>
    <row r="43" ht="15.95" customHeight="1" s="35">
      <c r="C43" s="125" t="n"/>
      <c r="D43" s="125" t="n"/>
      <c r="V43" s="147">
        <f>IF(U43=0,"",$A43 &amp; IF(U43&gt;0," tăng "," giảm ") &amp; TEXT(ABS(U43)/1000,"0") &amp; "K = " &amp; TEXT(G43/1000,"#.##0") &amp; "K")</f>
        <v/>
      </c>
    </row>
    <row r="44" ht="15.95" customHeight="1" s="35">
      <c r="C44" s="125" t="n"/>
      <c r="D44" s="125" t="n"/>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row r="152" ht="15.95" customHeight="1" s="35">
      <c r="C152" s="125" t="n"/>
      <c r="D152" s="125" t="n"/>
    </row>
    <row r="153" ht="15.95" customHeight="1" s="35">
      <c r="C153" s="125" t="n"/>
      <c r="D153" s="125" t="n"/>
    </row>
  </sheetData>
  <conditionalFormatting sqref="E2:E42">
    <cfRule type="expression" priority="5" dxfId="3" stopIfTrue="1">
      <formula>$Q2=0</formula>
    </cfRule>
    <cfRule type="expression" priority="6" dxfId="2" stopIfTrue="1">
      <formula>AND($Q2&lt;&gt;0,$Q2&lt;&gt;"")</formula>
    </cfRule>
  </conditionalFormatting>
  <conditionalFormatting sqref="G9:G11">
    <cfRule type="expression" priority="1" dxfId="3" stopIfTrue="1">
      <formula>$Q9=0</formula>
    </cfRule>
    <cfRule type="expression" priority="2" dxfId="2" stopIfTrue="1">
      <formula>AND($Q9&lt;&gt;0,$Q9&lt;&gt;"")</formula>
    </cfRule>
  </conditionalFormatting>
  <conditionalFormatting sqref="N2:N42 P2:P42 R2:R42 T2:T42 V2:V43">
    <cfRule type="containsText" priority="3" operator="containsText" dxfId="1" text="Tăng">
      <formula>NOT(ISERROR(SEARCH("Tăng",N2)))</formula>
    </cfRule>
    <cfRule type="containsText" priority="4"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6.xml><?xml version="1.0" encoding="utf-8"?>
<worksheet xmlns="http://schemas.openxmlformats.org/spreadsheetml/2006/main">
  <sheetPr>
    <outlinePr summaryBelow="1" summaryRight="1"/>
    <pageSetUpPr/>
  </sheetPr>
  <dimension ref="A1:Y151"/>
  <sheetViews>
    <sheetView showGridLines="0" zoomScale="75" zoomScaleNormal="80" workbookViewId="0">
      <pane xSplit="2" ySplit="1" topLeftCell="G2" activePane="bottomRight" state="frozen"/>
      <selection pane="bottomRight" activeCell="P9" sqref="P9"/>
      <selection pane="bottomLeft" activeCell="A2" sqref="A2"/>
      <selection pane="topRight" activeCell="C1" sqref="C1"/>
    </sheetView>
  </sheetViews>
  <sheetFormatPr baseColWidth="8" defaultColWidth="11" defaultRowHeight="15.75" customHeight="1"/>
  <cols>
    <col width="30.5" customWidth="1" style="35" min="1" max="1"/>
    <col width="3.12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8.3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ht="15.95" customHeight="1" s="35">
      <c r="A2" t="inlineStr">
        <is>
          <t>iPhone 17e 256GB</t>
        </is>
      </c>
      <c r="B2" s="83" t="n"/>
      <c r="C2" s="130" t="n">
        <v>17590000</v>
      </c>
      <c r="D2" s="128" t="n">
        <v>17490000</v>
      </c>
      <c r="E2" s="135" t="n">
        <v>17290000</v>
      </c>
      <c r="F2" s="157" t="n">
        <v>17490000</v>
      </c>
      <c r="G2" s="111" t="n">
        <v>17290000</v>
      </c>
      <c r="H2" s="154" t="n"/>
      <c r="M2" s="149">
        <f>IFERROR(C2-W5Q3FY26!C2,"OOS")</f>
        <v/>
      </c>
      <c r="N2" s="147">
        <f>IF(M2=0,"",$A2 &amp; IF(M2&gt;0," tăng "," giảm ") &amp; TEXT(ABS(M2)/1000,"0") &amp; "K = " &amp; TEXT(C2/1000,"#.##0") &amp; "K")</f>
        <v/>
      </c>
      <c r="O2" s="150">
        <f>IFERROR(D2-W5Q3FY26!D2,"OOS")</f>
        <v/>
      </c>
      <c r="P2" s="147">
        <f>IF(O2=0,"",$A2 &amp; IF(O2&gt;0," tăng "," giảm ") &amp; TEXT(ABS(O2)/1000,"0") &amp; "K = " &amp; TEXT(D2/1000,"#.##0") &amp; "K")</f>
        <v/>
      </c>
      <c r="Q2" s="150">
        <f>IFERROR(E2-W5Q3FY26!E2,"OOS")</f>
        <v/>
      </c>
      <c r="R2" s="147">
        <f>IF(Q2=0,"",$A2 &amp; IF(Q2&gt;0," tăng "," giảm ") &amp; TEXT(ABS(Q2)/1000,"0") &amp; "K = " &amp; TEXT(E2/1000,"#.##0") &amp; "K")</f>
        <v/>
      </c>
      <c r="S2" s="150">
        <f>IFERROR(F2-W5Q3FY26!F2,"OOS")</f>
        <v/>
      </c>
      <c r="T2" s="147">
        <f>IF(S2=0,"",$A2 &amp; IF(S2&gt;0," tăng "," giảm ") &amp; TEXT(ABS(S2)/1000,"0") &amp; "K = " &amp; TEXT(F2/1000,"#.##0") &amp; "K")</f>
        <v/>
      </c>
      <c r="U2" s="150">
        <f>IFERROR(G2-W5Q3FY26!G2,"OOS")</f>
        <v/>
      </c>
      <c r="V2" s="147">
        <f>IF(U2=0,"",$A2 &amp; IF(U2&gt;0," tăng "," giảm ") &amp; TEXT(ABS(U2)/1000,"0") &amp; "K = " &amp; TEXT(G2/1000,"#.##0") &amp; "K")</f>
        <v/>
      </c>
    </row>
    <row r="3" ht="15.95" customHeight="1" s="35">
      <c r="A3" t="inlineStr">
        <is>
          <t>iPhone 17  256GB</t>
        </is>
      </c>
      <c r="B3" s="83" t="n"/>
      <c r="C3" s="130" t="n">
        <v>24590000</v>
      </c>
      <c r="D3" s="128" t="n">
        <v>24490000</v>
      </c>
      <c r="E3" s="131" t="n">
        <v>23290000</v>
      </c>
      <c r="F3" s="161" t="n">
        <v>24390000</v>
      </c>
      <c r="G3" s="112" t="n">
        <v>23790000</v>
      </c>
      <c r="H3" s="154" t="n"/>
      <c r="M3" s="149">
        <f>IFERROR(C3-W5Q3FY26!C3,"OOS")</f>
        <v/>
      </c>
      <c r="N3" s="147">
        <f>IF(M3=0,"",$A3 &amp; IF(M3&gt;0," tăng "," giảm ") &amp; TEXT(ABS(M3)/1000,"0") &amp; "K = " &amp; TEXT(C3/1000,"#.##0") &amp; "K")</f>
        <v/>
      </c>
      <c r="O3" s="150">
        <f>IFERROR(D3-W5Q3FY26!D3,"OOS")</f>
        <v/>
      </c>
      <c r="P3" s="147">
        <f>IF(O3=0,"",$A3 &amp; IF(O3&gt;0," tăng "," giảm ") &amp; TEXT(ABS(O3)/1000,"0") &amp; "K = " &amp; TEXT(D3/1000,"#.##0") &amp; "K")</f>
        <v/>
      </c>
      <c r="Q3" s="150">
        <f>IFERROR(E3-W5Q3FY26!E3,"OOS")</f>
        <v/>
      </c>
      <c r="R3" s="147">
        <f>IF(Q3=0,"",$A3 &amp; IF(Q3&gt;0," tăng "," giảm ") &amp; TEXT(ABS(Q3)/1000,"0") &amp; "K = " &amp; TEXT(E3/1000,"#.##0") &amp; "K")</f>
        <v/>
      </c>
      <c r="S3" s="150">
        <f>IFERROR(F3-W5Q3FY26!F3,"OOS")</f>
        <v/>
      </c>
      <c r="T3" s="147">
        <f>IF(S3=0,"",$A3 &amp; IF(S3&gt;0," tăng "," giảm ") &amp; TEXT(ABS(S3)/1000,"0") &amp; "K = " &amp; TEXT(F3/1000,"#.##0") &amp; "K")</f>
        <v/>
      </c>
      <c r="U3" s="150">
        <f>IFERROR(G3-W5Q3FY26!G3,"OOS")</f>
        <v/>
      </c>
      <c r="V3" s="147">
        <f>IF(U3=0,"",$A3 &amp; IF(U3&gt;0," tăng "," giảm ") &amp; TEXT(ABS(U3)/1000,"0") &amp; "K = " &amp; TEXT(G3/1000,"#.##0") &amp; "K")</f>
        <v/>
      </c>
    </row>
    <row r="4" ht="15.95" customHeight="1" s="35">
      <c r="A4" t="inlineStr">
        <is>
          <t>iPhone Air 256G</t>
        </is>
      </c>
      <c r="B4" s="83" t="n"/>
      <c r="C4" s="128" t="n">
        <v>22990000</v>
      </c>
      <c r="D4" s="128" t="n">
        <v>22990000</v>
      </c>
      <c r="E4" s="131" t="n">
        <v>22990000</v>
      </c>
      <c r="F4" s="134" t="n">
        <v>22890000</v>
      </c>
      <c r="G4" s="111" t="n">
        <v>23490000</v>
      </c>
      <c r="H4" s="154" t="n"/>
      <c r="M4" s="149">
        <f>IFERROR(C4-W5Q3FY26!C4,"OOS")</f>
        <v/>
      </c>
      <c r="N4" s="147">
        <f>IF(M4=0,"",$A4 &amp; IF(M4&gt;0," tăng "," giảm ") &amp; TEXT(ABS(M4)/1000,"0") &amp; "K = " &amp; TEXT(C4/1000,"#.##0") &amp; "K")</f>
        <v/>
      </c>
      <c r="O4" s="150">
        <f>IFERROR(D4-W5Q3FY26!D4,"OOS")</f>
        <v/>
      </c>
      <c r="P4" s="147">
        <f>IF(O4=0,"",$A4 &amp; IF(O4&gt;0," tăng "," giảm ") &amp; TEXT(ABS(O4)/1000,"0") &amp; "K = " &amp; TEXT(D4/1000,"#.##0") &amp; "K")</f>
        <v/>
      </c>
      <c r="Q4" s="150">
        <f>IFERROR(E4-W5Q3FY26!E4,"OOS")</f>
        <v/>
      </c>
      <c r="R4" s="147">
        <f>IF(Q4=0,"",$A4 &amp; IF(Q4&gt;0," tăng "," giảm ") &amp; TEXT(ABS(Q4)/1000,"0") &amp; "K = " &amp; TEXT(E4/1000,"#.##0") &amp; "K")</f>
        <v/>
      </c>
      <c r="S4" s="150">
        <f>IFERROR(F4-W5Q3FY26!F4,"OOS")</f>
        <v/>
      </c>
      <c r="T4" s="147">
        <f>IF(S4=0,"",$A4 &amp; IF(S4&gt;0," tăng "," giảm ") &amp; TEXT(ABS(S4)/1000,"0") &amp; "K = " &amp; TEXT(F4/1000,"#.##0") &amp; "K")</f>
        <v/>
      </c>
      <c r="U4" s="150">
        <f>IFERROR(G4-W5Q3FY26!G4,"OOS")</f>
        <v/>
      </c>
      <c r="V4" s="147">
        <f>IF(U4=0,"",$A4 &amp; IF(U4&gt;0," tăng "," giảm ") &amp; TEXT(ABS(U4)/1000,"0") &amp; "K = " &amp; TEXT(G4/1000,"#.##0") &amp; "K")</f>
        <v/>
      </c>
    </row>
    <row r="5" ht="15.95" customHeight="1" s="35">
      <c r="A5" t="inlineStr">
        <is>
          <t>iPhone 17 Pro 256GB</t>
        </is>
      </c>
      <c r="B5" s="83" t="n"/>
      <c r="C5" s="128" t="n">
        <v>34790000</v>
      </c>
      <c r="D5" s="128" t="n">
        <v>34690000</v>
      </c>
      <c r="E5" s="131" t="n">
        <v>33190000</v>
      </c>
      <c r="F5" s="134" t="n">
        <v>34590000</v>
      </c>
      <c r="G5" s="111" t="n">
        <v>33990000</v>
      </c>
      <c r="H5" s="154" t="n"/>
      <c r="M5" s="149">
        <f>IFERROR(C5-W5Q3FY26!C5,"OOS")</f>
        <v/>
      </c>
      <c r="N5" s="147">
        <f>IF(M5=0,"",$A5 &amp; IF(M5&gt;0," tăng "," giảm ") &amp; TEXT(ABS(M5)/1000,"0") &amp; "K = " &amp; TEXT(C5/1000,"#.##0") &amp; "K")</f>
        <v/>
      </c>
      <c r="O5" s="150">
        <f>IFERROR(D5-W5Q3FY26!D5,"OOS")</f>
        <v/>
      </c>
      <c r="P5" s="147">
        <f>IF(O5=0,"",$A5 &amp; IF(O5&gt;0," tăng "," giảm ") &amp; TEXT(ABS(O5)/1000,"0") &amp; "K = " &amp; TEXT(D5/1000,"#.##0") &amp; "K")</f>
        <v/>
      </c>
      <c r="Q5" s="150">
        <f>IFERROR(E5-W5Q3FY26!E5,"OOS")</f>
        <v/>
      </c>
      <c r="R5" s="147">
        <f>IF(Q5=0,"",$A5 &amp; IF(Q5&gt;0," tăng "," giảm ") &amp; TEXT(ABS(Q5)/1000,"0") &amp; "K = " &amp; TEXT(E5/1000,"#.##0") &amp; "K")</f>
        <v/>
      </c>
      <c r="S5" s="150">
        <f>IFERROR(F5-W5Q3FY26!F5,"OOS")</f>
        <v/>
      </c>
      <c r="T5" s="147">
        <f>IF(S5=0,"",$A5 &amp; IF(S5&gt;0," tăng "," giảm ") &amp; TEXT(ABS(S5)/1000,"0") &amp; "K = " &amp; TEXT(F5/1000,"#.##0") &amp; "K")</f>
        <v/>
      </c>
      <c r="U5" s="150">
        <f>IFERROR(G5-W5Q3FY26!G5,"OOS")</f>
        <v/>
      </c>
      <c r="V5" s="147">
        <f>IF(U5=0,"",$A5 &amp; IF(U5&gt;0," tăng "," giảm ") &amp; TEXT(ABS(U5)/1000,"0") &amp; "K = " &amp; TEXT(G5/1000,"#.##0") &amp; "K")</f>
        <v/>
      </c>
    </row>
    <row r="6" ht="15.95" customHeight="1" s="35">
      <c r="A6" t="inlineStr">
        <is>
          <t>iPhone 17 Pro Max 256GB</t>
        </is>
      </c>
      <c r="B6" s="83" t="n"/>
      <c r="C6" s="128" t="n">
        <v>36990000</v>
      </c>
      <c r="D6" s="128" t="n">
        <v>36990000</v>
      </c>
      <c r="E6" s="135" t="inlineStr">
        <is>
          <t>OOS</t>
        </is>
      </c>
      <c r="F6" s="134" t="n">
        <v>36890000</v>
      </c>
      <c r="G6" s="112" t="n">
        <v>36790000</v>
      </c>
      <c r="H6" s="154" t="n"/>
      <c r="M6" s="149">
        <f>IFERROR(C6-W5Q3FY26!C6,"OOS")</f>
        <v/>
      </c>
      <c r="N6" s="147">
        <f>IF(M6=0,"",$A6 &amp; IF(M6&gt;0," tăng "," giảm ") &amp; TEXT(ABS(M6)/1000,"0") &amp; "K = " &amp; TEXT(C6/1000,"#.##0") &amp; "K")</f>
        <v/>
      </c>
      <c r="O6" s="150">
        <f>IFERROR(D6-W5Q3FY26!D6,"OOS")</f>
        <v/>
      </c>
      <c r="P6" s="147">
        <f>IF(O6=0,"",$A6 &amp; IF(O6&gt;0," tăng "," giảm ") &amp; TEXT(ABS(O6)/1000,"0") &amp; "K = " &amp; TEXT(D6/1000,"#.##0") &amp; "K")</f>
        <v/>
      </c>
      <c r="Q6" s="150">
        <f>IFERROR(E6-W5Q3FY26!E6,"OOS")</f>
        <v/>
      </c>
      <c r="R6" s="147">
        <f>IF(Q6=0,"",$A6 &amp; IF(Q6&gt;0," tăng "," giảm ") &amp; TEXT(ABS(Q6)/1000,"0") &amp; "K = " &amp; TEXT(E6/1000,"#.##0") &amp; "K")</f>
        <v/>
      </c>
      <c r="S6" s="150">
        <f>IFERROR(F6-W5Q3FY26!F6,"OOS")</f>
        <v/>
      </c>
      <c r="T6" s="147">
        <f>IF(S6=0,"",$A6 &amp; IF(S6&gt;0," tăng "," giảm ") &amp; TEXT(ABS(S6)/1000,"0") &amp; "K = " &amp; TEXT(F6/1000,"#.##0") &amp; "K")</f>
        <v/>
      </c>
      <c r="U6" s="150">
        <f>IFERROR(G6-W5Q3FY26!G6,"OOS")</f>
        <v/>
      </c>
      <c r="V6" s="147">
        <f>IF(U6=0,"",$A6 &amp; IF(U6&gt;0," tăng "," giảm ") &amp; TEXT(ABS(U6)/1000,"0") &amp; "K = " &amp; TEXT(G6/1000,"#.##0") &amp; "K")</f>
        <v/>
      </c>
    </row>
    <row r="7" ht="15.95" customHeight="1" s="35">
      <c r="A7" t="inlineStr">
        <is>
          <t>iPhone 16e  128GB</t>
        </is>
      </c>
      <c r="B7" s="83" t="n"/>
      <c r="C7" s="128" t="inlineStr">
        <is>
          <t>OOS</t>
        </is>
      </c>
      <c r="D7" s="136" t="n">
        <v>14990000</v>
      </c>
      <c r="E7" s="135" t="n">
        <v>11990000</v>
      </c>
      <c r="F7" s="159" t="n">
        <v>12990000</v>
      </c>
      <c r="G7" s="111" t="n">
        <v>15190000</v>
      </c>
      <c r="H7" s="154" t="n"/>
      <c r="M7" s="149">
        <f>IFERROR(C7-W5Q3FY26!C7,"OOS")</f>
        <v/>
      </c>
      <c r="N7" s="147">
        <f>IF(M7=0,"",$A7 &amp; IF(M7&gt;0," tăng "," giảm ") &amp; TEXT(ABS(M7)/1000,"0") &amp; "K = " &amp; TEXT(C7/1000,"#.##0") &amp; "K")</f>
        <v/>
      </c>
      <c r="O7" s="150">
        <f>IFERROR(D7-W5Q3FY26!D7,"OOS")</f>
        <v/>
      </c>
      <c r="P7" s="147">
        <f>IF(O7=0,"",$A7 &amp; IF(O7&gt;0," tăng "," giảm ") &amp; TEXT(ABS(O7)/1000,"0") &amp; "K = " &amp; TEXT(D7/1000,"#.##0") &amp; "K")</f>
        <v/>
      </c>
      <c r="Q7" s="150">
        <f>IFERROR(E7-W5Q3FY26!E7,"OOS")</f>
        <v/>
      </c>
      <c r="R7" s="147">
        <f>IF(Q7=0,"",$A7 &amp; IF(Q7&gt;0," tăng "," giảm ") &amp; TEXT(ABS(Q7)/1000,"0") &amp; "K = " &amp; TEXT(E7/1000,"#.##0") &amp; "K")</f>
        <v/>
      </c>
      <c r="S7" s="150">
        <f>IFERROR(F7-W5Q3FY26!F7,"OOS")</f>
        <v/>
      </c>
      <c r="T7" s="147">
        <f>IF(S7=0,"",$A7 &amp; IF(S7&gt;0," tăng "," giảm ") &amp; TEXT(ABS(S7)/1000,"0") &amp; "K = " &amp; TEXT(F7/1000,"#.##0") &amp; "K")</f>
        <v/>
      </c>
      <c r="U7" s="150">
        <f>IFERROR(G7-W5Q3FY26!G7,"OOS")</f>
        <v/>
      </c>
      <c r="V7" s="147">
        <f>IF(U7=0,"",$A7 &amp; IF(U7&gt;0," tăng "," giảm ") &amp; TEXT(ABS(U7)/1000,"0") &amp; "K = " &amp; TEXT(G7/1000,"#.##0") &amp; "K")</f>
        <v/>
      </c>
    </row>
    <row r="8" ht="15.95" customHeight="1" s="35">
      <c r="A8" t="inlineStr">
        <is>
          <t>iPhone 16 128GB</t>
        </is>
      </c>
      <c r="B8" s="71" t="n"/>
      <c r="C8" s="138" t="n">
        <v>20790000</v>
      </c>
      <c r="D8" s="138" t="n">
        <v>20790000</v>
      </c>
      <c r="E8" s="140" t="n">
        <v>20490000</v>
      </c>
      <c r="F8" s="134" t="n">
        <v>20590000</v>
      </c>
      <c r="G8" s="111" t="n">
        <v>20490000</v>
      </c>
      <c r="H8" s="154" t="n"/>
      <c r="M8" s="149">
        <f>IFERROR(C8-W5Q3FY26!C8,"OOS")</f>
        <v/>
      </c>
      <c r="N8" s="147">
        <f>IF(M8=0,"",$A8 &amp; IF(M8&gt;0," tăng "," giảm ") &amp; TEXT(ABS(M8)/1000,"0") &amp; "K = " &amp; TEXT(C8/1000,"#.##0") &amp; "K")</f>
        <v/>
      </c>
      <c r="O8" s="150">
        <f>IFERROR(D8-W5Q3FY26!D8,"OOS")</f>
        <v/>
      </c>
      <c r="P8" s="147">
        <f>IF(O8=0,"",$A8 &amp; IF(O8&gt;0," tăng "," giảm ") &amp; TEXT(ABS(O8)/1000,"0") &amp; "K = " &amp; TEXT(D8/1000,"#.##0") &amp; "K")</f>
        <v/>
      </c>
      <c r="Q8" s="150">
        <f>IFERROR(E8-W5Q3FY26!E8,"OOS")</f>
        <v/>
      </c>
      <c r="R8" s="147">
        <f>IF(Q8=0,"",$A8 &amp; IF(Q8&gt;0," tăng "," giảm ") &amp; TEXT(ABS(Q8)/1000,"0") &amp; "K = " &amp; TEXT(E8/1000,"#.##0") &amp; "K")</f>
        <v/>
      </c>
      <c r="S8" s="150">
        <f>IFERROR(F8-W5Q3FY26!F8,"OOS")</f>
        <v/>
      </c>
      <c r="T8" s="147">
        <f>IF(S8=0,"",$A8 &amp; IF(S8&gt;0," tăng "," giảm ") &amp; TEXT(ABS(S8)/1000,"0") &amp; "K = " &amp; TEXT(F8/1000,"#.##0") &amp; "K")</f>
        <v/>
      </c>
      <c r="U8" s="150">
        <f>IFERROR(G8-W5Q3FY26!G8,"OOS")</f>
        <v/>
      </c>
      <c r="V8" s="147">
        <f>IF(U8=0,"",$A8 &amp; IF(U8&gt;0," tăng "," giảm ") &amp; TEXT(ABS(U8)/1000,"0") &amp; "K = " &amp; TEXT(G8/1000,"#.##0") &amp; "K")</f>
        <v/>
      </c>
    </row>
    <row r="9" ht="15.95" customHeight="1" s="35">
      <c r="A9" t="inlineStr">
        <is>
          <t>iPhone 16  Plus 128GB</t>
        </is>
      </c>
      <c r="B9" s="3" t="n"/>
      <c r="C9" s="141" t="n">
        <v>24490000</v>
      </c>
      <c r="D9" s="141" t="n">
        <v>24490000</v>
      </c>
      <c r="E9" s="140" t="n">
        <v>24790000</v>
      </c>
      <c r="F9" s="134" t="n">
        <v>24290000</v>
      </c>
      <c r="G9" s="111" t="n">
        <v>24590000</v>
      </c>
      <c r="H9" s="154" t="n"/>
      <c r="M9" s="149">
        <f>IFERROR(C9-W5Q3FY26!C9,"OOS")</f>
        <v/>
      </c>
      <c r="N9" s="147">
        <f>IF(M9=0,"",$A9 &amp; IF(M9&gt;0," tăng "," giảm ") &amp; TEXT(ABS(M9)/1000,"0") &amp; "K = " &amp; TEXT(C9/1000,"#.##0") &amp; "K")</f>
        <v/>
      </c>
      <c r="O9" s="150">
        <f>IFERROR(D9-W5Q3FY26!D9,"OOS")</f>
        <v/>
      </c>
      <c r="P9" s="147">
        <f>IF(O9=0,"",$A9 &amp; IF(O9&gt;0," tăng "," giảm ") &amp; TEXT(ABS(O9)/1000,"0") &amp; "K = " &amp; TEXT(D9/1000,"#.##0") &amp; "K")</f>
        <v/>
      </c>
      <c r="Q9" s="150">
        <f>IFERROR(E9-W5Q3FY26!E9,"OOS")</f>
        <v/>
      </c>
      <c r="R9" s="147">
        <f>IF(Q9=0,"",$A9 &amp; IF(Q9&gt;0," tăng "," giảm ") &amp; TEXT(ABS(Q9)/1000,"0") &amp; "K = " &amp; TEXT(E9/1000,"#.##0") &amp; "K")</f>
        <v/>
      </c>
      <c r="S9" s="150">
        <f>IFERROR(F9-W5Q3FY26!F9,"OOS")</f>
        <v/>
      </c>
      <c r="T9" s="147">
        <f>IF(S9=0,"",$A9 &amp; IF(S9&gt;0," tăng "," giảm ") &amp; TEXT(ABS(S9)/1000,"0") &amp; "K = " &amp; TEXT(F9/1000,"#.##0") &amp; "K")</f>
        <v/>
      </c>
      <c r="U9" s="150">
        <f>IFERROR(G9-W5Q3FY26!G9,"OOS")</f>
        <v/>
      </c>
      <c r="V9" s="147">
        <f>IF(U9=0,"",$A9 &amp; IF(U9&gt;0," tăng "," giảm ") &amp; TEXT(ABS(U9)/1000,"0") &amp; "K = " &amp; TEXT(G9/1000,"#.##0") &amp; "K")</f>
        <v/>
      </c>
    </row>
    <row r="10" ht="15.95" customHeight="1" s="35">
      <c r="A10" t="inlineStr">
        <is>
          <t>iPhone 15  128GB</t>
        </is>
      </c>
      <c r="B10" s="25" t="n"/>
      <c r="C10" s="141" t="n">
        <v>17990000</v>
      </c>
      <c r="D10" s="141" t="n">
        <v>17890000</v>
      </c>
      <c r="E10" s="155" t="n">
        <v>17190000</v>
      </c>
      <c r="F10" s="134" t="n">
        <v>17890000</v>
      </c>
      <c r="G10" s="111" t="n">
        <v>17390000</v>
      </c>
      <c r="H10" s="154" t="n"/>
      <c r="M10" s="149">
        <f>IFERROR(C10-W5Q3FY26!C12,"OOS")</f>
        <v/>
      </c>
      <c r="N10" s="147">
        <f>IF(M10=0,"",$A10 &amp; IF(M10&gt;0," tăng "," giảm ") &amp; TEXT(ABS(M10)/1000,"0") &amp; "K = " &amp; TEXT(C10/1000,"#.##0") &amp; "K")</f>
        <v/>
      </c>
      <c r="O10" s="150">
        <f>IFERROR(D10-W5Q3FY26!D12,"OOS")</f>
        <v/>
      </c>
      <c r="P10" s="147">
        <f>IF(O10=0,"",$A10 &amp; IF(O10&gt;0," tăng "," giảm ") &amp; TEXT(ABS(O10)/1000,"0") &amp; "K = " &amp; TEXT(D10/1000,"#.##0") &amp; "K")</f>
        <v/>
      </c>
      <c r="Q10" s="150">
        <f>IFERROR(E10-W5Q3FY26!E12,"OOS")</f>
        <v/>
      </c>
      <c r="R10" s="147">
        <f>IF(Q10=0,"",$A10 &amp; IF(Q10&gt;0," tăng "," giảm ") &amp; TEXT(ABS(Q10)/1000,"0") &amp; "K = " &amp; TEXT(E10/1000,"#.##0") &amp; "K")</f>
        <v/>
      </c>
      <c r="S10" s="150">
        <f>IFERROR(F10-W5Q3FY26!F12,"OOS")</f>
        <v/>
      </c>
      <c r="T10" s="147">
        <f>IF(S10=0,"",$A10 &amp; IF(S10&gt;0," tăng "," giảm ") &amp; TEXT(ABS(S10)/1000,"0") &amp; "K = " &amp; TEXT(F10/1000,"#.##0") &amp; "K")</f>
        <v/>
      </c>
      <c r="U10" s="150">
        <f>IFERROR(G10-W5Q3FY26!G12,"OOS")</f>
        <v/>
      </c>
      <c r="V10" s="147">
        <f>IF(U10=0,"",$A10 &amp; IF(U10&gt;0," tăng "," giảm ") &amp; TEXT(ABS(U10)/1000,"0") &amp; "K = " &amp; TEXT(G10/1000,"#.##0") &amp; "K")</f>
        <v/>
      </c>
    </row>
    <row r="11" ht="15.95" customHeight="1" s="35">
      <c r="A11" t="inlineStr">
        <is>
          <t>iPhone 15  Plus 128GB</t>
        </is>
      </c>
      <c r="B11" s="25" t="n"/>
      <c r="C11" s="136" t="n">
        <v>17990000</v>
      </c>
      <c r="D11" s="136" t="inlineStr">
        <is>
          <t>OOS</t>
        </is>
      </c>
      <c r="E11" s="131" t="inlineStr">
        <is>
          <t>OOS</t>
        </is>
      </c>
      <c r="F11" s="133" t="n">
        <v>17690000</v>
      </c>
      <c r="G11" s="111" t="inlineStr">
        <is>
          <t>OOS</t>
        </is>
      </c>
      <c r="H11" s="154" t="n"/>
      <c r="M11" s="149">
        <f>IFERROR(C11-W5Q3FY26!C13,"OOS")</f>
        <v/>
      </c>
      <c r="N11" s="147">
        <f>IF(M11=0,"",$A11 &amp; IF(M11&gt;0," tăng "," giảm ") &amp; TEXT(ABS(M11)/1000,"0") &amp; "K = " &amp; TEXT(C11/1000,"#.##0") &amp; "K")</f>
        <v/>
      </c>
      <c r="O11" s="150">
        <f>IFERROR(D11-W5Q3FY26!D13,"OOS")</f>
        <v/>
      </c>
      <c r="P11" s="147">
        <f>IF(O11=0,"",$A11 &amp; IF(O11&gt;0," tăng "," giảm ") &amp; TEXT(ABS(O11)/1000,"0") &amp; "K = " &amp; TEXT(D11/1000,"#.##0") &amp; "K")</f>
        <v/>
      </c>
      <c r="Q11" s="150">
        <f>IFERROR(E11-W5Q3FY26!E13,"OOS")</f>
        <v/>
      </c>
      <c r="R11" s="147">
        <f>IF(Q11=0,"",$A11 &amp; IF(Q11&gt;0," tăng "," giảm ") &amp; TEXT(ABS(Q11)/1000,"0") &amp; "K = " &amp; TEXT(E11/1000,"#.##0") &amp; "K")</f>
        <v/>
      </c>
      <c r="S11" s="150">
        <f>IFERROR(F11-W5Q3FY26!F13,"OOS")</f>
        <v/>
      </c>
      <c r="T11" s="147">
        <f>IF(S11=0,"",$A11 &amp; IF(S11&gt;0," tăng "," giảm ") &amp; TEXT(ABS(S11)/1000,"0") &amp; "K = " &amp; TEXT(F11/1000,"#.##0") &amp; "K")</f>
        <v/>
      </c>
      <c r="U11" s="150">
        <f>IFERROR(G11-W5Q3FY26!G13,"OOS")</f>
        <v/>
      </c>
      <c r="V11" s="147">
        <f>IF(U11=0,"",$A11 &amp; IF(U11&gt;0," tăng "," giảm ") &amp; TEXT(ABS(U11)/1000,"0") &amp; "K = " &amp; TEXT(G11/1000,"#.##0") &amp; "K")</f>
        <v/>
      </c>
    </row>
    <row r="12" ht="15.95" customHeight="1" s="35">
      <c r="A12" t="inlineStr">
        <is>
          <t>iPhone 14 128GB</t>
        </is>
      </c>
      <c r="B12" s="25" t="n"/>
      <c r="C12" s="136" t="n">
        <v>13990000</v>
      </c>
      <c r="D12" s="141" t="n">
        <v>13990000</v>
      </c>
      <c r="E12" s="131" t="n">
        <v>13790000</v>
      </c>
      <c r="F12" s="133" t="n">
        <v>13990000</v>
      </c>
      <c r="G12" s="111" t="n">
        <v>12990000</v>
      </c>
      <c r="H12" s="154" t="n"/>
      <c r="M12" s="149">
        <f>IFERROR(C12-W5Q3FY26!C14,"OOS")</f>
        <v/>
      </c>
      <c r="N12" s="147">
        <f>IF(M12=0,"",$A12 &amp; IF(M12&gt;0," tăng "," giảm ") &amp; TEXT(ABS(M12)/1000,"0") &amp; "K = " &amp; TEXT(C12/1000,"#.##0") &amp; "K")</f>
        <v/>
      </c>
      <c r="O12" s="150">
        <f>IFERROR(D12-W5Q3FY26!D14,"OOS")</f>
        <v/>
      </c>
      <c r="P12" s="147">
        <f>IF(O12=0,"",$A12 &amp; IF(O12&gt;0," tăng "," giảm ") &amp; TEXT(ABS(O12)/1000,"0") &amp; "K = " &amp; TEXT(D12/1000,"#.##0") &amp; "K")</f>
        <v/>
      </c>
      <c r="Q12" s="150">
        <f>IFERROR(E12-W5Q3FY26!E14,"OOS")</f>
        <v/>
      </c>
      <c r="R12" s="147">
        <f>IF(Q12=0,"",$A12 &amp; IF(Q12&gt;0," tăng "," giảm ") &amp; TEXT(ABS(Q12)/1000,"0") &amp; "K = " &amp; TEXT(E12/1000,"#.##0") &amp; "K")</f>
        <v/>
      </c>
      <c r="S12" s="150">
        <f>IFERROR(F12-W5Q3FY26!F14,"OOS")</f>
        <v/>
      </c>
      <c r="T12" s="147">
        <f>IF(S12=0,"",$A12 &amp; IF(S12&gt;0," tăng "," giảm ") &amp; TEXT(ABS(S12)/1000,"0") &amp; "K = " &amp; TEXT(F12/1000,"#.##0") &amp; "K")</f>
        <v/>
      </c>
      <c r="U12" s="150">
        <f>IFERROR(G12-W5Q3FY26!G14,"OOS")</f>
        <v/>
      </c>
      <c r="V12" s="147">
        <f>IF(U12=0,"",$A12 &amp; IF(U12&gt;0," tăng "," giảm ") &amp; TEXT(ABS(U12)/1000,"0") &amp; "K = " &amp; TEXT(G12/1000,"#.##0") &amp; "K")</f>
        <v/>
      </c>
    </row>
    <row r="13" ht="15.95" customHeight="1" s="35">
      <c r="A13" t="inlineStr">
        <is>
          <t>iPhone 13  128GB</t>
        </is>
      </c>
      <c r="B13" s="3" t="n"/>
      <c r="C13" s="136" t="n">
        <v>11990000</v>
      </c>
      <c r="D13" s="136" t="n">
        <v>11990000</v>
      </c>
      <c r="E13" s="140" t="n">
        <v>12090000</v>
      </c>
      <c r="F13" s="133" t="n">
        <v>11990000</v>
      </c>
      <c r="G13" s="111" t="n">
        <v>11890000</v>
      </c>
      <c r="H13" s="154" t="n"/>
      <c r="M13" s="149">
        <f>IFERROR(C13-W5Q3FY26!C15,"OOS")</f>
        <v/>
      </c>
      <c r="N13" s="147">
        <f>IF(M13=0,"",$A13 &amp; IF(M13&gt;0," tăng "," giảm ") &amp; TEXT(ABS(M13)/1000,"0") &amp; "K = " &amp; TEXT(C13/1000,"#.##0") &amp; "K")</f>
        <v/>
      </c>
      <c r="O13" s="150">
        <f>IFERROR(D13-W5Q3FY26!D15,"OOS")</f>
        <v/>
      </c>
      <c r="P13" s="147">
        <f>IF(O13=0,"",$A13 &amp; IF(O13&gt;0," tăng "," giảm ") &amp; TEXT(ABS(O13)/1000,"0") &amp; "K = " &amp; TEXT(D13/1000,"#.##0") &amp; "K")</f>
        <v/>
      </c>
      <c r="Q13" s="150">
        <f>IFERROR(E13-W5Q3FY26!E15,"OOS")</f>
        <v/>
      </c>
      <c r="R13" s="147">
        <f>IF(Q13=0,"",$A13 &amp; IF(Q13&gt;0," tăng "," giảm ") &amp; TEXT(ABS(Q13)/1000,"0") &amp; "K = " &amp; TEXT(E13/1000,"#.##0") &amp; "K")</f>
        <v/>
      </c>
      <c r="S13" s="150">
        <f>IFERROR(F13-W5Q3FY26!F15,"OOS")</f>
        <v/>
      </c>
      <c r="T13" s="147">
        <f>IF(S13=0,"",$A13 &amp; IF(S13&gt;0," tăng "," giảm ") &amp; TEXT(ABS(S13)/1000,"0") &amp; "K = " &amp; TEXT(F13/1000,"#.##0") &amp; "K")</f>
        <v/>
      </c>
      <c r="U13" s="150">
        <f>IFERROR(G13-W5Q3FY26!G15,"OOS")</f>
        <v/>
      </c>
      <c r="V13" s="147">
        <f>IF(U13=0,"",$A13 &amp; IF(U13&gt;0," tăng "," giảm ") &amp; TEXT(ABS(U13)/1000,"0") &amp; "K = " &amp; TEXT(G13/1000,"#.##0") &amp; "K")</f>
        <v/>
      </c>
    </row>
    <row r="14" ht="15.95" customHeight="1" s="35">
      <c r="A14" t="inlineStr">
        <is>
          <t>iPad Mini 7 128GB Wifi</t>
        </is>
      </c>
      <c r="B14" s="25" t="n"/>
      <c r="C14" s="136" t="n">
        <v>12890000</v>
      </c>
      <c r="D14" s="141" t="n">
        <v>16190000</v>
      </c>
      <c r="E14" s="140" t="n">
        <v>13290000</v>
      </c>
      <c r="F14" s="133" t="n">
        <v>12890000</v>
      </c>
      <c r="G14" s="111" t="n">
        <v>13090000</v>
      </c>
      <c r="H14" s="154" t="n"/>
      <c r="M14" s="149">
        <f>IFERROR(C14-W5Q3FY26!C16,"OOS")</f>
        <v/>
      </c>
      <c r="N14" s="147">
        <f>IF(M14=0,"",$A14 &amp; IF(M14&gt;0," tăng "," giảm ") &amp; TEXT(ABS(M14)/1000,"0") &amp; "K = " &amp; TEXT(C14/1000,"#.##0") &amp; "K")</f>
        <v/>
      </c>
      <c r="O14" s="150">
        <f>IFERROR(D14-W5Q3FY26!D16,"OOS")</f>
        <v/>
      </c>
      <c r="P14" s="147">
        <f>IF(O14=0,"",$A14 &amp; IF(O14&gt;0," tăng "," giảm ") &amp; TEXT(ABS(O14)/1000,"0") &amp; "K = " &amp; TEXT(D14/1000,"#.##0") &amp; "K")</f>
        <v/>
      </c>
      <c r="Q14" s="150">
        <f>IFERROR(E14-W5Q3FY26!E16,"OOS")</f>
        <v/>
      </c>
      <c r="R14" s="147">
        <f>IF(Q14=0,"",$A14 &amp; IF(Q14&gt;0," tăng "," giảm ") &amp; TEXT(ABS(Q14)/1000,"0") &amp; "K = " &amp; TEXT(E14/1000,"#.##0") &amp; "K")</f>
        <v/>
      </c>
      <c r="S14" s="150">
        <f>IFERROR(F14-W5Q3FY26!F16,"OOS")</f>
        <v/>
      </c>
      <c r="T14" s="147">
        <f>IF(S14=0,"",$A14 &amp; IF(S14&gt;0," tăng "," giảm ") &amp; TEXT(ABS(S14)/1000,"0") &amp; "K = " &amp; TEXT(F14/1000,"#.##0") &amp; "K")</f>
        <v/>
      </c>
      <c r="U14" s="150">
        <f>IFERROR(G14-W5Q3FY26!G16,"OOS")</f>
        <v/>
      </c>
      <c r="V14" s="147">
        <f>IF(U14=0,"",$A14 &amp; IF(U14&gt;0," tăng "," giảm ") &amp; TEXT(ABS(U14)/1000,"0") &amp; "K = " &amp; TEXT(G14/1000,"#.##0") &amp; "K")</f>
        <v/>
      </c>
    </row>
    <row r="15" ht="15.95" customHeight="1" s="35">
      <c r="A15" t="inlineStr">
        <is>
          <t>iPad Gen 11th  128GB Wifi</t>
        </is>
      </c>
      <c r="B15" s="3" t="n"/>
      <c r="C15" s="136" t="n">
        <v>9290000</v>
      </c>
      <c r="D15" s="136" t="n">
        <v>9290000</v>
      </c>
      <c r="E15" s="155" t="n">
        <v>9190000</v>
      </c>
      <c r="F15" s="133" t="n">
        <v>9290000</v>
      </c>
      <c r="G15" s="112" t="n">
        <v>9190000</v>
      </c>
      <c r="H15" s="154" t="n"/>
      <c r="M15" s="149">
        <f>IFERROR(C15-W5Q3FY26!C17,"OOS")</f>
        <v/>
      </c>
      <c r="N15" s="147">
        <f>IF(M15=0,"",$A15 &amp; IF(M15&gt;0," tăng "," giảm ") &amp; TEXT(ABS(M15)/1000,"0") &amp; "K = " &amp; TEXT(C15/1000,"#.##0") &amp; "K")</f>
        <v/>
      </c>
      <c r="O15" s="150">
        <f>IFERROR(D15-W5Q3FY26!D17,"OOS")</f>
        <v/>
      </c>
      <c r="P15" s="147">
        <f>IF(O15=0,"",$A15 &amp; IF(O15&gt;0," tăng "," giảm ") &amp; TEXT(ABS(O15)/1000,"0") &amp; "K = " &amp; TEXT(D15/1000,"#.##0") &amp; "K")</f>
        <v/>
      </c>
      <c r="Q15" s="150">
        <f>IFERROR(E15-W5Q3FY26!E17,"OOS")</f>
        <v/>
      </c>
      <c r="R15" s="147">
        <f>IF(Q15=0,"",$A15 &amp; IF(Q15&gt;0," tăng "," giảm ") &amp; TEXT(ABS(Q15)/1000,"0") &amp; "K = " &amp; TEXT(E15/1000,"#.##0") &amp; "K")</f>
        <v/>
      </c>
      <c r="S15" s="150">
        <f>IFERROR(F15-W5Q3FY26!F17,"OOS")</f>
        <v/>
      </c>
      <c r="T15" s="147">
        <f>IF(S15=0,"",$A15 &amp; IF(S15&gt;0," tăng "," giảm ") &amp; TEXT(ABS(S15)/1000,"0") &amp; "K = " &amp; TEXT(F15/1000,"#.##0") &amp; "K")</f>
        <v/>
      </c>
      <c r="U15" s="150">
        <f>IFERROR(G15-W5Q3FY26!G17,"OOS")</f>
        <v/>
      </c>
      <c r="V15" s="147">
        <f>IF(U15=0,"",$A15 &amp; IF(U15&gt;0," tăng "," giảm ") &amp; TEXT(ABS(U15)/1000,"0") &amp; "K = " &amp; TEXT(G15/1000,"#.##0") &amp; "K")</f>
        <v/>
      </c>
      <c r="W15" t="inlineStr">
        <is>
          <t xml:space="preserve">MW </t>
        </is>
      </c>
      <c r="X15" t="inlineStr">
        <is>
          <t>Hải</t>
        </is>
      </c>
      <c r="Y15" t="b">
        <v>0</v>
      </c>
    </row>
    <row r="16" ht="15.95" customHeight="1" s="35">
      <c r="A16" t="inlineStr">
        <is>
          <t>iPad Air M3  11" 128 GB Wifi</t>
        </is>
      </c>
      <c r="B16" s="3" t="n"/>
      <c r="C16" s="141" t="n">
        <v>15290000</v>
      </c>
      <c r="D16" s="136" t="n">
        <v>14990000</v>
      </c>
      <c r="E16" s="155" t="n">
        <v>14290000</v>
      </c>
      <c r="F16" s="133" t="n">
        <v>15190000</v>
      </c>
      <c r="G16" s="111" t="inlineStr">
        <is>
          <t>OOS</t>
        </is>
      </c>
      <c r="H16" s="154" t="n"/>
      <c r="M16" s="149">
        <f>IFERROR(C16-W5Q3FY26!C18,"OOS")</f>
        <v/>
      </c>
      <c r="N16" s="147">
        <f>IF(M16=0,"",$A16 &amp; IF(M16&gt;0," tăng "," giảm ") &amp; TEXT(ABS(M16)/1000,"0") &amp; "K = " &amp; TEXT(C16/1000,"#.##0") &amp; "K")</f>
        <v/>
      </c>
      <c r="O16" s="150">
        <f>IFERROR(D16-W5Q3FY26!D18,"OOS")</f>
        <v/>
      </c>
      <c r="P16" s="147">
        <f>IF(O16=0,"",$A16 &amp; IF(O16&gt;0," tăng "," giảm ") &amp; TEXT(ABS(O16)/1000,"0") &amp; "K = " &amp; TEXT(D16/1000,"#.##0") &amp; "K")</f>
        <v/>
      </c>
      <c r="Q16" s="150">
        <f>IFERROR(E16-W5Q3FY26!E18,"OOS")</f>
        <v/>
      </c>
      <c r="R16" s="147">
        <f>IF(Q16=0,"",$A16 &amp; IF(Q16&gt;0," tăng "," giảm ") &amp; TEXT(ABS(Q16)/1000,"0") &amp; "K = " &amp; TEXT(E16/1000,"#.##0") &amp; "K")</f>
        <v/>
      </c>
      <c r="S16" s="150">
        <f>IFERROR(F16-W5Q3FY26!F18,"OOS")</f>
        <v/>
      </c>
      <c r="T16" s="147">
        <f>IF(S16=0,"",$A16 &amp; IF(S16&gt;0," tăng "," giảm ") &amp; TEXT(ABS(S16)/1000,"0") &amp; "K = " &amp; TEXT(F16/1000,"#.##0") &amp; "K")</f>
        <v/>
      </c>
      <c r="U16" s="150">
        <f>IFERROR(G16-W5Q3FY26!G18,"OOS")</f>
        <v/>
      </c>
      <c r="V16" s="147">
        <f>IF(U16=0,"",$A16 &amp; IF(U16&gt;0," tăng "," giảm ") &amp; TEXT(ABS(U16)/1000,"0") &amp; "K = " &amp; TEXT(G16/1000,"#.##0") &amp; "K")</f>
        <v/>
      </c>
      <c r="W16" t="inlineStr">
        <is>
          <t>FPT</t>
        </is>
      </c>
      <c r="X16" t="inlineStr">
        <is>
          <t>Trang</t>
        </is>
      </c>
      <c r="Y16" t="b">
        <v>0</v>
      </c>
    </row>
    <row r="17" ht="15.95" customHeight="1" s="35">
      <c r="A17" t="inlineStr">
        <is>
          <t>iPad Air M4  11" 128 GB Wifi</t>
        </is>
      </c>
      <c r="B17" s="3" t="n"/>
      <c r="C17" s="136" t="n">
        <v>16490000</v>
      </c>
      <c r="D17" s="136" t="n">
        <v>16490000</v>
      </c>
      <c r="E17" s="155" t="n">
        <v>15790000</v>
      </c>
      <c r="F17" s="111" t="n">
        <v>16390000</v>
      </c>
      <c r="G17" s="112" t="n">
        <v>16090000</v>
      </c>
      <c r="H17" s="154" t="n"/>
      <c r="M17" s="149">
        <f>IFERROR(C17-W5Q3FY26!C19,"OOS")</f>
        <v/>
      </c>
      <c r="N17" s="147" t="n"/>
      <c r="O17" s="150">
        <f>IFERROR(D17-W5Q3FY26!D19,"OOS")</f>
        <v/>
      </c>
      <c r="P17" s="147">
        <f>IF(O17=0,"",$A17 &amp; IF(O17&gt;0," tăng "," giảm ") &amp; TEXT(ABS(O17)/1000,"0") &amp; "K = " &amp; TEXT(D17/1000,"#.##0") &amp; "K")</f>
        <v/>
      </c>
      <c r="Q17" s="150">
        <f>IFERROR(E17-W5Q3FY26!E19,"OOS")</f>
        <v/>
      </c>
      <c r="R17" s="147">
        <f>IF(Q17=0,"",$A17 &amp; IF(Q17&gt;0," tăng "," giảm ") &amp; TEXT(ABS(Q17)/1000,"0") &amp; "K = " &amp; TEXT(E17/1000,"#.##0") &amp; "K")</f>
        <v/>
      </c>
      <c r="S17" s="150">
        <f>IFERROR(F17-W5Q3FY26!F19,"OOS")</f>
        <v/>
      </c>
      <c r="T17" s="147" t="n"/>
      <c r="U17" s="150">
        <f>IFERROR(G17-W5Q3FY26!G19,"OOS")</f>
        <v/>
      </c>
      <c r="V17" s="147">
        <f>IF(U17=0,"",$A17 &amp; IF(U17&gt;0," tăng "," giảm ") &amp; TEXT(ABS(U17)/1000,"0") &amp; "K = " &amp; TEXT(G17/1000,"#.##0") &amp; "K")</f>
        <v/>
      </c>
      <c r="W17" t="inlineStr">
        <is>
          <t>Viettel</t>
        </is>
      </c>
      <c r="X17" t="inlineStr">
        <is>
          <t>Nghĩa</t>
        </is>
      </c>
      <c r="Y17" t="b">
        <v>1</v>
      </c>
    </row>
    <row r="18" ht="15.95" customHeight="1" s="35">
      <c r="A18" t="inlineStr">
        <is>
          <t>iPad Air M3  13" 128 GB Wifi</t>
        </is>
      </c>
      <c r="B18" s="25" t="n"/>
      <c r="C18" s="141" t="n">
        <v>18890000</v>
      </c>
      <c r="D18" s="136" t="n">
        <v>19990000</v>
      </c>
      <c r="E18" s="155" t="n">
        <v>19190000</v>
      </c>
      <c r="F18" s="133" t="n">
        <v>18790000</v>
      </c>
      <c r="G18" s="111" t="inlineStr">
        <is>
          <t>OOS</t>
        </is>
      </c>
      <c r="H18" s="154" t="n"/>
      <c r="M18" s="149">
        <f>IFERROR(C18-W5Q3FY26!C20,"OOS")</f>
        <v/>
      </c>
      <c r="N18" s="147">
        <f>IF(M18=0,"",$A18 &amp; IF(M18&gt;0," tăng "," giảm ") &amp; TEXT(ABS(M18)/1000,"0") &amp; "K = " &amp; TEXT(C18/1000,"#.##0") &amp; "K")</f>
        <v/>
      </c>
      <c r="O18" s="150">
        <f>IFERROR(D18-W5Q3FY26!D20,"OOS")</f>
        <v/>
      </c>
      <c r="P18" s="147">
        <f>IF(O18=0,"",$A18 &amp; IF(O18&gt;0," tăng "," giảm ") &amp; TEXT(ABS(O18)/1000,"0") &amp; "K = " &amp; TEXT(D18/1000,"#.##0") &amp; "K")</f>
        <v/>
      </c>
      <c r="Q18" s="150">
        <f>IFERROR(E18-W5Q3FY26!E20,"OOS")</f>
        <v/>
      </c>
      <c r="R18" s="147">
        <f>IF(Q18=0,"",$A18 &amp; IF(Q18&gt;0," tăng "," giảm ") &amp; TEXT(ABS(Q18)/1000,"0") &amp; "K = " &amp; TEXT(E18/1000,"#.##0") &amp; "K")</f>
        <v/>
      </c>
      <c r="S18" s="150">
        <f>IFERROR(F18-W5Q3FY26!F20,"OOS")</f>
        <v/>
      </c>
      <c r="T18" s="147">
        <f>IF(S18=0,"",$A18 &amp; IF(S18&gt;0," tăng "," giảm ") &amp; TEXT(ABS(S18)/1000,"0") &amp; "K = " &amp; TEXT(F18/1000,"#.##0") &amp; "K")</f>
        <v/>
      </c>
      <c r="U18" s="150">
        <f>IFERROR(G18-W5Q3FY26!G20,"OOS")</f>
        <v/>
      </c>
      <c r="V18" s="147">
        <f>IF(U18=0,"",$A18 &amp; IF(U18&gt;0," tăng "," giảm ") &amp; TEXT(ABS(U18)/1000,"0") &amp; "K = " &amp; TEXT(G18/1000,"#.##0") &amp; "K")</f>
        <v/>
      </c>
      <c r="W18" t="inlineStr">
        <is>
          <t>CPS</t>
        </is>
      </c>
      <c r="X18" t="inlineStr">
        <is>
          <t>Duy</t>
        </is>
      </c>
      <c r="Y18" t="b">
        <v>0</v>
      </c>
    </row>
    <row r="19" ht="15.95" customHeight="1" s="35">
      <c r="A19" t="inlineStr">
        <is>
          <t>iPad Air M4  13" 128 GB Wifi</t>
        </is>
      </c>
      <c r="B19" s="25" t="n"/>
      <c r="C19" s="136" t="n">
        <v>22090000</v>
      </c>
      <c r="D19" s="141" t="n">
        <v>21590000</v>
      </c>
      <c r="E19" s="162" t="n">
        <v>21290000</v>
      </c>
      <c r="F19" s="141" t="n">
        <v>21990000</v>
      </c>
      <c r="G19" s="111" t="n">
        <v>21590000</v>
      </c>
      <c r="H19" s="154" t="n"/>
      <c r="M19" s="149">
        <f>IFERROR(C19-W5Q3FY26!C21,"OOS")</f>
        <v/>
      </c>
      <c r="N19" s="147" t="n"/>
      <c r="O19" s="150">
        <f>IFERROR(D19-W5Q3FY26!D21,"OOS")</f>
        <v/>
      </c>
      <c r="P19" s="147">
        <f>IF(O19=0,"",$A19 &amp; IF(O19&gt;0," tăng "," giảm ") &amp; TEXT(ABS(O19)/1000,"0") &amp; "K = " &amp; TEXT(D19/1000,"#.##0") &amp; "K")</f>
        <v/>
      </c>
      <c r="Q19" s="150">
        <f>IFERROR(E19-W5Q3FY26!E21,"OOS")</f>
        <v/>
      </c>
      <c r="R19" s="147">
        <f>IF(Q19=0,"",$A19 &amp; IF(Q19&gt;0," tăng "," giảm ") &amp; TEXT(ABS(Q19)/1000,"0") &amp; "K = " &amp; TEXT(E19/1000,"#.##0") &amp; "K")</f>
        <v/>
      </c>
      <c r="S19" s="150">
        <f>IFERROR(F19-W5Q3FY26!F21,"OOS")</f>
        <v/>
      </c>
      <c r="T19" s="147" t="n"/>
      <c r="U19" s="150">
        <f>IFERROR(G19-W5Q3FY26!G21,"OOS")</f>
        <v/>
      </c>
      <c r="V19" s="147" t="n"/>
    </row>
    <row r="20" ht="15.95" customHeight="1" s="35">
      <c r="A20" t="inlineStr">
        <is>
          <t>iPad Pro M5 11” 256GB Wifi</t>
        </is>
      </c>
      <c r="B20" s="3" t="n"/>
      <c r="C20" s="136" t="n">
        <v>28190000</v>
      </c>
      <c r="D20" s="136" t="n">
        <v>28190000</v>
      </c>
      <c r="E20" s="124" t="n">
        <v>28490000</v>
      </c>
      <c r="F20" s="134" t="n">
        <v>28090000</v>
      </c>
      <c r="G20" s="112" t="n">
        <v>28090000</v>
      </c>
      <c r="H20" s="154" t="n"/>
      <c r="M20" s="149">
        <f>IFERROR(C20-W5Q3FY26!C22,"OOS")</f>
        <v/>
      </c>
      <c r="N20" s="147">
        <f>IF(M20=0,"",$A20 &amp; IF(M20&gt;0," tăng "," giảm ") &amp; TEXT(ABS(M20)/1000,"0") &amp; "K = " &amp; TEXT(C20/1000,"#.##0") &amp; "K")</f>
        <v/>
      </c>
      <c r="O20" s="150">
        <f>IFERROR(D20-W5Q3FY26!D22,"OOS")</f>
        <v/>
      </c>
      <c r="P20" s="147">
        <f>IF(O20=0,"",$A20 &amp; IF(O20&gt;0," tăng "," giảm ") &amp; TEXT(ABS(O20)/1000,"0") &amp; "K = " &amp; TEXT(D20/1000,"#.##0") &amp; "K")</f>
        <v/>
      </c>
      <c r="Q20" s="150">
        <f>IFERROR(E20-W5Q3FY26!E22,"OOS")</f>
        <v/>
      </c>
      <c r="R20" s="147">
        <f>IF(Q20=0,"",$A20 &amp; IF(Q20&gt;0," tăng "," giảm ") &amp; TEXT(ABS(Q20)/1000,"0") &amp; "K = " &amp; TEXT(E20/1000,"#.##0") &amp; "K")</f>
        <v/>
      </c>
      <c r="S20" s="150">
        <f>IFERROR(F20-W5Q3FY26!F22,"OOS")</f>
        <v/>
      </c>
      <c r="T20" s="147">
        <f>IF(S20=0,"",$A20 &amp; IF(S20&gt;0," tăng "," giảm ") &amp; TEXT(ABS(S20)/1000,"0") &amp; "K = " &amp; TEXT(F20/1000,"#.##0") &amp; "K")</f>
        <v/>
      </c>
      <c r="U20" s="150">
        <f>IFERROR(G20-W5Q3FY26!G22,"OOS")</f>
        <v/>
      </c>
      <c r="V20" s="147">
        <f>IF(U20=0,"",$A20 &amp; IF(U20&gt;0," tăng "," giảm ") &amp; TEXT(ABS(U20)/1000,"0") &amp; "K = " &amp; TEXT(G20/1000,"#.##0") &amp; "K")</f>
        <v/>
      </c>
      <c r="W20" t="inlineStr">
        <is>
          <t>ShopDunk</t>
        </is>
      </c>
      <c r="X20" t="inlineStr">
        <is>
          <t>Đạt</t>
        </is>
      </c>
      <c r="Y20" t="b">
        <v>1</v>
      </c>
    </row>
    <row r="21" ht="15.95" customHeight="1" s="35">
      <c r="A21" t="inlineStr">
        <is>
          <t>iPad Pro M5 13” 256GB Wifi</t>
        </is>
      </c>
      <c r="B21" s="3" t="n"/>
      <c r="C21" s="136" t="n">
        <v>38890000</v>
      </c>
      <c r="D21" s="142" t="n">
        <v>38990000</v>
      </c>
      <c r="E21" s="113" t="n">
        <v>37990000</v>
      </c>
      <c r="F21" s="134" t="n">
        <v>38690000</v>
      </c>
      <c r="G21" s="111" t="n">
        <v>38990000</v>
      </c>
      <c r="H21" s="154" t="n"/>
      <c r="M21" s="149">
        <f>IFERROR(C21-W5Q3FY26!C23,"OOS")</f>
        <v/>
      </c>
      <c r="N21" s="147">
        <f>IF(M21=0,"",$A21 &amp; IF(M21&gt;0," tăng "," giảm ") &amp; TEXT(ABS(M21)/1000,"0") &amp; "K = " &amp; TEXT(C21/1000,"#.##0") &amp; "K")</f>
        <v/>
      </c>
      <c r="O21" s="150">
        <f>IFERROR(D21-W5Q3FY26!D23,"OOS")</f>
        <v/>
      </c>
      <c r="P21" s="147">
        <f>IF(O21=0,"",$A21 &amp; IF(O21&gt;0," tăng "," giảm ") &amp; TEXT(ABS(O21)/1000,"0") &amp; "K = " &amp; TEXT(D21/1000,"#.##0") &amp; "K")</f>
        <v/>
      </c>
      <c r="Q21" s="150">
        <f>IFERROR(E21-W5Q3FY26!E23,"OOS")</f>
        <v/>
      </c>
      <c r="R21" s="147">
        <f>IF(Q21=0,"",$A21 &amp; IF(Q21&gt;0," tăng "," giảm ") &amp; TEXT(ABS(Q21)/1000,"0") &amp; "K = " &amp; TEXT(E21/1000,"#.##0") &amp; "K")</f>
        <v/>
      </c>
      <c r="S21" s="150">
        <f>IFERROR(F21-W5Q3FY26!F23,"OOS")</f>
        <v/>
      </c>
      <c r="T21" s="147">
        <f>IF(S21=0,"",$A21 &amp; IF(S21&gt;0," tăng "," giảm ") &amp; TEXT(ABS(S21)/1000,"0") &amp; "K = " &amp; TEXT(F21/1000,"#.##0") &amp; "K")</f>
        <v/>
      </c>
      <c r="U21" s="150">
        <f>IFERROR(G21-W5Q3FY26!G23,"OOS")</f>
        <v/>
      </c>
      <c r="V21" s="147">
        <f>IF(U21=0,"",$A21 &amp; IF(U21&gt;0," tăng "," giảm ") &amp; TEXT(ABS(U21)/1000,"0") &amp; "K = " &amp; TEXT(G21/1000,"#.##0") &amp; "K")</f>
        <v/>
      </c>
    </row>
    <row r="22" ht="15.95" customHeight="1" s="35">
      <c r="A22" t="inlineStr">
        <is>
          <t>AW SE 3 (40mm GPS)</t>
        </is>
      </c>
      <c r="B22" s="25" t="n"/>
      <c r="C22" s="136" t="n">
        <v>6390000</v>
      </c>
      <c r="D22" s="136" t="n">
        <v>6390000</v>
      </c>
      <c r="E22" s="140" t="n">
        <v>6190000</v>
      </c>
      <c r="F22" s="133" t="n">
        <v>6390000</v>
      </c>
      <c r="G22" s="111" t="n">
        <v>6290000</v>
      </c>
      <c r="H22" s="154" t="n"/>
      <c r="M22" s="149">
        <f>IFERROR(C22-W5Q3FY26!C24,"OOS")</f>
        <v/>
      </c>
      <c r="N22" s="147">
        <f>IF(M22=0,"",$A22 &amp; IF(M22&gt;0," tăng "," giảm ") &amp; TEXT(ABS(M22)/1000,"0") &amp; "K = " &amp; TEXT(C22/1000,"#.##0") &amp; "K")</f>
        <v/>
      </c>
      <c r="O22" s="150">
        <f>IFERROR(D22-W5Q3FY26!D24,"OOS")</f>
        <v/>
      </c>
      <c r="P22" s="147">
        <f>IF(O22=0,"",$A22 &amp; IF(O22&gt;0," tăng "," giảm ") &amp; TEXT(ABS(O22)/1000,"0") &amp; "K = " &amp; TEXT(D22/1000,"#.##0") &amp; "K")</f>
        <v/>
      </c>
      <c r="Q22" s="150">
        <f>IFERROR(E22-W5Q3FY26!E24,"OOS")</f>
        <v/>
      </c>
      <c r="R22" s="147">
        <f>IF(Q22=0,"",$A22 &amp; IF(Q22&gt;0," tăng "," giảm ") &amp; TEXT(ABS(Q22)/1000,"0") &amp; "K = " &amp; TEXT(E22/1000,"#.##0") &amp; "K")</f>
        <v/>
      </c>
      <c r="S22" s="150">
        <f>IFERROR(F22-W5Q3FY26!F24,"OOS")</f>
        <v/>
      </c>
      <c r="T22" s="147">
        <f>IF(S22=0,"",$A22 &amp; IF(S22&gt;0," tăng "," giảm ") &amp; TEXT(ABS(S22)/1000,"0") &amp; "K = " &amp; TEXT(F22/1000,"#.##0") &amp; "K")</f>
        <v/>
      </c>
      <c r="U22" s="150">
        <f>IFERROR(G22-W5Q3FY26!G24,"OOS")</f>
        <v/>
      </c>
      <c r="V22" s="147">
        <f>IF(U22=0,"",$A22 &amp; IF(U22&gt;0," tăng "," giảm ") &amp; TEXT(ABS(U22)/1000,"0") &amp; "K = " &amp; TEXT(G22/1000,"#.##0") &amp; "K")</f>
        <v/>
      </c>
    </row>
    <row r="23" ht="15.95" customHeight="1" s="35">
      <c r="A23" t="inlineStr">
        <is>
          <t>AW SE 3 (40mm LTE)</t>
        </is>
      </c>
      <c r="B23" s="25" t="n"/>
      <c r="C23" s="136" t="n">
        <v>7990000</v>
      </c>
      <c r="D23" s="136" t="n">
        <v>7690000</v>
      </c>
      <c r="E23" s="155" t="n">
        <v>7790000</v>
      </c>
      <c r="F23" s="133" t="n">
        <v>7990000</v>
      </c>
      <c r="G23" s="112" t="n">
        <v>7990000</v>
      </c>
      <c r="H23" s="154" t="n"/>
      <c r="M23" s="149">
        <f>IFERROR(C23-W5Q3FY26!C25,"OOS")</f>
        <v/>
      </c>
      <c r="N23" s="147">
        <f>IF(M23=0,"",$A23 &amp; IF(M23&gt;0," tăng "," giảm ") &amp; TEXT(ABS(M23)/1000,"0") &amp; "K = " &amp; TEXT(C23/1000,"#.##0") &amp; "K")</f>
        <v/>
      </c>
      <c r="O23" s="150">
        <f>IFERROR(D23-W5Q3FY26!D25,"OOS")</f>
        <v/>
      </c>
      <c r="P23" s="147">
        <f>IF(O23=0,"",$A23 &amp; IF(O23&gt;0," tăng "," giảm ") &amp; TEXT(ABS(O23)/1000,"0") &amp; "K = " &amp; TEXT(D23/1000,"#.##0") &amp; "K")</f>
        <v/>
      </c>
      <c r="Q23" s="150">
        <f>IFERROR(E23-W5Q3FY26!E25,"OOS")</f>
        <v/>
      </c>
      <c r="R23" s="147">
        <f>IF(Q23=0,"",$A23 &amp; IF(Q23&gt;0," tăng "," giảm ") &amp; TEXT(ABS(Q23)/1000,"0") &amp; "K = " &amp; TEXT(E23/1000,"#.##0") &amp; "K")</f>
        <v/>
      </c>
      <c r="S23" s="150">
        <f>IFERROR(F23-W5Q3FY26!F25,"OOS")</f>
        <v/>
      </c>
      <c r="T23" s="147">
        <f>IF(S23=0,"",$A23 &amp; IF(S23&gt;0," tăng "," giảm ") &amp; TEXT(ABS(S23)/1000,"0") &amp; "K = " &amp; TEXT(F23/1000,"#.##0") &amp; "K")</f>
        <v/>
      </c>
      <c r="U23" s="150">
        <f>IFERROR(G23-W5Q3FY26!G25,"OOS")</f>
        <v/>
      </c>
      <c r="V23" s="147">
        <f>IF(U23=0,"",$A23 &amp; IF(U23&gt;0," tăng "," giảm ") &amp; TEXT(ABS(U23)/1000,"0") &amp; "K = " &amp; TEXT(G23/1000,"#.##0") &amp; "K")</f>
        <v/>
      </c>
    </row>
    <row r="24" ht="15.95" customHeight="1" s="35">
      <c r="A24" t="inlineStr">
        <is>
          <t>AW SE 3 (44mm GPS)</t>
        </is>
      </c>
      <c r="B24" s="25" t="n"/>
      <c r="C24" s="136" t="n">
        <v>7290000</v>
      </c>
      <c r="D24" s="136" t="n">
        <v>6990000</v>
      </c>
      <c r="E24" s="140" t="n">
        <v>6990000</v>
      </c>
      <c r="F24" s="133" t="n">
        <v>7290000</v>
      </c>
      <c r="G24" s="111" t="n">
        <v>6990000</v>
      </c>
      <c r="H24" s="154" t="n"/>
      <c r="M24" s="149">
        <f>IFERROR(C24-W5Q3FY26!C26,"OOS")</f>
        <v/>
      </c>
      <c r="N24" s="147">
        <f>IF(M24=0,"",$A24 &amp; IF(M24&gt;0," tăng "," giảm ") &amp; TEXT(ABS(M24)/1000,"0") &amp; "K = " &amp; TEXT(C24/1000,"#.##0") &amp; "K")</f>
        <v/>
      </c>
      <c r="O24" s="150">
        <f>IFERROR(D24-W5Q3FY26!D26,"OOS")</f>
        <v/>
      </c>
      <c r="P24" s="147">
        <f>IF(O24=0,"",$A24 &amp; IF(O24&gt;0," tăng "," giảm ") &amp; TEXT(ABS(O24)/1000,"0") &amp; "K = " &amp; TEXT(D24/1000,"#.##0") &amp; "K")</f>
        <v/>
      </c>
      <c r="Q24" s="150">
        <f>IFERROR(E24-W5Q3FY26!E26,"OOS")</f>
        <v/>
      </c>
      <c r="R24" s="147">
        <f>IF(Q24=0,"",$A24 &amp; IF(Q24&gt;0," tăng "," giảm ") &amp; TEXT(ABS(Q24)/1000,"0") &amp; "K = " &amp; TEXT(E24/1000,"#.##0") &amp; "K")</f>
        <v/>
      </c>
      <c r="S24" s="150">
        <f>IFERROR(F24-W5Q3FY26!F26,"OOS")</f>
        <v/>
      </c>
      <c r="T24" s="147">
        <f>IF(S24=0,"",$A24 &amp; IF(S24&gt;0," tăng "," giảm ") &amp; TEXT(ABS(S24)/1000,"0") &amp; "K = " &amp; TEXT(F24/1000,"#.##0") &amp; "K")</f>
        <v/>
      </c>
      <c r="U24" s="150">
        <f>IFERROR(G24-W5Q3FY26!G26,"OOS")</f>
        <v/>
      </c>
      <c r="V24" s="147">
        <f>IF(U24=0,"",$A24 &amp; IF(U24&gt;0," tăng "," giảm ") &amp; TEXT(ABS(U24)/1000,"0") &amp; "K = " &amp; TEXT(G24/1000,"#.##0") &amp; "K")</f>
        <v/>
      </c>
    </row>
    <row r="25" ht="15.95" customHeight="1" s="35">
      <c r="A25" t="inlineStr">
        <is>
          <t>AW SE 3 (44mm LTE)</t>
        </is>
      </c>
      <c r="B25" s="25" t="n"/>
      <c r="C25" s="136" t="n">
        <v>8790000</v>
      </c>
      <c r="D25" s="136" t="n">
        <v>8490000</v>
      </c>
      <c r="E25" s="140" t="n">
        <v>8590000</v>
      </c>
      <c r="F25" s="133" t="n">
        <v>8790000</v>
      </c>
      <c r="G25" s="112" t="n">
        <v>8790000</v>
      </c>
      <c r="H25" s="154" t="n"/>
      <c r="M25" s="149">
        <f>IFERROR(C25-W5Q3FY26!C27,"OOS")</f>
        <v/>
      </c>
      <c r="N25" s="147">
        <f>IF(M25=0,"",$A25 &amp; IF(M25&gt;0," tăng "," giảm ") &amp; TEXT(ABS(M25)/1000,"0") &amp; "K = " &amp; TEXT(C25/1000,"#.##0") &amp; "K")</f>
        <v/>
      </c>
      <c r="O25" s="150">
        <f>IFERROR(D25-W5Q3FY26!D27,"OOS")</f>
        <v/>
      </c>
      <c r="P25" s="147">
        <f>IF(O25=0,"",$A25 &amp; IF(O25&gt;0," tăng "," giảm ") &amp; TEXT(ABS(O25)/1000,"0") &amp; "K = " &amp; TEXT(D25/1000,"#.##0") &amp; "K")</f>
        <v/>
      </c>
      <c r="Q25" s="150">
        <f>IFERROR(E25-W5Q3FY26!E27,"OOS")</f>
        <v/>
      </c>
      <c r="R25" s="147">
        <f>IF(Q25=0,"",$A25 &amp; IF(Q25&gt;0," tăng "," giảm ") &amp; TEXT(ABS(Q25)/1000,"0") &amp; "K = " &amp; TEXT(E25/1000,"#.##0") &amp; "K")</f>
        <v/>
      </c>
      <c r="S25" s="150">
        <f>IFERROR(F25-W5Q3FY26!F27,"OOS")</f>
        <v/>
      </c>
      <c r="T25" s="147">
        <f>IF(S25=0,"",$A25 &amp; IF(S25&gt;0," tăng "," giảm ") &amp; TEXT(ABS(S25)/1000,"0") &amp; "K = " &amp; TEXT(F25/1000,"#.##0") &amp; "K")</f>
        <v/>
      </c>
      <c r="U25" s="150">
        <f>IFERROR(G25-W5Q3FY26!G27,"OOS")</f>
        <v/>
      </c>
      <c r="V25" s="147">
        <f>IF(U25=0,"",$A25 &amp; IF(U25&gt;0," tăng "," giảm ") &amp; TEXT(ABS(U25)/1000,"0") &amp; "K = " &amp; TEXT(G25/1000,"#.##0") &amp; "K")</f>
        <v/>
      </c>
    </row>
    <row r="26" ht="15.95" customHeight="1" s="35">
      <c r="A26" t="inlineStr">
        <is>
          <t>AW S11 (42mm GPS)</t>
        </is>
      </c>
      <c r="B26" s="3" t="n"/>
      <c r="C26" s="136" t="n">
        <v>9190000</v>
      </c>
      <c r="D26" s="136" t="n">
        <v>9190000</v>
      </c>
      <c r="E26" s="140" t="n">
        <v>8990000</v>
      </c>
      <c r="F26" s="133" t="n">
        <v>9190000</v>
      </c>
      <c r="G26" s="112" t="n">
        <v>9090000</v>
      </c>
      <c r="H26" s="154" t="n"/>
      <c r="M26" s="149">
        <f>IFERROR(C26-W5Q3FY26!C28,"OOS")</f>
        <v/>
      </c>
      <c r="N26" s="147">
        <f>IF(M26=0,"",$A26 &amp; IF(M26&gt;0," tăng "," giảm ") &amp; TEXT(ABS(M26)/1000,"0") &amp; "K = " &amp; TEXT(C26/1000,"#.##0") &amp; "K")</f>
        <v/>
      </c>
      <c r="O26" s="150">
        <f>IFERROR(D26-W5Q3FY26!D28,"OOS")</f>
        <v/>
      </c>
      <c r="P26" s="147">
        <f>IF(O26=0,"",$A26 &amp; IF(O26&gt;0," tăng "," giảm ") &amp; TEXT(ABS(O26)/1000,"0") &amp; "K = " &amp; TEXT(D26/1000,"#.##0") &amp; "K")</f>
        <v/>
      </c>
      <c r="Q26" s="150">
        <f>IFERROR(E26-W5Q3FY26!E28,"OOS")</f>
        <v/>
      </c>
      <c r="R26" s="147">
        <f>IF(Q26=0,"",$A26 &amp; IF(Q26&gt;0," tăng "," giảm ") &amp; TEXT(ABS(Q26)/1000,"0") &amp; "K = " &amp; TEXT(E26/1000,"#.##0") &amp; "K")</f>
        <v/>
      </c>
      <c r="S26" s="150">
        <f>IFERROR(F26-W5Q3FY26!F28,"OOS")</f>
        <v/>
      </c>
      <c r="T26" s="147">
        <f>IF(S26=0,"",$A26 &amp; IF(S26&gt;0," tăng "," giảm ") &amp; TEXT(ABS(S26)/1000,"0") &amp; "K = " &amp; TEXT(F26/1000,"#.##0") &amp; "K")</f>
        <v/>
      </c>
      <c r="U26" s="150">
        <f>IFERROR(G26-W5Q3FY26!G28,"OOS")</f>
        <v/>
      </c>
      <c r="V26" s="147">
        <f>IF(U26=0,"",$A26 &amp; IF(U26&gt;0," tăng "," giảm ") &amp; TEXT(ABS(U26)/1000,"0") &amp; "K = " &amp; TEXT(G26/1000,"#.##0") &amp; "K")</f>
        <v/>
      </c>
    </row>
    <row r="27" ht="15.95" customHeight="1" s="35">
      <c r="A27" t="inlineStr">
        <is>
          <t>AW S11 (42mm CEL)</t>
        </is>
      </c>
      <c r="B27" s="3" t="n"/>
      <c r="C27" s="136" t="n">
        <v>12090000</v>
      </c>
      <c r="D27" s="136" t="n">
        <v>11990000</v>
      </c>
      <c r="E27" s="140" t="n">
        <v>11990000</v>
      </c>
      <c r="F27" s="133" t="n">
        <v>12090000</v>
      </c>
      <c r="G27" s="111" t="n">
        <v>11990000</v>
      </c>
      <c r="H27" s="154" t="n"/>
      <c r="M27" s="149">
        <f>IFERROR(C27-W5Q3FY26!C29,"OOS")</f>
        <v/>
      </c>
      <c r="N27" s="147">
        <f>IF(M27=0,"",$A27 &amp; IF(M27&gt;0," tăng "," giảm ") &amp; TEXT(ABS(M27)/1000,"0") &amp; "K = " &amp; TEXT(C27/1000,"#.##0") &amp; "K")</f>
        <v/>
      </c>
      <c r="O27" s="150">
        <f>IFERROR(D27-W5Q3FY26!D29,"OOS")</f>
        <v/>
      </c>
      <c r="P27" s="147">
        <f>IF(O27=0,"",$A27 &amp; IF(O27&gt;0," tăng "," giảm ") &amp; TEXT(ABS(O27)/1000,"0") &amp; "K = " &amp; TEXT(D27/1000,"#.##0") &amp; "K")</f>
        <v/>
      </c>
      <c r="Q27" s="150">
        <f>IFERROR(E27-W5Q3FY26!E29,"OOS")</f>
        <v/>
      </c>
      <c r="R27" s="147">
        <f>IF(Q27=0,"",$A27 &amp; IF(Q27&gt;0," tăng "," giảm ") &amp; TEXT(ABS(Q27)/1000,"0") &amp; "K = " &amp; TEXT(E27/1000,"#.##0") &amp; "K")</f>
        <v/>
      </c>
      <c r="S27" s="150">
        <f>IFERROR(F27-W5Q3FY26!F29,"OOS")</f>
        <v/>
      </c>
      <c r="T27" s="147">
        <f>IF(S27=0,"",$A27 &amp; IF(S27&gt;0," tăng "," giảm ") &amp; TEXT(ABS(S27)/1000,"0") &amp; "K = " &amp; TEXT(F27/1000,"#.##0") &amp; "K")</f>
        <v/>
      </c>
      <c r="U27" s="150">
        <f>IFERROR(G27-W5Q3FY26!G29,"OOS")</f>
        <v/>
      </c>
      <c r="V27" s="147">
        <f>IF(U27=0,"",$A27 &amp; IF(U27&gt;0," tăng "," giảm ") &amp; TEXT(ABS(U27)/1000,"0") &amp; "K = " &amp; TEXT(G27/1000,"#.##0") &amp; "K")</f>
        <v/>
      </c>
    </row>
    <row r="28" ht="15.95" customHeight="1" s="35">
      <c r="A28" t="inlineStr">
        <is>
          <t>AW S11 (46mm GPS)</t>
        </is>
      </c>
      <c r="B28" s="3" t="n"/>
      <c r="C28" s="136" t="n">
        <v>9990000</v>
      </c>
      <c r="D28" s="136" t="n">
        <v>9990000</v>
      </c>
      <c r="E28" s="140" t="n">
        <v>9690000</v>
      </c>
      <c r="F28" s="133" t="n">
        <v>9990000</v>
      </c>
      <c r="G28" s="111" t="n">
        <v>9990000</v>
      </c>
      <c r="H28" s="154" t="n"/>
      <c r="M28" s="149">
        <f>IFERROR(C28-W5Q3FY26!C30,"OOS")</f>
        <v/>
      </c>
      <c r="N28" s="147">
        <f>IF(M28=0,"",$A28 &amp; IF(M28&gt;0," tăng "," giảm ") &amp; TEXT(ABS(M28)/1000,"0") &amp; "K = " &amp; TEXT(C28/1000,"#.##0") &amp; "K")</f>
        <v/>
      </c>
      <c r="O28" s="150">
        <f>IFERROR(D28-W5Q3FY26!D30,"OOS")</f>
        <v/>
      </c>
      <c r="P28" s="147">
        <f>IF(O28=0,"",$A28 &amp; IF(O28&gt;0," tăng "," giảm ") &amp; TEXT(ABS(O28)/1000,"0") &amp; "K = " &amp; TEXT(D28/1000,"#.##0") &amp; "K")</f>
        <v/>
      </c>
      <c r="Q28" s="150">
        <f>IFERROR(E28-W5Q3FY26!E30,"OOS")</f>
        <v/>
      </c>
      <c r="R28" s="147">
        <f>IF(Q28=0,"",$A28 &amp; IF(Q28&gt;0," tăng "," giảm ") &amp; TEXT(ABS(Q28)/1000,"0") &amp; "K = " &amp; TEXT(E28/1000,"#.##0") &amp; "K")</f>
        <v/>
      </c>
      <c r="S28" s="150">
        <f>IFERROR(F28-W5Q3FY26!F30,"OOS")</f>
        <v/>
      </c>
      <c r="T28" s="147">
        <f>IF(S28=0,"",$A28 &amp; IF(S28&gt;0," tăng "," giảm ") &amp; TEXT(ABS(S28)/1000,"0") &amp; "K = " &amp; TEXT(F28/1000,"#.##0") &amp; "K")</f>
        <v/>
      </c>
      <c r="U28" s="150">
        <f>IFERROR(G28-W5Q3FY26!G30,"OOS")</f>
        <v/>
      </c>
      <c r="V28" s="147">
        <f>IF(U28=0,"",$A28 &amp; IF(U28&gt;0," tăng "," giảm ") &amp; TEXT(ABS(U28)/1000,"0") &amp; "K = " &amp; TEXT(G28/1000,"#.##0") &amp; "K")</f>
        <v/>
      </c>
    </row>
    <row r="29" ht="15.95" customHeight="1" s="35">
      <c r="A29" t="inlineStr">
        <is>
          <t>AW S11 (46mm CEL)</t>
        </is>
      </c>
      <c r="B29" s="3" t="n"/>
      <c r="C29" s="136" t="n">
        <v>12990000</v>
      </c>
      <c r="D29" s="136" t="n">
        <v>12490000</v>
      </c>
      <c r="E29" s="140" t="n">
        <v>12490000</v>
      </c>
      <c r="F29" s="133" t="n">
        <v>12990000</v>
      </c>
      <c r="G29" s="111" t="n">
        <v>12990000</v>
      </c>
      <c r="H29" s="154" t="n"/>
      <c r="M29" s="149">
        <f>IFERROR(C29-W5Q3FY26!C31,"OOS")</f>
        <v/>
      </c>
      <c r="N29" s="147">
        <f>IF(M29=0,"",$A29 &amp; IF(M29&gt;0," tăng "," giảm ") &amp; TEXT(ABS(M29)/1000,"0") &amp; "K = " &amp; TEXT(C29/1000,"#.##0") &amp; "K")</f>
        <v/>
      </c>
      <c r="O29" s="150">
        <f>IFERROR(D29-W5Q3FY26!D31,"OOS")</f>
        <v/>
      </c>
      <c r="P29" s="147">
        <f>IF(O29=0,"",$A29 &amp; IF(O29&gt;0," tăng "," giảm ") &amp; TEXT(ABS(O29)/1000,"0") &amp; "K = " &amp; TEXT(D29/1000,"#.##0") &amp; "K")</f>
        <v/>
      </c>
      <c r="Q29" s="150">
        <f>IFERROR(E29-W5Q3FY26!E31,"OOS")</f>
        <v/>
      </c>
      <c r="R29" s="147">
        <f>IF(Q29=0,"",$A29 &amp; IF(Q29&gt;0," tăng "," giảm ") &amp; TEXT(ABS(Q29)/1000,"0") &amp; "K = " &amp; TEXT(E29/1000,"#.##0") &amp; "K")</f>
        <v/>
      </c>
      <c r="S29" s="150">
        <f>IFERROR(F29-W5Q3FY26!F31,"OOS")</f>
        <v/>
      </c>
      <c r="T29" s="147">
        <f>IF(S29=0,"",$A29 &amp; IF(S29&gt;0," tăng "," giảm ") &amp; TEXT(ABS(S29)/1000,"0") &amp; "K = " &amp; TEXT(F29/1000,"#.##0") &amp; "K")</f>
        <v/>
      </c>
      <c r="U29" s="150">
        <f>IFERROR(G29-W5Q3FY26!G31,"OOS")</f>
        <v/>
      </c>
      <c r="V29" s="147">
        <f>IF(U29=0,"",$A29 &amp; IF(U29&gt;0," tăng "," giảm ") &amp; TEXT(ABS(U29)/1000,"0") &amp; "K = " &amp; TEXT(G29/1000,"#.##0") &amp; "K")</f>
        <v/>
      </c>
    </row>
    <row r="30" ht="15.95" customHeight="1" s="35">
      <c r="A30" t="inlineStr">
        <is>
          <t>AW Ultra 3 (49mm)</t>
        </is>
      </c>
      <c r="B30" s="25" t="n"/>
      <c r="C30" s="136" t="n">
        <v>23490000</v>
      </c>
      <c r="D30" s="136" t="n">
        <v>22990000</v>
      </c>
      <c r="E30" s="113" t="n">
        <v>22490000</v>
      </c>
      <c r="F30" s="133" t="n">
        <v>22990000</v>
      </c>
      <c r="G30" s="111" t="n">
        <v>22990000</v>
      </c>
      <c r="H30" s="154" t="n"/>
      <c r="M30" s="149">
        <f>IFERROR(C30-W5Q3FY26!C32,"OOS")</f>
        <v/>
      </c>
      <c r="N30" s="147">
        <f>IF(M30=0,"",$A30 &amp; IF(M30&gt;0," tăng "," giảm ") &amp; TEXT(ABS(M30)/1000,"0") &amp; "K = " &amp; TEXT(C30/1000,"#.##0") &amp; "K")</f>
        <v/>
      </c>
      <c r="O30" s="150">
        <f>IFERROR(D30-W5Q3FY26!D32,"OOS")</f>
        <v/>
      </c>
      <c r="P30" s="147">
        <f>IF(O30=0,"",$A30 &amp; IF(O30&gt;0," tăng "," giảm ") &amp; TEXT(ABS(O30)/1000,"0") &amp; "K = " &amp; TEXT(D30/1000,"#.##0") &amp; "K")</f>
        <v/>
      </c>
      <c r="Q30" s="150">
        <f>IFERROR(E30-W5Q3FY26!E32,"OOS")</f>
        <v/>
      </c>
      <c r="R30" s="147">
        <f>IF(Q30=0,"",$A30 &amp; IF(Q30&gt;0," tăng "," giảm ") &amp; TEXT(ABS(Q30)/1000,"0") &amp; "K = " &amp; TEXT(E30/1000,"#.##0") &amp; "K")</f>
        <v/>
      </c>
      <c r="S30" s="150">
        <f>IFERROR(F30-W5Q3FY26!F32,"OOS")</f>
        <v/>
      </c>
      <c r="T30" s="147">
        <f>IF(S30=0,"",$A30 &amp; IF(S30&gt;0," tăng "," giảm ") &amp; TEXT(ABS(S30)/1000,"0") &amp; "K = " &amp; TEXT(F30/1000,"#.##0") &amp; "K")</f>
        <v/>
      </c>
      <c r="U30" s="150">
        <f>IFERROR(G30-W5Q3FY26!G32,"OOS")</f>
        <v/>
      </c>
      <c r="V30" s="147">
        <f>IF(U30=0,"",$A30 &amp; IF(U30&gt;0," tăng "," giảm ") &amp; TEXT(ABS(U30)/1000,"0") &amp; "K = " &amp; TEXT(G30/1000,"#.##0") &amp; "K")</f>
        <v/>
      </c>
    </row>
    <row r="31" ht="15.95" customHeight="1" s="35">
      <c r="A31" t="inlineStr">
        <is>
          <t>AirPods Pro 2 - 2023 (C-Type)</t>
        </is>
      </c>
      <c r="B31" s="3" t="n"/>
      <c r="C31" s="136" t="n">
        <v>5190000</v>
      </c>
      <c r="D31" s="136" t="inlineStr">
        <is>
          <t>OOS</t>
        </is>
      </c>
      <c r="E31" s="131" t="inlineStr">
        <is>
          <t>OOS</t>
        </is>
      </c>
      <c r="F31" s="133" t="n">
        <v>4990000</v>
      </c>
      <c r="G31" s="111" t="n">
        <v>5590000</v>
      </c>
      <c r="H31" s="154" t="n"/>
      <c r="M31" s="149">
        <f>IFERROR(C31-W5Q3FY26!C33,"OOS")</f>
        <v/>
      </c>
      <c r="N31" s="147">
        <f>IF(M31=0,"",$A31 &amp; IF(M31&gt;0," tăng "," giảm ") &amp; TEXT(ABS(M31)/1000,"0") &amp; "K = " &amp; TEXT(C31/1000,"#.##0") &amp; "K")</f>
        <v/>
      </c>
      <c r="O31" s="150">
        <f>IFERROR(D31-W5Q3FY26!D33,"OOS")</f>
        <v/>
      </c>
      <c r="P31" s="147">
        <f>IF(O31=0,"",$A31 &amp; IF(O31&gt;0," tăng "," giảm ") &amp; TEXT(ABS(O31)/1000,"0") &amp; "K = " &amp; TEXT(D31/1000,"#.##0") &amp; "K")</f>
        <v/>
      </c>
      <c r="Q31" s="150">
        <f>IFERROR(E31-W5Q3FY26!E33,"OOS")</f>
        <v/>
      </c>
      <c r="R31" s="147">
        <f>IF(Q31=0,"",$A31 &amp; IF(Q31&gt;0," tăng "," giảm ") &amp; TEXT(ABS(Q31)/1000,"0") &amp; "K = " &amp; TEXT(E31/1000,"#.##0") &amp; "K")</f>
        <v/>
      </c>
      <c r="S31" s="150">
        <f>IFERROR(F31-W5Q3FY26!F33,"OOS")</f>
        <v/>
      </c>
      <c r="T31" s="147">
        <f>IF(S31=0,"",$A31 &amp; IF(S31&gt;0," tăng "," giảm ") &amp; TEXT(ABS(S31)/1000,"0") &amp; "K = " &amp; TEXT(F31/1000,"#.##0") &amp; "K")</f>
        <v/>
      </c>
      <c r="U31" s="150">
        <f>IFERROR(G31-W5Q3FY26!G33,"OOS")</f>
        <v/>
      </c>
      <c r="V31" s="147">
        <f>IF(U31=0,"",$A31 &amp; IF(U31&gt;0," tăng "," giảm ") &amp; TEXT(ABS(U31)/1000,"0") &amp; "K = " &amp; TEXT(G31/1000,"#.##0") &amp; "K")</f>
        <v/>
      </c>
    </row>
    <row r="32" ht="15.95" customHeight="1" s="35">
      <c r="A32" t="inlineStr">
        <is>
          <t>AirPods 4 ANC</t>
        </is>
      </c>
      <c r="B32" s="3" t="n"/>
      <c r="C32" s="141" t="n">
        <v>4290000</v>
      </c>
      <c r="D32" s="141" t="n">
        <v>4200000</v>
      </c>
      <c r="E32" s="155" t="n">
        <v>4290000</v>
      </c>
      <c r="F32" s="134" t="n">
        <v>4290000</v>
      </c>
      <c r="G32" s="111" t="n">
        <v>4390000</v>
      </c>
      <c r="H32" s="154" t="n"/>
      <c r="M32" s="149">
        <f>IFERROR(C32-W5Q3FY26!C34,"OOS")</f>
        <v/>
      </c>
      <c r="N32" s="147">
        <f>IF(M32=0,"",$A32 &amp; IF(M32&gt;0," tăng "," giảm ") &amp; TEXT(ABS(M32)/1000,"0") &amp; "K = " &amp; TEXT(C32/1000,"#.##0") &amp; "K")</f>
        <v/>
      </c>
      <c r="O32" s="150">
        <f>IFERROR(D32-W5Q3FY26!D34,"OOS")</f>
        <v/>
      </c>
      <c r="P32" s="147">
        <f>IF(O32=0,"",$A32 &amp; IF(O32&gt;0," tăng "," giảm ") &amp; TEXT(ABS(O32)/1000,"0") &amp; "K = " &amp; TEXT(D32/1000,"#.##0") &amp; "K")</f>
        <v/>
      </c>
      <c r="Q32" s="150">
        <f>IFERROR(E32-W5Q3FY26!E34,"OOS")</f>
        <v/>
      </c>
      <c r="R32" s="147">
        <f>IF(Q32=0,"",$A32 &amp; IF(Q32&gt;0," tăng "," giảm ") &amp; TEXT(ABS(Q32)/1000,"0") &amp; "K = " &amp; TEXT(E32/1000,"#.##0") &amp; "K")</f>
        <v/>
      </c>
      <c r="S32" s="150">
        <f>IFERROR(F32-W5Q3FY26!F34,"OOS")</f>
        <v/>
      </c>
      <c r="T32" s="147">
        <f>IF(S32=0,"",$A32 &amp; IF(S32&gt;0," tăng "," giảm ") &amp; TEXT(ABS(S32)/1000,"0") &amp; "K = " &amp; TEXT(F32/1000,"#.##0") &amp; "K")</f>
        <v/>
      </c>
      <c r="U32" s="150">
        <f>IFERROR(G32-W5Q3FY26!G34,"OOS")</f>
        <v/>
      </c>
      <c r="V32" s="147">
        <f>IF(U32=0,"",$A32 &amp; IF(U32&gt;0," tăng "," giảm ") &amp; TEXT(ABS(U32)/1000,"0") &amp; "K = " &amp; TEXT(G32/1000,"#.##0") &amp; "K")</f>
        <v/>
      </c>
    </row>
    <row r="33" ht="15.95" customHeight="1" s="35">
      <c r="A33" t="inlineStr">
        <is>
          <t>AirPods 4 with charging case</t>
        </is>
      </c>
      <c r="B33" s="3" t="n"/>
      <c r="C33" s="141" t="n">
        <v>3090000</v>
      </c>
      <c r="D33" s="141" t="n">
        <v>2900000</v>
      </c>
      <c r="E33" s="155" t="n">
        <v>2990000</v>
      </c>
      <c r="F33" s="134" t="n">
        <v>3090000</v>
      </c>
      <c r="G33" s="111" t="n">
        <v>2990000</v>
      </c>
      <c r="H33" s="154" t="n"/>
      <c r="M33" s="149">
        <f>IFERROR(C33-W5Q3FY26!C35,"OOS")</f>
        <v/>
      </c>
      <c r="N33" s="147">
        <f>IF(M33=0,"",$A33 &amp; IF(M33&gt;0," tăng "," giảm ") &amp; TEXT(ABS(M33)/1000,"0") &amp; "K = " &amp; TEXT(C33/1000,"#.##0") &amp; "K")</f>
        <v/>
      </c>
      <c r="O33" s="150">
        <f>IFERROR(D33-W5Q3FY26!D35,"OOS")</f>
        <v/>
      </c>
      <c r="P33" s="147">
        <f>IF(O33=0,"",$A33 &amp; IF(O33&gt;0," tăng "," giảm ") &amp; TEXT(ABS(O33)/1000,"0") &amp; "K = " &amp; TEXT(D33/1000,"#.##0") &amp; "K")</f>
        <v/>
      </c>
      <c r="Q33" s="150">
        <f>IFERROR(E33-W5Q3FY26!E35,"OOS")</f>
        <v/>
      </c>
      <c r="R33" s="147">
        <f>IF(Q33=0,"",$A33 &amp; IF(Q33&gt;0," tăng "," giảm ") &amp; TEXT(ABS(Q33)/1000,"0") &amp; "K = " &amp; TEXT(E33/1000,"#.##0") &amp; "K")</f>
        <v/>
      </c>
      <c r="S33" s="150">
        <f>IFERROR(F33-W5Q3FY26!F35,"OOS")</f>
        <v/>
      </c>
      <c r="T33" s="147">
        <f>IF(S33=0,"",$A33 &amp; IF(S33&gt;0," tăng "," giảm ") &amp; TEXT(ABS(S33)/1000,"0") &amp; "K = " &amp; TEXT(F33/1000,"#.##0") &amp; "K")</f>
        <v/>
      </c>
      <c r="U33" s="150">
        <f>IFERROR(G33-W5Q3FY26!G35,"OOS")</f>
        <v/>
      </c>
      <c r="V33" s="147">
        <f>IF(U33=0,"",$A33 &amp; IF(U33&gt;0," tăng "," giảm ") &amp; TEXT(ABS(U33)/1000,"0") &amp; "K = " &amp; TEXT(G33/1000,"#.##0") &amp; "K")</f>
        <v/>
      </c>
    </row>
    <row r="34" ht="15.95" customHeight="1" s="35">
      <c r="A34" t="inlineStr">
        <is>
          <t>AirPods Pro 3</t>
        </is>
      </c>
      <c r="B34" s="3" t="n"/>
      <c r="C34" s="163" t="n">
        <v>6190000</v>
      </c>
      <c r="D34" s="141" t="n">
        <v>6100000</v>
      </c>
      <c r="E34" s="135" t="n">
        <v>5990000</v>
      </c>
      <c r="F34" s="133" t="n">
        <v>6190000</v>
      </c>
      <c r="G34" s="111" t="n">
        <v>6090000</v>
      </c>
      <c r="H34" s="154" t="n"/>
      <c r="M34" s="149">
        <f>IFERROR(C34-W5Q3FY26!C36,"OOS")</f>
        <v/>
      </c>
      <c r="N34" s="147">
        <f>IF(M34=0,"",$A34 &amp; IF(M34&gt;0," tăng "," giảm ") &amp; TEXT(ABS(M34)/1000,"0") &amp; "K = " &amp; TEXT(C34/1000,"#.##0") &amp; "K")</f>
        <v/>
      </c>
      <c r="O34" s="150">
        <f>IFERROR(D34-W5Q3FY26!D36,"OOS")</f>
        <v/>
      </c>
      <c r="P34" s="147">
        <f>IF(O34=0,"",$A34 &amp; IF(O34&gt;0," tăng "," giảm ") &amp; TEXT(ABS(O34)/1000,"0") &amp; "K = " &amp; TEXT(D34/1000,"#.##0") &amp; "K")</f>
        <v/>
      </c>
      <c r="Q34" s="150">
        <f>IFERROR(E34-W5Q3FY26!E36,"OOS")</f>
        <v/>
      </c>
      <c r="R34" s="147">
        <f>IF(Q34=0,"",$A34 &amp; IF(Q34&gt;0," tăng "," giảm ") &amp; TEXT(ABS(Q34)/1000,"0") &amp; "K = " &amp; TEXT(E34/1000,"#.##0") &amp; "K")</f>
        <v/>
      </c>
      <c r="S34" s="150">
        <f>IFERROR(F34-W5Q3FY26!F36,"OOS")</f>
        <v/>
      </c>
      <c r="T34" s="147">
        <f>IF(S34=0,"",$A34 &amp; IF(S34&gt;0," tăng "," giảm ") &amp; TEXT(ABS(S34)/1000,"0") &amp; "K = " &amp; TEXT(F34/1000,"#.##0") &amp; "K")</f>
        <v/>
      </c>
      <c r="U34" s="150">
        <f>IFERROR(G34-W5Q3FY26!G36,"OOS")</f>
        <v/>
      </c>
      <c r="V34" s="147">
        <f>IF(U34=0,"",$A34 &amp; IF(U34&gt;0," tăng "," giảm ") &amp; TEXT(ABS(U34)/1000,"0") &amp; "K = " &amp; TEXT(G34/1000,"#.##0") &amp; "K")</f>
        <v/>
      </c>
    </row>
    <row r="35" ht="15.95" customHeight="1" s="35">
      <c r="A35" t="inlineStr">
        <is>
          <t>MacBook Air 13" M5 16/512GB</t>
        </is>
      </c>
      <c r="B35" s="25" t="n"/>
      <c r="C35" s="141" t="n">
        <v>29390000</v>
      </c>
      <c r="D35" s="141" t="n">
        <v>29390000</v>
      </c>
      <c r="E35" s="143" t="n"/>
      <c r="F35" s="112" t="n">
        <v>29290000</v>
      </c>
      <c r="G35" s="111" t="n">
        <v>29990000</v>
      </c>
      <c r="H35" s="154" t="n"/>
      <c r="M35" s="149">
        <f>IFERROR(C35-W5Q3FY26!C37,"OOS")</f>
        <v/>
      </c>
      <c r="N35" s="147">
        <f>IF(M35=0,"",$A35 &amp; IF(M35&gt;0," tăng "," giảm ") &amp; TEXT(ABS(M35)/1000,"0") &amp; "K = " &amp; TEXT(C35/1000,"#.##0") &amp; "K")</f>
        <v/>
      </c>
      <c r="O35" s="150">
        <f>IFERROR(D35-W5Q3FY26!D37,"OOS")</f>
        <v/>
      </c>
      <c r="P35" s="147">
        <f>IF(O35=0,"",$A35 &amp; IF(O35&gt;0," tăng "," giảm ") &amp; TEXT(ABS(O35)/1000,"0") &amp; "K = " &amp; TEXT(D35/1000,"#.##0") &amp; "K")</f>
        <v/>
      </c>
      <c r="Q35" s="150">
        <f>IFERROR(E35-W5Q3FY26!E37,"OOS")</f>
        <v/>
      </c>
      <c r="R35" s="147">
        <f>IF(Q35=0,"",$A35 &amp; IF(Q35&gt;0," tăng "," giảm ") &amp; TEXT(ABS(Q35)/1000,"0") &amp; "K = " &amp; TEXT(E35/1000,"#.##0") &amp; "K")</f>
        <v/>
      </c>
      <c r="S35" s="150">
        <f>IFERROR(F35-W5Q3FY26!F37,"OOS")</f>
        <v/>
      </c>
      <c r="T35" s="147">
        <f>IF(S35=0,"",$A35 &amp; IF(S35&gt;0," tăng "," giảm ") &amp; TEXT(ABS(S35)/1000,"0") &amp; "K = " &amp; TEXT(F35/1000,"#.##0") &amp; "K")</f>
        <v/>
      </c>
      <c r="U35" s="150">
        <f>IFERROR(G35-W5Q3FY26!G37,"OOS")</f>
        <v/>
      </c>
      <c r="V35" s="147">
        <f>IF(U35=0,"",$A35 &amp; IF(U35&gt;0," tăng "," giảm ") &amp; TEXT(ABS(U35)/1000,"0") &amp; "K = " &amp; TEXT(G35/1000,"#.##0") &amp; "K")</f>
        <v/>
      </c>
    </row>
    <row r="36" ht="15.95" customHeight="1" s="35">
      <c r="A36" t="inlineStr">
        <is>
          <t>MacBook NEO A18 Pro ( 8/256GB)</t>
        </is>
      </c>
      <c r="B36" s="25" t="n"/>
      <c r="C36" s="141" t="n">
        <v>15990000</v>
      </c>
      <c r="D36" s="136" t="n">
        <v>15990000</v>
      </c>
      <c r="E36" s="143" t="n"/>
      <c r="F36" s="112" t="n">
        <v>15990000</v>
      </c>
      <c r="G36" s="112" t="n">
        <v>15890000</v>
      </c>
      <c r="H36" s="154" t="n"/>
      <c r="M36" s="149">
        <f>IFERROR(C36-W5Q3FY26!C38,"OOS")</f>
        <v/>
      </c>
      <c r="N36" s="147">
        <f>IF(M36=0,"",$A36 &amp; IF(M36&gt;0," tăng "," giảm ") &amp; TEXT(ABS(M36)/1000,"0") &amp; "K = " &amp; TEXT(C36/1000,"#.##0") &amp; "K")</f>
        <v/>
      </c>
      <c r="O36" s="150">
        <f>IFERROR(D36-W5Q3FY26!D38,"OOS")</f>
        <v/>
      </c>
      <c r="P36" s="147">
        <f>IF(O36=0,"",$A36 &amp; IF(O36&gt;0," tăng "," giảm ") &amp; TEXT(ABS(O36)/1000,"0") &amp; "K = " &amp; TEXT(D36/1000,"#.##0") &amp; "K")</f>
        <v/>
      </c>
      <c r="Q36" s="150">
        <f>IFERROR(E36-W5Q3FY26!E38,"OOS")</f>
        <v/>
      </c>
      <c r="R36" s="147">
        <f>IF(Q36=0,"",$A36 &amp; IF(Q36&gt;0," tăng "," giảm ") &amp; TEXT(ABS(Q36)/1000,"0") &amp; "K = " &amp; TEXT(E36/1000,"#.##0") &amp; "K")</f>
        <v/>
      </c>
      <c r="S36" s="150">
        <f>IFERROR(F36-W5Q3FY26!F38,"OOS")</f>
        <v/>
      </c>
      <c r="T36" s="147">
        <f>IF(S36=0,"",$A36 &amp; IF(S36&gt;0," tăng "," giảm ") &amp; TEXT(ABS(S36)/1000,"0") &amp; "K = " &amp; TEXT(F36/1000,"#.##0") &amp; "K")</f>
        <v/>
      </c>
      <c r="U36" s="150">
        <f>IFERROR(G36-W5Q3FY26!G38,"OOS")</f>
        <v/>
      </c>
      <c r="V36" s="147">
        <f>IF(U36=0,"",$A36 &amp; IF(U36&gt;0," tăng "," giảm ") &amp; TEXT(ABS(U36)/1000,"0") &amp; "K = " &amp; TEXT(G36/1000,"#.##0") &amp; "K")</f>
        <v/>
      </c>
    </row>
    <row r="37" ht="15.95" customHeight="1" s="35">
      <c r="A37" t="inlineStr">
        <is>
          <t>MacBook Air 13" M4 16/256GB</t>
        </is>
      </c>
      <c r="B37" s="3" t="n"/>
      <c r="C37" s="141" t="n">
        <v>24990000</v>
      </c>
      <c r="D37" s="136" t="inlineStr">
        <is>
          <t>OOS</t>
        </is>
      </c>
      <c r="E37" s="143" t="n"/>
      <c r="F37" s="134" t="n">
        <v>25890000</v>
      </c>
      <c r="G37" s="111" t="n">
        <v>24590000</v>
      </c>
      <c r="H37" s="154" t="n"/>
      <c r="J37" t="inlineStr">
        <is>
          <t>`</t>
        </is>
      </c>
      <c r="M37" s="149">
        <f>IFERROR(C37-W5Q3FY26!C39,"OOS")</f>
        <v/>
      </c>
      <c r="N37" s="147">
        <f>IF(M37=0,"",$A37 &amp; IF(M37&gt;0," tăng "," giảm ") &amp; TEXT(ABS(M37)/1000,"0") &amp; "K = " &amp; TEXT(C37/1000,"#.##0") &amp; "K")</f>
        <v/>
      </c>
      <c r="O37" s="150">
        <f>IFERROR(D37-W5Q3FY26!D39,"OOS")</f>
        <v/>
      </c>
      <c r="P37" s="147">
        <f>IF(O37=0,"",$A37 &amp; IF(O37&gt;0," tăng "," giảm ") &amp; TEXT(ABS(O37)/1000,"0") &amp; "K = " &amp; TEXT(D37/1000,"#.##0") &amp; "K")</f>
        <v/>
      </c>
      <c r="Q37" s="150">
        <f>IFERROR(E37-W5Q3FY26!E39,"OOS")</f>
        <v/>
      </c>
      <c r="R37" s="147">
        <f>IF(Q37=0,"",$A37 &amp; IF(Q37&gt;0," tăng "," giảm ") &amp; TEXT(ABS(Q37)/1000,"0") &amp; "K = " &amp; TEXT(E37/1000,"#.##0") &amp; "K")</f>
        <v/>
      </c>
      <c r="S37" s="150">
        <f>IFERROR(F37-W5Q3FY26!F39,"OOS")</f>
        <v/>
      </c>
      <c r="T37" s="147">
        <f>IF(S37=0,"",$A37 &amp; IF(S37&gt;0," tăng "," giảm ") &amp; TEXT(ABS(S37)/1000,"0") &amp; "K = " &amp; TEXT(F37/1000,"#.##0") &amp; "K")</f>
        <v/>
      </c>
      <c r="U37" s="150">
        <f>IFERROR(G37-W5Q3FY26!G39,"OOS")</f>
        <v/>
      </c>
      <c r="V37" s="147">
        <f>IF(U37=0,"",$A37 &amp; IF(U37&gt;0," tăng "," giảm ") &amp; TEXT(ABS(U37)/1000,"0") &amp; "K = " &amp; TEXT(G37/1000,"#.##0") &amp; "K")</f>
        <v/>
      </c>
    </row>
    <row r="38" ht="15.95" customHeight="1" s="35">
      <c r="A38" t="inlineStr">
        <is>
          <t>MacBook Air 15" M4 16/256GB</t>
        </is>
      </c>
      <c r="B38" s="25" t="n"/>
      <c r="C38" s="141" t="inlineStr">
        <is>
          <t>OOS</t>
        </is>
      </c>
      <c r="D38" s="136" t="inlineStr">
        <is>
          <t>OOS</t>
        </is>
      </c>
      <c r="E38" s="143" t="n"/>
      <c r="F38" s="133" t="n">
        <v>29990000</v>
      </c>
      <c r="G38" s="112" t="inlineStr">
        <is>
          <t>OOS</t>
        </is>
      </c>
      <c r="H38" s="154" t="n"/>
      <c r="M38" s="149">
        <f>IFERROR(C38-W5Q3FY26!C40,"OOS")</f>
        <v/>
      </c>
      <c r="N38" s="147">
        <f>IF(M38=0,"",$A38 &amp; IF(M38&gt;0," tăng "," giảm ") &amp; TEXT(ABS(M38)/1000,"0") &amp; "K = " &amp; TEXT(C38/1000,"#.##0") &amp; "K")</f>
        <v/>
      </c>
      <c r="O38" s="150">
        <f>IFERROR(D38-W5Q3FY26!D40,"OOS")</f>
        <v/>
      </c>
      <c r="P38" s="147">
        <f>IF(O38=0,"",$A38 &amp; IF(O38&gt;0," tăng "," giảm ") &amp; TEXT(ABS(O38)/1000,"0") &amp; "K = " &amp; TEXT(D38/1000,"#.##0") &amp; "K")</f>
        <v/>
      </c>
      <c r="Q38" s="150">
        <f>IFERROR(E38-W5Q3FY26!E40,"OOS")</f>
        <v/>
      </c>
      <c r="R38" s="147">
        <f>IF(Q38=0,"",$A38 &amp; IF(Q38&gt;0," tăng "," giảm ") &amp; TEXT(ABS(Q38)/1000,"0") &amp; "K = " &amp; TEXT(E38/1000,"#.##0") &amp; "K")</f>
        <v/>
      </c>
      <c r="S38" s="150">
        <f>IFERROR(F38-W5Q3FY26!F40,"OOS")</f>
        <v/>
      </c>
      <c r="T38" s="147">
        <f>IF(S38=0,"",$A38 &amp; IF(S38&gt;0," tăng "," giảm ") &amp; TEXT(ABS(S38)/1000,"0") &amp; "K = " &amp; TEXT(F38/1000,"#.##0") &amp; "K")</f>
        <v/>
      </c>
      <c r="U38" s="150">
        <f>IFERROR(G38-W5Q3FY26!G40,"OOS")</f>
        <v/>
      </c>
      <c r="V38" s="147">
        <f>IF(U38=0,"",$A38 &amp; IF(U38&gt;0," tăng "," giảm ") &amp; TEXT(ABS(U38)/1000,"0") &amp; "K = " &amp; TEXT(G38/1000,"#.##0") &amp; "K")</f>
        <v/>
      </c>
    </row>
    <row r="39" ht="15.95" customHeight="1" s="35">
      <c r="A39" t="inlineStr">
        <is>
          <t>MacBook Pro 14" M5 16/512GB</t>
        </is>
      </c>
      <c r="B39" s="25" t="n"/>
      <c r="C39" s="136" t="n">
        <v>41490000</v>
      </c>
      <c r="D39" s="136" t="n">
        <v>41490000</v>
      </c>
      <c r="E39" s="143" t="n"/>
      <c r="F39" s="133" t="n">
        <v>41490000</v>
      </c>
      <c r="G39" s="111" t="n">
        <v>41490000</v>
      </c>
      <c r="H39" s="154" t="n"/>
      <c r="M39" s="149">
        <f>IFERROR(C39-W5Q3FY26!C41,"OOS")</f>
        <v/>
      </c>
      <c r="N39" s="147">
        <f>IF(M39=0,"",$A39 &amp; IF(M39&gt;0," tăng "," giảm ") &amp; TEXT(ABS(M39)/1000,"0") &amp; "K = " &amp; TEXT(C39/1000,"#.##0") &amp; "K")</f>
        <v/>
      </c>
      <c r="O39" s="150">
        <f>IFERROR(D39-W5Q3FY26!D41,"OOS")</f>
        <v/>
      </c>
      <c r="P39" s="147">
        <f>IF(O39=0,"",$A39 &amp; IF(O39&gt;0," tăng "," giảm ") &amp; TEXT(ABS(O39)/1000,"0") &amp; "K = " &amp; TEXT(D39/1000,"#.##0") &amp; "K")</f>
        <v/>
      </c>
      <c r="Q39" s="150">
        <f>IFERROR(E39-W5Q3FY26!E41,"OOS")</f>
        <v/>
      </c>
      <c r="R39" s="147">
        <f>IF(Q39=0,"",$A39 &amp; IF(Q39&gt;0," tăng "," giảm ") &amp; TEXT(ABS(Q39)/1000,"0") &amp; "K = " &amp; TEXT(E39/1000,"#.##0") &amp; "K")</f>
        <v/>
      </c>
      <c r="S39" s="150">
        <f>IFERROR(F39-W5Q3FY26!F41,"OOS")</f>
        <v/>
      </c>
      <c r="T39" s="147">
        <f>IF(S39=0,"",$A39 &amp; IF(S39&gt;0," tăng "," giảm ") &amp; TEXT(ABS(S39)/1000,"0") &amp; "K = " &amp; TEXT(F39/1000,"#.##0") &amp; "K")</f>
        <v/>
      </c>
      <c r="U39" s="150">
        <f>IFERROR(G39-W5Q3FY26!G41,"OOS")</f>
        <v/>
      </c>
      <c r="V39" s="147">
        <f>IF(U39=0,"",$A39 &amp; IF(U39&gt;0," tăng "," giảm ") &amp; TEXT(ABS(U39)/1000,"0") &amp; "K = " &amp; TEXT(G39/1000,"#.##0") &amp; "K")</f>
        <v/>
      </c>
    </row>
    <row r="40" ht="15.95" customHeight="1" s="35">
      <c r="A40" t="inlineStr">
        <is>
          <t>MacBook Pro 16" M4 24/512GB</t>
        </is>
      </c>
      <c r="B40" s="25" t="n"/>
      <c r="C40" s="136" t="inlineStr">
        <is>
          <t>OOS</t>
        </is>
      </c>
      <c r="D40" s="136" t="n">
        <v>63990000</v>
      </c>
      <c r="E40" s="143" t="n"/>
      <c r="F40" s="133" t="n">
        <v>62990000</v>
      </c>
      <c r="G40" s="111" t="n">
        <v>63990000</v>
      </c>
      <c r="H40" s="154" t="n"/>
      <c r="M40" s="149">
        <f>IFERROR(C40-W5Q3FY26!C42,"OOS")</f>
        <v/>
      </c>
      <c r="N40" s="147">
        <f>IF(M40=0,"",$A40 &amp; IF(M40&gt;0," tăng "," giảm ") &amp; TEXT(ABS(M40)/1000,"0") &amp; "K = " &amp; TEXT(C40/1000,"#.##0") &amp; "K")</f>
        <v/>
      </c>
      <c r="O40" s="150">
        <f>IFERROR(D40-W5Q3FY26!D42,"OOS")</f>
        <v/>
      </c>
      <c r="P40" s="147">
        <f>IF(O40=0,"",$A40 &amp; IF(O40&gt;0," tăng "," giảm ") &amp; TEXT(ABS(O40)/1000,"0") &amp; "K = " &amp; TEXT(D40/1000,"#.##0") &amp; "K")</f>
        <v/>
      </c>
      <c r="Q40" s="150">
        <f>IFERROR(E40-W5Q3FY26!E42,"OOS")</f>
        <v/>
      </c>
      <c r="R40" s="147">
        <f>IF(Q40=0,"",$A40 &amp; IF(Q40&gt;0," tăng "," giảm ") &amp; TEXT(ABS(Q40)/1000,"0") &amp; "K = " &amp; TEXT(E40/1000,"#.##0") &amp; "K")</f>
        <v/>
      </c>
      <c r="S40" s="150">
        <f>IFERROR(F40-W5Q3FY26!F42,"OOS")</f>
        <v/>
      </c>
      <c r="T40" s="147">
        <f>IF(S40=0,"",$A40 &amp; IF(S40&gt;0," tăng "," giảm ") &amp; TEXT(ABS(S40)/1000,"0") &amp; "K = " &amp; TEXT(F40/1000,"#.##0") &amp; "K")</f>
        <v/>
      </c>
      <c r="U40" s="150">
        <f>IFERROR(G40-W5Q3FY26!G42,"OOS")</f>
        <v/>
      </c>
      <c r="V40" s="147">
        <f>IF(U40=0,"",$A40 &amp; IF(U40&gt;0," tăng "," giảm ") &amp; TEXT(ABS(U40)/1000,"0") &amp; "K = " &amp; TEXT(G40/1000,"#.##0") &amp; "K")</f>
        <v/>
      </c>
    </row>
    <row r="41" ht="15.95" customHeight="1" s="35">
      <c r="C41" s="125" t="n"/>
      <c r="D41" s="125" t="n"/>
      <c r="V41" s="147">
        <f>IF(U41=0,"",$A41 &amp; IF(U41&gt;0," tăng "," giảm ") &amp; TEXT(ABS(U41)/1000,"0") &amp; "K = " &amp; TEXT(G41/1000,"#.##0") &amp; "K")</f>
        <v/>
      </c>
    </row>
    <row r="42" ht="15.95" customHeight="1" s="35">
      <c r="C42" s="125" t="n"/>
      <c r="D42" s="125" t="n"/>
    </row>
    <row r="43" ht="15.95" customHeight="1" s="35">
      <c r="C43" s="125" t="n"/>
      <c r="D43" s="125" t="n"/>
    </row>
    <row r="44" ht="15.95" customHeight="1" s="35">
      <c r="C44" s="125" t="n"/>
      <c r="D44" s="125" t="n"/>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sheetData>
  <conditionalFormatting sqref="E2:E40 G9">
    <cfRule type="expression" priority="5" dxfId="3" stopIfTrue="1">
      <formula>$Q2=0</formula>
    </cfRule>
    <cfRule type="expression" priority="6" dxfId="2" stopIfTrue="1">
      <formula>AND($Q2&lt;&gt;0,$Q2&lt;&gt;"")</formula>
    </cfRule>
  </conditionalFormatting>
  <conditionalFormatting sqref="N2:N40 P2:P40 R2:R40 T2:T40 V2:V41">
    <cfRule type="containsText" priority="3" operator="containsText" dxfId="1" text="Tăng">
      <formula>NOT(ISERROR(SEARCH("Tăng",N2)))</formula>
    </cfRule>
    <cfRule type="containsText" priority="4"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7.xml><?xml version="1.0" encoding="utf-8"?>
<worksheet xmlns="http://schemas.openxmlformats.org/spreadsheetml/2006/main">
  <sheetPr>
    <outlinePr summaryBelow="1" summaryRight="1"/>
    <pageSetUpPr/>
  </sheetPr>
  <dimension ref="A1:Y151"/>
  <sheetViews>
    <sheetView showGridLines="0" tabSelected="1" zoomScale="80" zoomScaleNormal="80" workbookViewId="0">
      <pane xSplit="2" ySplit="1" topLeftCell="C2" activePane="bottomRight" state="frozen"/>
      <selection pane="bottomRight" activeCell="T22" sqref="T22:T35"/>
      <selection pane="bottomLeft" activeCell="A2" sqref="A2"/>
      <selection pane="topRight" activeCell="C1" sqref="C1"/>
    </sheetView>
  </sheetViews>
  <sheetFormatPr baseColWidth="8" defaultColWidth="11" defaultRowHeight="15.75" customHeight="1"/>
  <cols>
    <col width="30.5" customWidth="1" style="35" min="1" max="1"/>
    <col width="3.12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8.3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8" t="n">
        <v>17590000</v>
      </c>
      <c r="D2" s="128" t="n">
        <v>17490000</v>
      </c>
      <c r="E2" s="135" t="n">
        <v>17290000</v>
      </c>
      <c r="F2" s="168" t="n">
        <v>17490000</v>
      </c>
      <c r="G2" s="111" t="n">
        <v>17290000</v>
      </c>
      <c r="H2" s="154" t="n"/>
      <c r="M2" s="149">
        <f>IFERROR(C2-W6Q3FY26!C2,"OOS")</f>
        <v/>
      </c>
      <c r="N2" s="147">
        <f>IF(M2=0,"",$A2 &amp; IF(M2&gt;0," tăng "," giảm ") &amp; TEXT(ABS(M2)/1000,"0") &amp; "K = " &amp; TEXT(C2/1000,"#.##0") &amp; "K")</f>
        <v/>
      </c>
      <c r="O2" s="150">
        <f>IFERROR(D2-W6Q3FY26!D2,"OOS")</f>
        <v/>
      </c>
      <c r="P2" s="147">
        <f>IF(O2=0,"",$A2 &amp; IF(O2&gt;0," tăng "," giảm ") &amp; TEXT(ABS(O2)/1000,"0") &amp; "K = " &amp; TEXT(D2/1000,"#.##0") &amp; "K")</f>
        <v/>
      </c>
      <c r="Q2" s="150">
        <f>IFERROR(E2-W6Q3FY26!E2,"OOS")</f>
        <v/>
      </c>
      <c r="R2" s="147">
        <f>IF(Q2=0,"",$A2 &amp; IF(Q2&gt;0," tăng "," giảm ") &amp; TEXT(ABS(Q2)/1000,"0") &amp; "K = " &amp; TEXT(E2/1000,"#.##0") &amp; "K")</f>
        <v/>
      </c>
      <c r="S2" s="150">
        <f>IFERROR(F2-W6Q3FY26!F2,"OOS")</f>
        <v/>
      </c>
      <c r="T2" s="147">
        <f>IF(S2=0,"",$A2 &amp; IF(S2&gt;0," tăng "," giảm ") &amp; TEXT(ABS(S2)/1000,"0") &amp; "K = " &amp; TEXT(F2/1000,"#.##0") &amp; "K")</f>
        <v/>
      </c>
      <c r="U2" s="150">
        <f>IFERROR(G2-W6Q3FY26!G2,"OOS")</f>
        <v/>
      </c>
      <c r="V2" s="147">
        <f>IF(U2=0,"",$A2 &amp; IF(U2&gt;0," tăng "," giảm ") &amp; TEXT(ABS(U2)/1000,"0") &amp; "K = " &amp; TEXT(G2/1000,"#.##0") &amp; "K")</f>
        <v/>
      </c>
    </row>
    <row r="3" ht="15.95" customHeight="1" s="35">
      <c r="A3" t="inlineStr">
        <is>
          <t>iPhone 17  256GB</t>
        </is>
      </c>
      <c r="B3" s="83" t="n"/>
      <c r="C3" s="130" t="n">
        <v>24390000</v>
      </c>
      <c r="D3" s="130" t="n">
        <v>24390000</v>
      </c>
      <c r="E3" s="131" t="n">
        <v>23290000</v>
      </c>
      <c r="F3" s="161" t="n">
        <v>24390000</v>
      </c>
      <c r="G3" s="111" t="n">
        <v>23790000</v>
      </c>
      <c r="H3" s="154" t="n"/>
      <c r="M3" s="149">
        <f>IFERROR(C3-W6Q3FY26!C3,"OOS")</f>
        <v/>
      </c>
      <c r="N3" s="147">
        <f>IF(M3=0,"",$A3 &amp; IF(M3&gt;0," tăng "," giảm ") &amp; TEXT(ABS(M3)/1000,"0") &amp; "K = " &amp; TEXT(C3/1000,"#.##0") &amp; "K")</f>
        <v/>
      </c>
      <c r="O3" s="150">
        <f>IFERROR(D3-W6Q3FY26!D3,"OOS")</f>
        <v/>
      </c>
      <c r="P3" s="147">
        <f>IF(O3=0,"",$A3 &amp; IF(O3&gt;0," tăng "," giảm ") &amp; TEXT(ABS(O3)/1000,"0") &amp; "K = " &amp; TEXT(D3/1000,"#.##0") &amp; "K")</f>
        <v/>
      </c>
      <c r="Q3" s="150">
        <f>IFERROR(E3-W6Q3FY26!E3,"OOS")</f>
        <v/>
      </c>
      <c r="R3" s="147">
        <f>IF(Q3=0,"",$A3 &amp; IF(Q3&gt;0," tăng "," giảm ") &amp; TEXT(ABS(Q3)/1000,"0") &amp; "K = " &amp; TEXT(E3/1000,"#.##0") &amp; "K")</f>
        <v/>
      </c>
      <c r="S3" s="150">
        <f>IFERROR(F3-W6Q3FY26!F3,"OOS")</f>
        <v/>
      </c>
      <c r="T3" s="147">
        <f>IF(S3=0,"",$A3 &amp; IF(S3&gt;0," tăng "," giảm ") &amp; TEXT(ABS(S3)/1000,"0") &amp; "K = " &amp; TEXT(F3/1000,"#.##0") &amp; "K")</f>
        <v/>
      </c>
      <c r="U3" s="150">
        <f>IFERROR(G3-W6Q3FY26!G3,"OOS")</f>
        <v/>
      </c>
      <c r="V3" s="147">
        <f>IF(U3=0,"",$A3 &amp; IF(U3&gt;0," tăng "," giảm ") &amp; TEXT(ABS(U3)/1000,"0") &amp; "K = " &amp; TEXT(G3/1000,"#.##0") &amp; "K")</f>
        <v/>
      </c>
    </row>
    <row r="4" ht="15.95" customHeight="1" s="35">
      <c r="A4" t="inlineStr">
        <is>
          <t>iPhone Air 256G</t>
        </is>
      </c>
      <c r="B4" s="83" t="n"/>
      <c r="C4" s="128" t="n">
        <v>22990000</v>
      </c>
      <c r="D4" s="130" t="n">
        <v>22890000</v>
      </c>
      <c r="E4" s="131" t="n">
        <v>22990000</v>
      </c>
      <c r="F4" s="133" t="n">
        <v>22890000</v>
      </c>
      <c r="G4" s="112" t="n">
        <v>22890000</v>
      </c>
      <c r="H4" s="154" t="n"/>
      <c r="M4" s="149">
        <f>IFERROR(C4-W6Q3FY26!C4,"OOS")</f>
        <v/>
      </c>
      <c r="N4" s="147">
        <f>IF(M4=0,"",$A4 &amp; IF(M4&gt;0," tăng "," giảm ") &amp; TEXT(ABS(M4)/1000,"0") &amp; "K = " &amp; TEXT(C4/1000,"#.##0") &amp; "K")</f>
        <v/>
      </c>
      <c r="O4" s="150">
        <f>IFERROR(D4-W6Q3FY26!D4,"OOS")</f>
        <v/>
      </c>
      <c r="P4" s="147">
        <f>IF(O4=0,"",$A4 &amp; IF(O4&gt;0," tăng "," giảm ") &amp; TEXT(ABS(O4)/1000,"0") &amp; "K = " &amp; TEXT(D4/1000,"#.##0") &amp; "K")</f>
        <v/>
      </c>
      <c r="Q4" s="150">
        <f>IFERROR(E4-W6Q3FY26!E4,"OOS")</f>
        <v/>
      </c>
      <c r="R4" s="147">
        <f>IF(Q4=0,"",$A4 &amp; IF(Q4&gt;0," tăng "," giảm ") &amp; TEXT(ABS(Q4)/1000,"0") &amp; "K = " &amp; TEXT(E4/1000,"#.##0") &amp; "K")</f>
        <v/>
      </c>
      <c r="S4" s="150">
        <f>IFERROR(F4-W6Q3FY26!F4,"OOS")</f>
        <v/>
      </c>
      <c r="T4" s="147">
        <f>IF(S4=0,"",$A4 &amp; IF(S4&gt;0," tăng "," giảm ") &amp; TEXT(ABS(S4)/1000,"0") &amp; "K = " &amp; TEXT(F4/1000,"#.##0") &amp; "K")</f>
        <v/>
      </c>
      <c r="U4" s="150">
        <f>IFERROR(G4-W6Q3FY26!G4,"OOS")</f>
        <v/>
      </c>
      <c r="V4" s="147">
        <f>IF(U4=0,"",$A4 &amp; IF(U4&gt;0," tăng "," giảm ") &amp; TEXT(ABS(U4)/1000,"0") &amp; "K = " &amp; TEXT(G4/1000,"#.##0") &amp; "K")</f>
        <v/>
      </c>
    </row>
    <row r="5" ht="15.95" customHeight="1" s="35">
      <c r="A5" t="inlineStr">
        <is>
          <t>iPhone 17 Pro 256GB</t>
        </is>
      </c>
      <c r="B5" s="83" t="n"/>
      <c r="C5" s="130" t="n">
        <v>34690000</v>
      </c>
      <c r="D5" s="130" t="n">
        <v>34590000</v>
      </c>
      <c r="E5" s="131" t="n">
        <v>33190000</v>
      </c>
      <c r="F5" s="133" t="n">
        <v>34590000</v>
      </c>
      <c r="G5" s="111" t="n">
        <v>33990000</v>
      </c>
      <c r="H5" s="154" t="n"/>
      <c r="M5" s="149">
        <f>IFERROR(C5-W6Q3FY26!C5,"OOS")</f>
        <v/>
      </c>
      <c r="N5" s="147">
        <f>IF(M5=0,"",$A5 &amp; IF(M5&gt;0," tăng "," giảm ") &amp; TEXT(ABS(M5)/1000,"0") &amp; "K = " &amp; TEXT(C5/1000,"#.##0") &amp; "K")</f>
        <v/>
      </c>
      <c r="O5" s="150">
        <f>IFERROR(D5-W6Q3FY26!D5,"OOS")</f>
        <v/>
      </c>
      <c r="P5" s="147">
        <f>IF(O5=0,"",$A5 &amp; IF(O5&gt;0," tăng "," giảm ") &amp; TEXT(ABS(O5)/1000,"0") &amp; "K = " &amp; TEXT(D5/1000,"#.##0") &amp; "K")</f>
        <v/>
      </c>
      <c r="Q5" s="150">
        <f>IFERROR(E5-W6Q3FY26!E5,"OOS")</f>
        <v/>
      </c>
      <c r="R5" s="147">
        <f>IF(Q5=0,"",$A5 &amp; IF(Q5&gt;0," tăng "," giảm ") &amp; TEXT(ABS(Q5)/1000,"0") &amp; "K = " &amp; TEXT(E5/1000,"#.##0") &amp; "K")</f>
        <v/>
      </c>
      <c r="S5" s="150">
        <f>IFERROR(F5-W6Q3FY26!F5,"OOS")</f>
        <v/>
      </c>
      <c r="T5" s="147">
        <f>IF(S5=0,"",$A5 &amp; IF(S5&gt;0," tăng "," giảm ") &amp; TEXT(ABS(S5)/1000,"0") &amp; "K = " &amp; TEXT(F5/1000,"#.##0") &amp; "K")</f>
        <v/>
      </c>
      <c r="U5" s="150">
        <f>IFERROR(G5-W6Q3FY26!G5,"OOS")</f>
        <v/>
      </c>
      <c r="V5" s="147">
        <f>IF(U5=0,"",$A5 &amp; IF(U5&gt;0," tăng "," giảm ") &amp; TEXT(ABS(U5)/1000,"0") &amp; "K = " &amp; TEXT(G5/1000,"#.##0") &amp; "K")</f>
        <v/>
      </c>
    </row>
    <row r="6" ht="15.95" customHeight="1" s="35">
      <c r="A6" t="inlineStr">
        <is>
          <t>iPhone 17 Pro Max 256GB</t>
        </is>
      </c>
      <c r="B6" s="83" t="n"/>
      <c r="C6" s="128" t="n">
        <v>36990000</v>
      </c>
      <c r="D6" s="130" t="n">
        <v>36690000</v>
      </c>
      <c r="E6" s="135" t="n">
        <v>36290000</v>
      </c>
      <c r="F6" s="133" t="n">
        <v>36890000</v>
      </c>
      <c r="G6" s="111" t="n">
        <v>36790000</v>
      </c>
      <c r="H6" s="154" t="n"/>
      <c r="M6" s="149">
        <f>IFERROR(C6-W6Q3FY26!C6,"OOS")</f>
        <v/>
      </c>
      <c r="N6" s="147">
        <f>IF(M6=0,"",$A6 &amp; IF(M6&gt;0," tăng "," giảm ") &amp; TEXT(ABS(M6)/1000,"0") &amp; "K = " &amp; TEXT(C6/1000,"#.##0") &amp; "K")</f>
        <v/>
      </c>
      <c r="O6" s="150">
        <f>IFERROR(D6-W6Q3FY26!D6,"OOS")</f>
        <v/>
      </c>
      <c r="P6" s="147">
        <f>IF(O6=0,"",$A6 &amp; IF(O6&gt;0," tăng "," giảm ") &amp; TEXT(ABS(O6)/1000,"0") &amp; "K = " &amp; TEXT(D6/1000,"#.##0") &amp; "K")</f>
        <v/>
      </c>
      <c r="Q6" s="150">
        <f>IFERROR(E6-W6Q3FY26!E6,"OOS")</f>
        <v/>
      </c>
      <c r="R6" s="147">
        <f>IF(Q6=0,"",$A6 &amp; IF(Q6&gt;0," tăng "," giảm ") &amp; TEXT(ABS(Q6)/1000,"0") &amp; "K = " &amp; TEXT(E6/1000,"#.##0") &amp; "K")</f>
        <v/>
      </c>
      <c r="S6" s="150">
        <f>IFERROR(F6-W6Q3FY26!F6,"OOS")</f>
        <v/>
      </c>
      <c r="T6" s="147">
        <f>IF(S6=0,"",$A6 &amp; IF(S6&gt;0," tăng "," giảm ") &amp; TEXT(ABS(S6)/1000,"0") &amp; "K = " &amp; TEXT(F6/1000,"#.##0") &amp; "K")</f>
        <v/>
      </c>
      <c r="U6" s="150">
        <f>IFERROR(G6-W6Q3FY26!G6,"OOS")</f>
        <v/>
      </c>
      <c r="V6" s="147">
        <f>IF(U6=0,"",$A6 &amp; IF(U6&gt;0," tăng "," giảm ") &amp; TEXT(ABS(U6)/1000,"0") &amp; "K = " &amp; TEXT(G6/1000,"#.##0") &amp; "K")</f>
        <v/>
      </c>
    </row>
    <row r="7" ht="15.95" customHeight="1" s="35">
      <c r="A7" t="inlineStr">
        <is>
          <t>iPhone 16e  128GB</t>
        </is>
      </c>
      <c r="B7" s="83" t="n"/>
      <c r="C7" s="128" t="inlineStr">
        <is>
          <t>OOS</t>
        </is>
      </c>
      <c r="D7" s="136" t="n">
        <v>14990000</v>
      </c>
      <c r="E7" s="135" t="n">
        <v>11990000</v>
      </c>
      <c r="F7" s="137" t="n">
        <v>12990000</v>
      </c>
      <c r="G7" s="111" t="n">
        <v>15190000</v>
      </c>
      <c r="H7" s="154" t="n"/>
      <c r="M7" s="149">
        <f>IFERROR(C7-W6Q3FY26!C7,"OOS")</f>
        <v/>
      </c>
      <c r="N7" s="147">
        <f>IF(M7=0,"",$A7 &amp; IF(M7&gt;0," tăng "," giảm ") &amp; TEXT(ABS(M7)/1000,"0") &amp; "K = " &amp; TEXT(C7/1000,"#.##0") &amp; "K")</f>
        <v/>
      </c>
      <c r="O7" s="150">
        <f>IFERROR(D7-W6Q3FY26!D7,"OOS")</f>
        <v/>
      </c>
      <c r="P7" s="147">
        <f>IF(O7=0,"",$A7 &amp; IF(O7&gt;0," tăng "," giảm ") &amp; TEXT(ABS(O7)/1000,"0") &amp; "K = " &amp; TEXT(D7/1000,"#.##0") &amp; "K")</f>
        <v/>
      </c>
      <c r="Q7" s="150">
        <f>IFERROR(E7-W6Q3FY26!E7,"OOS")</f>
        <v/>
      </c>
      <c r="R7" s="147">
        <f>IF(Q7=0,"",$A7 &amp; IF(Q7&gt;0," tăng "," giảm ") &amp; TEXT(ABS(Q7)/1000,"0") &amp; "K = " &amp; TEXT(E7/1000,"#.##0") &amp; "K")</f>
        <v/>
      </c>
      <c r="S7" s="150">
        <f>IFERROR(F7-W6Q3FY26!F7,"OOS")</f>
        <v/>
      </c>
      <c r="T7" s="147">
        <f>IF(S7=0,"",$A7 &amp; IF(S7&gt;0," tăng "," giảm ") &amp; TEXT(ABS(S7)/1000,"0") &amp; "K = " &amp; TEXT(F7/1000,"#.##0") &amp; "K")</f>
        <v/>
      </c>
      <c r="U7" s="150">
        <f>IFERROR(G7-W6Q3FY26!G7,"OOS")</f>
        <v/>
      </c>
      <c r="V7" s="147">
        <f>IF(U7=0,"",$A7 &amp; IF(U7&gt;0," tăng "," giảm ") &amp; TEXT(ABS(U7)/1000,"0") &amp; "K = " &amp; TEXT(G7/1000,"#.##0") &amp; "K")</f>
        <v/>
      </c>
    </row>
    <row r="8" ht="15.95" customHeight="1" s="35">
      <c r="A8" t="inlineStr">
        <is>
          <t>iPhone 16 128GB</t>
        </is>
      </c>
      <c r="B8" s="71" t="n"/>
      <c r="C8" s="138" t="n">
        <v>20690000</v>
      </c>
      <c r="D8" s="138" t="n">
        <v>20590000</v>
      </c>
      <c r="E8" s="140" t="n">
        <v>20490000</v>
      </c>
      <c r="F8" s="133" t="n">
        <v>20590000</v>
      </c>
      <c r="G8" s="111" t="n">
        <v>20490000</v>
      </c>
      <c r="H8" s="154" t="n"/>
      <c r="M8" s="149">
        <f>IFERROR(C8-W6Q3FY26!C8,"OOS")</f>
        <v/>
      </c>
      <c r="N8" s="147">
        <f>IF(M8=0,"",$A8 &amp; IF(M8&gt;0," tăng "," giảm ") &amp; TEXT(ABS(M8)/1000,"0") &amp; "K = " &amp; TEXT(C8/1000,"#.##0") &amp; "K")</f>
        <v/>
      </c>
      <c r="O8" s="150">
        <f>IFERROR(D8-W6Q3FY26!D8,"OOS")</f>
        <v/>
      </c>
      <c r="P8" s="147">
        <f>IF(O8=0,"",$A8 &amp; IF(O8&gt;0," tăng "," giảm ") &amp; TEXT(ABS(O8)/1000,"0") &amp; "K = " &amp; TEXT(D8/1000,"#.##0") &amp; "K")</f>
        <v/>
      </c>
      <c r="Q8" s="150">
        <f>IFERROR(E8-W6Q3FY26!E8,"OOS")</f>
        <v/>
      </c>
      <c r="R8" s="147">
        <f>IF(Q8=0,"",$A8 &amp; IF(Q8&gt;0," tăng "," giảm ") &amp; TEXT(ABS(Q8)/1000,"0") &amp; "K = " &amp; TEXT(E8/1000,"#.##0") &amp; "K")</f>
        <v/>
      </c>
      <c r="S8" s="150">
        <f>IFERROR(F8-W6Q3FY26!F8,"OOS")</f>
        <v/>
      </c>
      <c r="T8" s="147">
        <f>IF(S8=0,"",$A8 &amp; IF(S8&gt;0," tăng "," giảm ") &amp; TEXT(ABS(S8)/1000,"0") &amp; "K = " &amp; TEXT(F8/1000,"#.##0") &amp; "K")</f>
        <v/>
      </c>
      <c r="U8" s="150">
        <f>IFERROR(G8-W6Q3FY26!G8,"OOS")</f>
        <v/>
      </c>
      <c r="V8" s="147">
        <f>IF(U8=0,"",$A8 &amp; IF(U8&gt;0," tăng "," giảm ") &amp; TEXT(ABS(U8)/1000,"0") &amp; "K = " &amp; TEXT(G8/1000,"#.##0") &amp; "K")</f>
        <v/>
      </c>
    </row>
    <row r="9" ht="15.95" customHeight="1" s="35">
      <c r="A9" t="inlineStr">
        <is>
          <t>iPhone 16  Plus 128GB</t>
        </is>
      </c>
      <c r="B9" s="3" t="n"/>
      <c r="C9" s="141" t="n">
        <v>24490000</v>
      </c>
      <c r="D9" s="141" t="n">
        <v>23990000</v>
      </c>
      <c r="E9" s="140" t="n">
        <v>24790000</v>
      </c>
      <c r="F9" s="133" t="n">
        <v>24290000</v>
      </c>
      <c r="G9" s="112" t="n">
        <v>24290000</v>
      </c>
      <c r="H9" s="154" t="n"/>
      <c r="M9" s="149">
        <f>IFERROR(C9-W6Q3FY26!C9,"OOS")</f>
        <v/>
      </c>
      <c r="N9" s="147">
        <f>IF(M9=0,"",$A9 &amp; IF(M9&gt;0," tăng "," giảm ") &amp; TEXT(ABS(M9)/1000,"0") &amp; "K = " &amp; TEXT(C9/1000,"#.##0") &amp; "K")</f>
        <v/>
      </c>
      <c r="O9" s="150">
        <f>IFERROR(D9-W6Q3FY26!D9,"OOS")</f>
        <v/>
      </c>
      <c r="P9" s="147">
        <f>IF(O9=0,"",$A9 &amp; IF(O9&gt;0," tăng "," giảm ") &amp; TEXT(ABS(O9)/1000,"0") &amp; "K = " &amp; TEXT(D9/1000,"#.##0") &amp; "K")</f>
        <v/>
      </c>
      <c r="Q9" s="150">
        <f>IFERROR(E9-W6Q3FY26!E9,"OOS")</f>
        <v/>
      </c>
      <c r="R9" s="147">
        <f>IF(Q9=0,"",$A9 &amp; IF(Q9&gt;0," tăng "," giảm ") &amp; TEXT(ABS(Q9)/1000,"0") &amp; "K = " &amp; TEXT(E9/1000,"#.##0") &amp; "K")</f>
        <v/>
      </c>
      <c r="S9" s="150">
        <f>IFERROR(F9-W6Q3FY26!F9,"OOS")</f>
        <v/>
      </c>
      <c r="T9" s="147">
        <f>IF(S9=0,"",$A9 &amp; IF(S9&gt;0," tăng "," giảm ") &amp; TEXT(ABS(S9)/1000,"0") &amp; "K = " &amp; TEXT(F9/1000,"#.##0") &amp; "K")</f>
        <v/>
      </c>
      <c r="U9" s="150">
        <f>IFERROR(G9-W6Q3FY26!G9,"OOS")</f>
        <v/>
      </c>
      <c r="V9" s="147">
        <f>IF(U9=0,"",$A9 &amp; IF(U9&gt;0," tăng "," giảm ") &amp; TEXT(ABS(U9)/1000,"0") &amp; "K = " &amp; TEXT(G9/1000,"#.##0") &amp; "K")</f>
        <v/>
      </c>
    </row>
    <row r="10" ht="15.95" customHeight="1" s="35">
      <c r="A10" t="inlineStr">
        <is>
          <t>iPhone 15  128GB</t>
        </is>
      </c>
      <c r="B10" s="25" t="n"/>
      <c r="C10" s="141" t="n">
        <v>17990000</v>
      </c>
      <c r="D10" s="141" t="n">
        <v>17690000</v>
      </c>
      <c r="E10" s="155" t="n">
        <v>17190000</v>
      </c>
      <c r="F10" s="133" t="n">
        <v>17890000</v>
      </c>
      <c r="G10" s="111" t="n">
        <v>17390000</v>
      </c>
      <c r="H10" s="154" t="n"/>
      <c r="M10" s="149">
        <f>IFERROR(C10-W6Q3FY26!C10,"OOS")</f>
        <v/>
      </c>
      <c r="N10" s="147">
        <f>IF(M10=0,"",$A10 &amp; IF(M10&gt;0," tăng "," giảm ") &amp; TEXT(ABS(M10)/1000,"0") &amp; "K = " &amp; TEXT(C10/1000,"#.##0") &amp; "K")</f>
        <v/>
      </c>
      <c r="O10" s="150">
        <f>IFERROR(D10-W6Q3FY26!D10,"OOS")</f>
        <v/>
      </c>
      <c r="P10" s="147">
        <f>IF(O10=0,"",$A10 &amp; IF(O10&gt;0," tăng "," giảm ") &amp; TEXT(ABS(O10)/1000,"0") &amp; "K = " &amp; TEXT(D10/1000,"#.##0") &amp; "K")</f>
        <v/>
      </c>
      <c r="Q10" s="150">
        <f>IFERROR(E10-W6Q3FY26!E10,"OOS")</f>
        <v/>
      </c>
      <c r="R10" s="147">
        <f>IF(Q10=0,"",$A10 &amp; IF(Q10&gt;0," tăng "," giảm ") &amp; TEXT(ABS(Q10)/1000,"0") &amp; "K = " &amp; TEXT(E10/1000,"#.##0") &amp; "K")</f>
        <v/>
      </c>
      <c r="S10" s="150">
        <f>IFERROR(F10-W6Q3FY26!F10,"OOS")</f>
        <v/>
      </c>
      <c r="T10" s="147">
        <f>IF(S10=0,"",$A10 &amp; IF(S10&gt;0," tăng "," giảm ") &amp; TEXT(ABS(S10)/1000,"0") &amp; "K = " &amp; TEXT(F10/1000,"#.##0") &amp; "K")</f>
        <v/>
      </c>
      <c r="U10" s="150">
        <f>IFERROR(G10-W6Q3FY26!G10,"OOS")</f>
        <v/>
      </c>
      <c r="V10" s="147">
        <f>IF(U10=0,"",$A10 &amp; IF(U10&gt;0," tăng "," giảm ") &amp; TEXT(ABS(U10)/1000,"0") &amp; "K = " &amp; TEXT(G10/1000,"#.##0") &amp; "K")</f>
        <v/>
      </c>
    </row>
    <row r="11" ht="15" customHeight="1" s="35">
      <c r="A11" t="inlineStr">
        <is>
          <t>iPhone 15  Plus 128GB</t>
        </is>
      </c>
      <c r="B11" s="25" t="n"/>
      <c r="C11" s="136" t="n">
        <v>17990000</v>
      </c>
      <c r="D11" s="136" t="inlineStr">
        <is>
          <t>OOS</t>
        </is>
      </c>
      <c r="E11" s="131" t="inlineStr">
        <is>
          <t>OOS</t>
        </is>
      </c>
      <c r="F11" s="111" t="inlineStr">
        <is>
          <t>OOS</t>
        </is>
      </c>
      <c r="G11" s="111" t="inlineStr">
        <is>
          <t>OOS</t>
        </is>
      </c>
      <c r="H11" s="154" t="n"/>
      <c r="M11" s="149">
        <f>IFERROR(C11-W6Q3FY26!C11,"OOS")</f>
        <v/>
      </c>
      <c r="N11" s="147">
        <f>IF(M11=0,"",$A11 &amp; IF(M11&gt;0," tăng "," giảm ") &amp; TEXT(ABS(M11)/1000,"0") &amp; "K = " &amp; TEXT(C11/1000,"#.##0") &amp; "K")</f>
        <v/>
      </c>
      <c r="O11" s="150">
        <f>IFERROR(D11-W6Q3FY26!D11,"OOS")</f>
        <v/>
      </c>
      <c r="P11" s="147">
        <f>IF(O11=0,"",$A11 &amp; IF(O11&gt;0," tăng "," giảm ") &amp; TEXT(ABS(O11)/1000,"0") &amp; "K = " &amp; TEXT(D11/1000,"#.##0") &amp; "K")</f>
        <v/>
      </c>
      <c r="Q11" s="150">
        <f>IFERROR(E11-W6Q3FY26!E11,"OOS")</f>
        <v/>
      </c>
      <c r="R11" s="147">
        <f>IF(Q11=0,"",$A11 &amp; IF(Q11&gt;0," tăng "," giảm ") &amp; TEXT(ABS(Q11)/1000,"0") &amp; "K = " &amp; TEXT(E11/1000,"#.##0") &amp; "K")</f>
        <v/>
      </c>
      <c r="S11" s="150">
        <f>IFERROR(F11-W6Q3FY26!F11,"OOS")</f>
        <v/>
      </c>
      <c r="T11" s="147">
        <f>IF(S11=0,"",$A11 &amp; IF(S11&gt;0," tăng "," giảm ") &amp; TEXT(ABS(S11)/1000,"0") &amp; "K = " &amp; TEXT(F11/1000,"#.##0") &amp; "K")</f>
        <v/>
      </c>
      <c r="U11" s="150">
        <f>IFERROR(G11-W6Q3FY26!G11,"OOS")</f>
        <v/>
      </c>
      <c r="V11" s="147">
        <f>IF(U11=0,"",$A11 &amp; IF(U11&gt;0," tăng "," giảm ") &amp; TEXT(ABS(U11)/1000,"0") &amp; "K = " &amp; TEXT(G11/1000,"#.##0") &amp; "K")</f>
        <v/>
      </c>
    </row>
    <row r="12" ht="15.95" customHeight="1" s="35">
      <c r="A12" t="inlineStr">
        <is>
          <t>iPhone 14 128GB</t>
        </is>
      </c>
      <c r="B12" s="25" t="n"/>
      <c r="C12" s="136" t="n">
        <v>13990000</v>
      </c>
      <c r="D12" s="136" t="n">
        <v>13990000</v>
      </c>
      <c r="E12" s="131" t="n">
        <v>13790000</v>
      </c>
      <c r="F12" s="133" t="n">
        <v>13990000</v>
      </c>
      <c r="G12" s="111" t="n">
        <v>12990000</v>
      </c>
      <c r="H12" s="154" t="n"/>
      <c r="M12" s="149">
        <f>IFERROR(C12-W6Q3FY26!C12,"OOS")</f>
        <v/>
      </c>
      <c r="N12" s="147">
        <f>IF(M12=0,"",$A12 &amp; IF(M12&gt;0," tăng "," giảm ") &amp; TEXT(ABS(M12)/1000,"0") &amp; "K = " &amp; TEXT(C12/1000,"#.##0") &amp; "K")</f>
        <v/>
      </c>
      <c r="O12" s="150">
        <f>IFERROR(D12-W6Q3FY26!D12,"OOS")</f>
        <v/>
      </c>
      <c r="P12" s="147">
        <f>IF(O12=0,"",$A12 &amp; IF(O12&gt;0," tăng "," giảm ") &amp; TEXT(ABS(O12)/1000,"0") &amp; "K = " &amp; TEXT(D12/1000,"#.##0") &amp; "K")</f>
        <v/>
      </c>
      <c r="Q12" s="150">
        <f>IFERROR(E12-W6Q3FY26!E12,"OOS")</f>
        <v/>
      </c>
      <c r="R12" s="147">
        <f>IF(Q12=0,"",$A12 &amp; IF(Q12&gt;0," tăng "," giảm ") &amp; TEXT(ABS(Q12)/1000,"0") &amp; "K = " &amp; TEXT(E12/1000,"#.##0") &amp; "K")</f>
        <v/>
      </c>
      <c r="S12" s="150">
        <f>IFERROR(F12-W6Q3FY26!F12,"OOS")</f>
        <v/>
      </c>
      <c r="T12" s="147">
        <f>IF(S12=0,"",$A12 &amp; IF(S12&gt;0," tăng "," giảm ") &amp; TEXT(ABS(S12)/1000,"0") &amp; "K = " &amp; TEXT(F12/1000,"#.##0") &amp; "K")</f>
        <v/>
      </c>
      <c r="U12" s="150">
        <f>IFERROR(G12-W6Q3FY26!G12,"OOS")</f>
        <v/>
      </c>
      <c r="V12" s="147">
        <f>IF(U12=0,"",$A12 &amp; IF(U12&gt;0," tăng "," giảm ") &amp; TEXT(ABS(U12)/1000,"0") &amp; "K = " &amp; TEXT(G12/1000,"#.##0") &amp; "K")</f>
        <v/>
      </c>
    </row>
    <row r="13" ht="15.95" customHeight="1" s="35">
      <c r="A13" t="inlineStr">
        <is>
          <t>iPhone 13  128GB</t>
        </is>
      </c>
      <c r="B13" s="3" t="n"/>
      <c r="C13" s="136" t="n">
        <v>11990000</v>
      </c>
      <c r="D13" s="136" t="n">
        <v>11990000</v>
      </c>
      <c r="E13" s="140" t="n">
        <v>12090000</v>
      </c>
      <c r="F13" s="133" t="n">
        <v>11990000</v>
      </c>
      <c r="G13" s="111" t="n">
        <v>11890000</v>
      </c>
      <c r="H13" s="154" t="n"/>
      <c r="M13" s="149">
        <f>IFERROR(C13-W6Q3FY26!C13,"OOS")</f>
        <v/>
      </c>
      <c r="N13" s="147">
        <f>IF(M13=0,"",$A13 &amp; IF(M13&gt;0," tăng "," giảm ") &amp; TEXT(ABS(M13)/1000,"0") &amp; "K = " &amp; TEXT(C13/1000,"#.##0") &amp; "K")</f>
        <v/>
      </c>
      <c r="O13" s="150">
        <f>IFERROR(D13-W6Q3FY26!D13,"OOS")</f>
        <v/>
      </c>
      <c r="P13" s="147">
        <f>IF(O13=0,"",$A13 &amp; IF(O13&gt;0," tăng "," giảm ") &amp; TEXT(ABS(O13)/1000,"0") &amp; "K = " &amp; TEXT(D13/1000,"#.##0") &amp; "K")</f>
        <v/>
      </c>
      <c r="Q13" s="150">
        <f>IFERROR(E13-W6Q3FY26!E13,"OOS")</f>
        <v/>
      </c>
      <c r="R13" s="147">
        <f>IF(Q13=0,"",$A13 &amp; IF(Q13&gt;0," tăng "," giảm ") &amp; TEXT(ABS(Q13)/1000,"0") &amp; "K = " &amp; TEXT(E13/1000,"#.##0") &amp; "K")</f>
        <v/>
      </c>
      <c r="S13" s="150">
        <f>IFERROR(F13-W6Q3FY26!F13,"OOS")</f>
        <v/>
      </c>
      <c r="T13" s="147">
        <f>IF(S13=0,"",$A13 &amp; IF(S13&gt;0," tăng "," giảm ") &amp; TEXT(ABS(S13)/1000,"0") &amp; "K = " &amp; TEXT(F13/1000,"#.##0") &amp; "K")</f>
        <v/>
      </c>
      <c r="U13" s="150">
        <f>IFERROR(G13-W6Q3FY26!G13,"OOS")</f>
        <v/>
      </c>
      <c r="V13" s="147">
        <f>IF(U13=0,"",$A13 &amp; IF(U13&gt;0," tăng "," giảm ") &amp; TEXT(ABS(U13)/1000,"0") &amp; "K = " &amp; TEXT(G13/1000,"#.##0") &amp; "K")</f>
        <v/>
      </c>
    </row>
    <row r="14" ht="15.95" customHeight="1" s="35">
      <c r="A14" t="inlineStr">
        <is>
          <t>iPad Mini 7 128GB Wifi</t>
        </is>
      </c>
      <c r="B14" s="25" t="n"/>
      <c r="C14" s="141" t="n">
        <v>13290000</v>
      </c>
      <c r="D14" s="141" t="n">
        <v>13290000</v>
      </c>
      <c r="E14" s="140" t="n">
        <v>13290000</v>
      </c>
      <c r="F14" s="133" t="n">
        <v>12890000</v>
      </c>
      <c r="G14" s="112" t="n">
        <v>12890000</v>
      </c>
      <c r="H14" s="154" t="n"/>
      <c r="M14" s="149">
        <f>IFERROR(C14-W6Q3FY26!C14,"OOS")</f>
        <v/>
      </c>
      <c r="N14" s="147">
        <f>IF(M14=0,"",$A14 &amp; IF(M14&gt;0," tăng "," giảm ") &amp; TEXT(ABS(M14)/1000,"0") &amp; "K = " &amp; TEXT(C14/1000,"#.##0") &amp; "K")</f>
        <v/>
      </c>
      <c r="O14" s="150">
        <f>IFERROR(D14-W6Q3FY26!D14,"OOS")</f>
        <v/>
      </c>
      <c r="P14" s="147">
        <f>IF(O14=0,"",$A14 &amp; IF(O14&gt;0," tăng "," giảm ") &amp; TEXT(ABS(O14)/1000,"0") &amp; "K = " &amp; TEXT(D14/1000,"#.##0") &amp; "K")</f>
        <v/>
      </c>
      <c r="Q14" s="150">
        <f>IFERROR(E14-W6Q3FY26!E14,"OOS")</f>
        <v/>
      </c>
      <c r="R14" s="147">
        <f>IF(Q14=0,"",$A14 &amp; IF(Q14&gt;0," tăng "," giảm ") &amp; TEXT(ABS(Q14)/1000,"0") &amp; "K = " &amp; TEXT(E14/1000,"#.##0") &amp; "K")</f>
        <v/>
      </c>
      <c r="S14" s="150">
        <f>IFERROR(F14-W6Q3FY26!F14,"OOS")</f>
        <v/>
      </c>
      <c r="T14" s="147">
        <f>IF(S14=0,"",$A14 &amp; IF(S14&gt;0," tăng "," giảm ") &amp; TEXT(ABS(S14)/1000,"0") &amp; "K = " &amp; TEXT(F14/1000,"#.##0") &amp; "K")</f>
        <v/>
      </c>
      <c r="U14" s="150">
        <f>IFERROR(G14-W6Q3FY26!G14,"OOS")</f>
        <v/>
      </c>
      <c r="V14" s="147">
        <f>IF(U14=0,"",$A14 &amp; IF(U14&gt;0," tăng "," giảm ") &amp; TEXT(ABS(U14)/1000,"0") &amp; "K = " &amp; TEXT(G14/1000,"#.##0") &amp; "K")</f>
        <v/>
      </c>
    </row>
    <row r="15" ht="15.95" customHeight="1" s="35">
      <c r="A15" t="inlineStr">
        <is>
          <t>iPad Gen 11th  128GB Wifi</t>
        </is>
      </c>
      <c r="B15" s="3" t="n"/>
      <c r="C15" s="136" t="n">
        <v>9290000</v>
      </c>
      <c r="D15" s="136" t="n">
        <v>9290000</v>
      </c>
      <c r="E15" s="155" t="n">
        <v>9190000</v>
      </c>
      <c r="F15" s="133" t="n">
        <v>9290000</v>
      </c>
      <c r="G15" s="111" t="n">
        <v>9190000</v>
      </c>
      <c r="H15" s="154" t="n"/>
      <c r="M15" s="149">
        <f>IFERROR(C15-W6Q3FY26!C15,"OOS")</f>
        <v/>
      </c>
      <c r="N15" s="147">
        <f>IF(M15=0,"",$A15 &amp; IF(M15&gt;0," tăng "," giảm ") &amp; TEXT(ABS(M15)/1000,"0") &amp; "K = " &amp; TEXT(C15/1000,"#.##0") &amp; "K")</f>
        <v/>
      </c>
      <c r="O15" s="150">
        <f>IFERROR(D15-W6Q3FY26!D15,"OOS")</f>
        <v/>
      </c>
      <c r="P15" s="147">
        <f>IF(O15=0,"",$A15 &amp; IF(O15&gt;0," tăng "," giảm ") &amp; TEXT(ABS(O15)/1000,"0") &amp; "K = " &amp; TEXT(D15/1000,"#.##0") &amp; "K")</f>
        <v/>
      </c>
      <c r="Q15" s="150">
        <f>IFERROR(E15-W6Q3FY26!E15,"OOS")</f>
        <v/>
      </c>
      <c r="R15" s="147">
        <f>IF(Q15=0,"",$A15 &amp; IF(Q15&gt;0," tăng "," giảm ") &amp; TEXT(ABS(Q15)/1000,"0") &amp; "K = " &amp; TEXT(E15/1000,"#.##0") &amp; "K")</f>
        <v/>
      </c>
      <c r="S15" s="150">
        <f>IFERROR(F15-W6Q3FY26!F15,"OOS")</f>
        <v/>
      </c>
      <c r="T15" s="147">
        <f>IF(S15=0,"",$A15 &amp; IF(S15&gt;0," tăng "," giảm ") &amp; TEXT(ABS(S15)/1000,"0") &amp; "K = " &amp; TEXT(F15/1000,"#.##0") &amp; "K")</f>
        <v/>
      </c>
      <c r="U15" s="150">
        <f>IFERROR(G15-W6Q3FY26!G15,"OOS")</f>
        <v/>
      </c>
      <c r="V15" s="147">
        <f>IF(U15=0,"",$A15 &amp; IF(U15&gt;0," tăng "," giảm ") &amp; TEXT(ABS(U15)/1000,"0") &amp; "K = " &amp; TEXT(G15/1000,"#.##0") &amp; "K")</f>
        <v/>
      </c>
      <c r="W15" t="inlineStr">
        <is>
          <t xml:space="preserve">MW </t>
        </is>
      </c>
      <c r="X15" t="inlineStr">
        <is>
          <t>Hải</t>
        </is>
      </c>
      <c r="Y15" t="b">
        <v>0</v>
      </c>
    </row>
    <row r="16" ht="15.95" customHeight="1" s="35">
      <c r="A16" t="inlineStr">
        <is>
          <t>iPad Air M3  11" 128 GB Wifi</t>
        </is>
      </c>
      <c r="B16" s="3" t="n"/>
      <c r="C16" s="136" t="n">
        <v>15290000</v>
      </c>
      <c r="D16" s="136" t="n">
        <v>14990000</v>
      </c>
      <c r="E16" s="155" t="n">
        <v>14290000</v>
      </c>
      <c r="F16" s="133" t="n">
        <v>15190000</v>
      </c>
      <c r="G16" s="111" t="inlineStr">
        <is>
          <t>OOS</t>
        </is>
      </c>
      <c r="H16" s="154" t="n"/>
      <c r="M16" s="149">
        <f>IFERROR(C16-W6Q3FY26!C16,"OOS")</f>
        <v/>
      </c>
      <c r="N16" s="147">
        <f>IF(M16=0,"",$A16 &amp; IF(M16&gt;0," tăng "," giảm ") &amp; TEXT(ABS(M16)/1000,"0") &amp; "K = " &amp; TEXT(C16/1000,"#.##0") &amp; "K")</f>
        <v/>
      </c>
      <c r="O16" s="150">
        <f>IFERROR(D16-W6Q3FY26!D16,"OOS")</f>
        <v/>
      </c>
      <c r="P16" s="147">
        <f>IF(O16=0,"",$A16 &amp; IF(O16&gt;0," tăng "," giảm ") &amp; TEXT(ABS(O16)/1000,"0") &amp; "K = " &amp; TEXT(D16/1000,"#.##0") &amp; "K")</f>
        <v/>
      </c>
      <c r="Q16" s="150">
        <f>IFERROR(E16-W6Q3FY26!E16,"OOS")</f>
        <v/>
      </c>
      <c r="R16" s="147">
        <f>IF(Q16=0,"",$A16 &amp; IF(Q16&gt;0," tăng "," giảm ") &amp; TEXT(ABS(Q16)/1000,"0") &amp; "K = " &amp; TEXT(E16/1000,"#.##0") &amp; "K")</f>
        <v/>
      </c>
      <c r="S16" s="150">
        <f>IFERROR(F16-W6Q3FY26!F16,"OOS")</f>
        <v/>
      </c>
      <c r="T16" s="147">
        <f>IF(S16=0,"",$A16 &amp; IF(S16&gt;0," tăng "," giảm ") &amp; TEXT(ABS(S16)/1000,"0") &amp; "K = " &amp; TEXT(F16/1000,"#.##0") &amp; "K")</f>
        <v/>
      </c>
      <c r="U16" s="150">
        <f>IFERROR(G16-W6Q3FY26!G16,"OOS")</f>
        <v/>
      </c>
      <c r="V16" s="147">
        <f>IF(U16=0,"",$A16 &amp; IF(U16&gt;0," tăng "," giảm ") &amp; TEXT(ABS(U16)/1000,"0") &amp; "K = " &amp; TEXT(G16/1000,"#.##0") &amp; "K")</f>
        <v/>
      </c>
      <c r="W16" t="inlineStr">
        <is>
          <t>FPT</t>
        </is>
      </c>
      <c r="X16" t="inlineStr">
        <is>
          <t>Trang</t>
        </is>
      </c>
      <c r="Y16" t="b">
        <v>0</v>
      </c>
    </row>
    <row r="17" ht="15.95" customHeight="1" s="35">
      <c r="A17" t="inlineStr">
        <is>
          <t>iPad Air M4  11" 128 GB Wifi</t>
        </is>
      </c>
      <c r="B17" s="3" t="n"/>
      <c r="C17" s="141" t="n">
        <v>16390000</v>
      </c>
      <c r="D17" s="141" t="n">
        <v>16390000</v>
      </c>
      <c r="E17" s="155" t="n">
        <v>15790000</v>
      </c>
      <c r="F17" s="111" t="n">
        <v>16390000</v>
      </c>
      <c r="G17" s="111" t="n">
        <v>16090000</v>
      </c>
      <c r="H17" s="154" t="n"/>
      <c r="M17" s="149">
        <f>IFERROR(C17-W6Q3FY26!C17,"OOS")</f>
        <v/>
      </c>
      <c r="N17" s="147" t="n"/>
      <c r="O17" s="150">
        <f>IFERROR(D17-W6Q3FY26!D17,"OOS")</f>
        <v/>
      </c>
      <c r="P17" s="147">
        <f>IF(O17=0,"",$A17 &amp; IF(O17&gt;0," tăng "," giảm ") &amp; TEXT(ABS(O17)/1000,"0") &amp; "K = " &amp; TEXT(D17/1000,"#.##0") &amp; "K")</f>
        <v/>
      </c>
      <c r="Q17" s="150">
        <f>IFERROR(E17-W6Q3FY26!E17,"OOS")</f>
        <v/>
      </c>
      <c r="R17" s="147">
        <f>IF(Q17=0,"",$A17 &amp; IF(Q17&gt;0," tăng "," giảm ") &amp; TEXT(ABS(Q17)/1000,"0") &amp; "K = " &amp; TEXT(E17/1000,"#.##0") &amp; "K")</f>
        <v/>
      </c>
      <c r="S17" s="150">
        <f>IFERROR(F17-W6Q3FY26!F17,"OOS")</f>
        <v/>
      </c>
      <c r="T17" s="147" t="n"/>
      <c r="U17" s="150">
        <f>IFERROR(G17-W6Q3FY26!G17,"OOS")</f>
        <v/>
      </c>
      <c r="V17" s="147">
        <f>IF(U17=0,"",$A17 &amp; IF(U17&gt;0," tăng "," giảm ") &amp; TEXT(ABS(U17)/1000,"0") &amp; "K = " &amp; TEXT(G17/1000,"#.##0") &amp; "K")</f>
        <v/>
      </c>
      <c r="W17" t="inlineStr">
        <is>
          <t>Viettel</t>
        </is>
      </c>
      <c r="X17" t="inlineStr">
        <is>
          <t>Nghĩa</t>
        </is>
      </c>
      <c r="Y17" t="b">
        <v>1</v>
      </c>
    </row>
    <row r="18" ht="15" customHeight="1" s="35">
      <c r="A18" t="inlineStr">
        <is>
          <t>iPad Air M3  13" 128 GB Wifi</t>
        </is>
      </c>
      <c r="B18" s="25" t="n"/>
      <c r="C18" s="136" t="n">
        <v>18890000</v>
      </c>
      <c r="D18" s="136" t="n">
        <v>19990000</v>
      </c>
      <c r="E18" s="155" t="n">
        <v>19190000</v>
      </c>
      <c r="F18" s="133" t="n">
        <v>18790000</v>
      </c>
      <c r="G18" s="111" t="inlineStr">
        <is>
          <t>OOS</t>
        </is>
      </c>
      <c r="H18" s="154" t="n"/>
      <c r="M18" s="149">
        <f>IFERROR(C18-W6Q3FY26!C18,"OOS")</f>
        <v/>
      </c>
      <c r="N18" s="147">
        <f>IF(M18=0,"",$A18 &amp; IF(M18&gt;0," tăng "," giảm ") &amp; TEXT(ABS(M18)/1000,"0") &amp; "K = " &amp; TEXT(C18/1000,"#.##0") &amp; "K")</f>
        <v/>
      </c>
      <c r="O18" s="150">
        <f>IFERROR(D18-W6Q3FY26!D18,"OOS")</f>
        <v/>
      </c>
      <c r="P18" s="147">
        <f>IF(O18=0,"",$A18 &amp; IF(O18&gt;0," tăng "," giảm ") &amp; TEXT(ABS(O18)/1000,"0") &amp; "K = " &amp; TEXT(D18/1000,"#.##0") &amp; "K")</f>
        <v/>
      </c>
      <c r="Q18" s="150">
        <f>IFERROR(E18-W6Q3FY26!E18,"OOS")</f>
        <v/>
      </c>
      <c r="R18" s="147">
        <f>IF(Q18=0,"",$A18 &amp; IF(Q18&gt;0," tăng "," giảm ") &amp; TEXT(ABS(Q18)/1000,"0") &amp; "K = " &amp; TEXT(E18/1000,"#.##0") &amp; "K")</f>
        <v/>
      </c>
      <c r="S18" s="150">
        <f>IFERROR(F18-W6Q3FY26!F18,"OOS")</f>
        <v/>
      </c>
      <c r="T18" s="147">
        <f>IF(S18=0,"",$A18 &amp; IF(S18&gt;0," tăng "," giảm ") &amp; TEXT(ABS(S18)/1000,"0") &amp; "K = " &amp; TEXT(F18/1000,"#.##0") &amp; "K")</f>
        <v/>
      </c>
      <c r="U18" s="150">
        <f>IFERROR(G18-W6Q3FY26!G18,"OOS")</f>
        <v/>
      </c>
      <c r="V18" s="147">
        <f>IF(U18=0,"",$A18 &amp; IF(U18&gt;0," tăng "," giảm ") &amp; TEXT(ABS(U18)/1000,"0") &amp; "K = " &amp; TEXT(G18/1000,"#.##0") &amp; "K")</f>
        <v/>
      </c>
      <c r="W18" t="inlineStr">
        <is>
          <t>CPS</t>
        </is>
      </c>
      <c r="X18" t="inlineStr">
        <is>
          <t>Duy</t>
        </is>
      </c>
      <c r="Y18" t="b">
        <v>0</v>
      </c>
    </row>
    <row r="19" ht="15.95" customHeight="1" s="35">
      <c r="A19" t="inlineStr">
        <is>
          <t>iPad Air M4  13" 128 GB Wifi</t>
        </is>
      </c>
      <c r="B19" s="25" t="n"/>
      <c r="C19" s="136" t="n">
        <v>22090000</v>
      </c>
      <c r="D19" s="136" t="n">
        <v>21590000</v>
      </c>
      <c r="E19" s="162" t="n">
        <v>21290000</v>
      </c>
      <c r="F19" s="136" t="n">
        <v>21990000</v>
      </c>
      <c r="G19" s="111" t="n">
        <v>21590000</v>
      </c>
      <c r="H19" s="154" t="n"/>
      <c r="M19" s="149">
        <f>IFERROR(C19-W6Q3FY26!C19,"OOS")</f>
        <v/>
      </c>
      <c r="N19" s="147" t="n"/>
      <c r="O19" s="150">
        <f>IFERROR(D19-W6Q3FY26!D19,"OOS")</f>
        <v/>
      </c>
      <c r="P19" s="147">
        <f>IF(O19=0,"",$A19 &amp; IF(O19&gt;0," tăng "," giảm ") &amp; TEXT(ABS(O19)/1000,"0") &amp; "K = " &amp; TEXT(D19/1000,"#.##0") &amp; "K")</f>
        <v/>
      </c>
      <c r="Q19" s="150">
        <f>IFERROR(E19-W6Q3FY26!E19,"OOS")</f>
        <v/>
      </c>
      <c r="R19" s="147">
        <f>IF(Q19=0,"",$A19 &amp; IF(Q19&gt;0," tăng "," giảm ") &amp; TEXT(ABS(Q19)/1000,"0") &amp; "K = " &amp; TEXT(E19/1000,"#.##0") &amp; "K")</f>
        <v/>
      </c>
      <c r="S19" s="150">
        <f>IFERROR(F19-W6Q3FY26!F19,"OOS")</f>
        <v/>
      </c>
      <c r="T19" s="147" t="n"/>
      <c r="U19" s="150">
        <f>IFERROR(G19-W6Q3FY26!G19,"OOS")</f>
        <v/>
      </c>
      <c r="V19" s="147" t="n"/>
    </row>
    <row r="20" ht="15.95" customHeight="1" s="35">
      <c r="A20" t="inlineStr">
        <is>
          <t>iPad Pro M5 11” 256GB Wifi</t>
        </is>
      </c>
      <c r="B20" s="3" t="n"/>
      <c r="C20" s="141" t="n">
        <v>28090000</v>
      </c>
      <c r="D20" s="141" t="n">
        <v>28090000</v>
      </c>
      <c r="E20" s="124" t="n">
        <v>28490000</v>
      </c>
      <c r="F20" s="133" t="n">
        <v>28090000</v>
      </c>
      <c r="G20" s="111" t="n">
        <v>28090000</v>
      </c>
      <c r="H20" s="154" t="n"/>
      <c r="M20" s="149">
        <f>IFERROR(C20-W6Q3FY26!C20,"OOS")</f>
        <v/>
      </c>
      <c r="N20" s="147">
        <f>IF(M20=0,"",$A20 &amp; IF(M20&gt;0," tăng "," giảm ") &amp; TEXT(ABS(M20)/1000,"0") &amp; "K = " &amp; TEXT(C20/1000,"#.##0") &amp; "K")</f>
        <v/>
      </c>
      <c r="O20" s="150">
        <f>IFERROR(D20-W6Q3FY26!D20,"OOS")</f>
        <v/>
      </c>
      <c r="P20" s="147">
        <f>IF(O20=0,"",$A20 &amp; IF(O20&gt;0," tăng "," giảm ") &amp; TEXT(ABS(O20)/1000,"0") &amp; "K = " &amp; TEXT(D20/1000,"#.##0") &amp; "K")</f>
        <v/>
      </c>
      <c r="Q20" s="150">
        <f>IFERROR(E20-W6Q3FY26!E20,"OOS")</f>
        <v/>
      </c>
      <c r="R20" s="147">
        <f>IF(Q20=0,"",$A20 &amp; IF(Q20&gt;0," tăng "," giảm ") &amp; TEXT(ABS(Q20)/1000,"0") &amp; "K = " &amp; TEXT(E20/1000,"#.##0") &amp; "K")</f>
        <v/>
      </c>
      <c r="S20" s="150">
        <f>IFERROR(F20-W6Q3FY26!F20,"OOS")</f>
        <v/>
      </c>
      <c r="T20" s="147">
        <f>IF(S20=0,"",$A20 &amp; IF(S20&gt;0," tăng "," giảm ") &amp; TEXT(ABS(S20)/1000,"0") &amp; "K = " &amp; TEXT(F20/1000,"#.##0") &amp; "K")</f>
        <v/>
      </c>
      <c r="U20" s="150">
        <f>IFERROR(G20-W6Q3FY26!G20,"OOS")</f>
        <v/>
      </c>
      <c r="V20" s="147">
        <f>IF(U20=0,"",$A20 &amp; IF(U20&gt;0," tăng "," giảm ") &amp; TEXT(ABS(U20)/1000,"0") &amp; "K = " &amp; TEXT(G20/1000,"#.##0") &amp; "K")</f>
        <v/>
      </c>
      <c r="W20" t="inlineStr">
        <is>
          <t>ShopDunk</t>
        </is>
      </c>
      <c r="X20" t="inlineStr">
        <is>
          <t>Đạt</t>
        </is>
      </c>
      <c r="Y20" t="b">
        <v>1</v>
      </c>
    </row>
    <row r="21" ht="15.95" customHeight="1" s="35">
      <c r="A21" t="inlineStr">
        <is>
          <t>iPad Pro M5 13” 256GB Wifi</t>
        </is>
      </c>
      <c r="B21" s="3" t="n"/>
      <c r="C21" s="136" t="n">
        <v>38890000</v>
      </c>
      <c r="D21" s="140" t="n">
        <v>38690000</v>
      </c>
      <c r="E21" s="113" t="n">
        <v>37990000</v>
      </c>
      <c r="F21" s="133" t="n">
        <v>38690000</v>
      </c>
      <c r="G21" s="111" t="n">
        <v>38990000</v>
      </c>
      <c r="H21" s="154" t="n"/>
      <c r="M21" s="149">
        <f>IFERROR(C21-W6Q3FY26!C21,"OOS")</f>
        <v/>
      </c>
      <c r="N21" s="147">
        <f>IF(M21=0,"",$A21 &amp; IF(M21&gt;0," tăng "," giảm ") &amp; TEXT(ABS(M21)/1000,"0") &amp; "K = " &amp; TEXT(C21/1000,"#.##0") &amp; "K")</f>
        <v/>
      </c>
      <c r="O21" s="150">
        <f>IFERROR(D21-W6Q3FY26!D21,"OOS")</f>
        <v/>
      </c>
      <c r="P21" s="147">
        <f>IF(O21=0,"",$A21 &amp; IF(O21&gt;0," tăng "," giảm ") &amp; TEXT(ABS(O21)/1000,"0") &amp; "K = " &amp; TEXT(D21/1000,"#.##0") &amp; "K")</f>
        <v/>
      </c>
      <c r="Q21" s="150">
        <f>IFERROR(E21-W6Q3FY26!E21,"OOS")</f>
        <v/>
      </c>
      <c r="R21" s="147">
        <f>IF(Q21=0,"",$A21 &amp; IF(Q21&gt;0," tăng "," giảm ") &amp; TEXT(ABS(Q21)/1000,"0") &amp; "K = " &amp; TEXT(E21/1000,"#.##0") &amp; "K")</f>
        <v/>
      </c>
      <c r="S21" s="150">
        <f>IFERROR(F21-W6Q3FY26!F21,"OOS")</f>
        <v/>
      </c>
      <c r="T21" s="147">
        <f>IF(S21=0,"",$A21 &amp; IF(S21&gt;0," tăng "," giảm ") &amp; TEXT(ABS(S21)/1000,"0") &amp; "K = " &amp; TEXT(F21/1000,"#.##0") &amp; "K")</f>
        <v/>
      </c>
      <c r="U21" s="150">
        <f>IFERROR(G21-W6Q3FY26!G21,"OOS")</f>
        <v/>
      </c>
      <c r="V21" s="147">
        <f>IF(U21=0,"",$A21 &amp; IF(U21&gt;0," tăng "," giảm ") &amp; TEXT(ABS(U21)/1000,"0") &amp; "K = " &amp; TEXT(G21/1000,"#.##0") &amp; "K")</f>
        <v/>
      </c>
    </row>
    <row r="22" ht="15" customHeight="1" s="35">
      <c r="A22" t="inlineStr">
        <is>
          <t>AW SE 3 (40mm GPS)</t>
        </is>
      </c>
      <c r="B22" s="25" t="n"/>
      <c r="C22" s="136" t="n">
        <v>6790000</v>
      </c>
      <c r="D22" s="141" t="n">
        <v>6790000</v>
      </c>
      <c r="E22" s="140" t="n">
        <v>6490000</v>
      </c>
      <c r="F22" s="134" t="n">
        <v>6790000</v>
      </c>
      <c r="G22" s="112" t="n">
        <v>6590000</v>
      </c>
      <c r="H22" s="154" t="n"/>
      <c r="M22" s="149">
        <f>IFERROR(C22-W6Q3FY26!C22,"OOS")</f>
        <v/>
      </c>
      <c r="N22" s="147">
        <f>IF(M22=0,"",$A22 &amp; IF(M22&gt;0," tăng "," giảm ") &amp; TEXT(ABS(M22)/1000,"0") &amp; "K = " &amp; TEXT(C22/1000,"#.##0") &amp; "K")</f>
        <v/>
      </c>
      <c r="O22" s="150">
        <f>IFERROR(D22-W6Q3FY26!D22,"OOS")</f>
        <v/>
      </c>
      <c r="P22" s="147">
        <f>IF(O22=0,"",$A22 &amp; IF(O22&gt;0," tăng "," giảm ") &amp; TEXT(ABS(O22)/1000,"0") &amp; "K = " &amp; TEXT(D22/1000,"#.##0") &amp; "K")</f>
        <v/>
      </c>
      <c r="Q22" s="150">
        <f>IFERROR(E22-W6Q3FY26!E22,"OOS")</f>
        <v/>
      </c>
      <c r="R22" s="147">
        <f>IF(Q22=0,"",$A22 &amp; IF(Q22&gt;0," tăng "," giảm ") &amp; TEXT(ABS(Q22)/1000,"0") &amp; "K = " &amp; TEXT(E22/1000,"#.##0") &amp; "K")</f>
        <v/>
      </c>
      <c r="S22" s="150">
        <f>IFERROR(F22-W6Q3FY26!F22,"OOS")</f>
        <v/>
      </c>
      <c r="T22" s="147">
        <f>IF(S22=0,"",$A22 &amp; IF(S22&gt;0," tăng "," giảm ") &amp; TEXT(ABS(S22)/1000,"0") &amp; "K = " &amp; TEXT(F22/1000,"#.##0") &amp; "K")</f>
        <v/>
      </c>
      <c r="U22" s="150">
        <f>IFERROR(G22-W6Q3FY26!G22,"OOS")</f>
        <v/>
      </c>
      <c r="V22" s="147">
        <f>IF(U22=0,"",$A22 &amp; IF(U22&gt;0," tăng "," giảm ") &amp; TEXT(ABS(U22)/1000,"0") &amp; "K = " &amp; TEXT(G22/1000,"#.##0") &amp; "K")</f>
        <v/>
      </c>
    </row>
    <row r="23" ht="15" customHeight="1" s="35">
      <c r="A23" t="inlineStr">
        <is>
          <t>AW SE 3 (40mm LTE)</t>
        </is>
      </c>
      <c r="B23" s="25" t="n"/>
      <c r="C23" s="141" t="n">
        <v>8390000</v>
      </c>
      <c r="D23" s="141" t="n">
        <v>8290000</v>
      </c>
      <c r="E23" s="155" t="n">
        <v>7990000</v>
      </c>
      <c r="F23" s="134" t="n">
        <v>8390000</v>
      </c>
      <c r="G23" s="111" t="n">
        <v>7990000</v>
      </c>
      <c r="H23" s="154" t="n"/>
      <c r="M23" s="149">
        <f>IFERROR(C23-W6Q3FY26!C23,"OOS")</f>
        <v/>
      </c>
      <c r="N23" s="147">
        <f>IF(M23=0,"",$A23 &amp; IF(M23&gt;0," tăng "," giảm ") &amp; TEXT(ABS(M23)/1000,"0") &amp; "K = " &amp; TEXT(C23/1000,"#.##0") &amp; "K")</f>
        <v/>
      </c>
      <c r="O23" s="150">
        <f>IFERROR(D23-W6Q3FY26!D23,"OOS")</f>
        <v/>
      </c>
      <c r="P23" s="147">
        <f>IF(O23=0,"",$A23 &amp; IF(O23&gt;0," tăng "," giảm ") &amp; TEXT(ABS(O23)/1000,"0") &amp; "K = " &amp; TEXT(D23/1000,"#.##0") &amp; "K")</f>
        <v/>
      </c>
      <c r="Q23" s="150">
        <f>IFERROR(E23-W6Q3FY26!E23,"OOS")</f>
        <v/>
      </c>
      <c r="R23" s="147">
        <f>IF(Q23=0,"",$A23 &amp; IF(Q23&gt;0," tăng "," giảm ") &amp; TEXT(ABS(Q23)/1000,"0") &amp; "K = " &amp; TEXT(E23/1000,"#.##0") &amp; "K")</f>
        <v/>
      </c>
      <c r="S23" s="150">
        <f>IFERROR(F23-W6Q3FY26!F23,"OOS")</f>
        <v/>
      </c>
      <c r="T23" s="147">
        <f>IF(S23=0,"",$A23 &amp; IF(S23&gt;0," tăng "," giảm ") &amp; TEXT(ABS(S23)/1000,"0") &amp; "K = " &amp; TEXT(F23/1000,"#.##0") &amp; "K")</f>
        <v/>
      </c>
      <c r="U23" s="150">
        <f>IFERROR(G23-W6Q3FY26!G23,"OOS")</f>
        <v/>
      </c>
      <c r="V23" s="147">
        <f>IF(U23=0,"",$A23 &amp; IF(U23&gt;0," tăng "," giảm ") &amp; TEXT(ABS(U23)/1000,"0") &amp; "K = " &amp; TEXT(G23/1000,"#.##0") &amp; "K")</f>
        <v/>
      </c>
    </row>
    <row r="24" ht="15" customHeight="1" s="35">
      <c r="A24" t="inlineStr">
        <is>
          <t>AW SE 3 (44mm GPS)</t>
        </is>
      </c>
      <c r="B24" s="25" t="n"/>
      <c r="C24" s="136" t="n">
        <v>7690000</v>
      </c>
      <c r="D24" s="141" t="n">
        <v>7690000</v>
      </c>
      <c r="E24" s="140" t="n">
        <v>7390000</v>
      </c>
      <c r="F24" s="134" t="n">
        <v>7690000</v>
      </c>
      <c r="G24" s="167" t="n">
        <v>7390000</v>
      </c>
      <c r="H24" s="154" t="n"/>
      <c r="M24" s="149">
        <f>IFERROR(C24-W6Q3FY26!C24,"OOS")</f>
        <v/>
      </c>
      <c r="N24" s="147">
        <f>IF(M24=0,"",$A24 &amp; IF(M24&gt;0," tăng "," giảm ") &amp; TEXT(ABS(M24)/1000,"0") &amp; "K = " &amp; TEXT(C24/1000,"#.##0") &amp; "K")</f>
        <v/>
      </c>
      <c r="O24" s="150">
        <f>IFERROR(D24-W6Q3FY26!D24,"OOS")</f>
        <v/>
      </c>
      <c r="P24" s="147">
        <f>IF(O24=0,"",$A24 &amp; IF(O24&gt;0," tăng "," giảm ") &amp; TEXT(ABS(O24)/1000,"0") &amp; "K = " &amp; TEXT(D24/1000,"#.##0") &amp; "K")</f>
        <v/>
      </c>
      <c r="Q24" s="150">
        <f>IFERROR(E24-W6Q3FY26!E24,"OOS")</f>
        <v/>
      </c>
      <c r="R24" s="147">
        <f>IF(Q24=0,"",$A24 &amp; IF(Q24&gt;0," tăng "," giảm ") &amp; TEXT(ABS(Q24)/1000,"0") &amp; "K = " &amp; TEXT(E24/1000,"#.##0") &amp; "K")</f>
        <v/>
      </c>
      <c r="S24" s="150">
        <f>IFERROR(F24-W6Q3FY26!F24,"OOS")</f>
        <v/>
      </c>
      <c r="T24" s="147">
        <f>IF(S24=0,"",$A24 &amp; IF(S24&gt;0," tăng "," giảm ") &amp; TEXT(ABS(S24)/1000,"0") &amp; "K = " &amp; TEXT(F24/1000,"#.##0") &amp; "K")</f>
        <v/>
      </c>
      <c r="U24" s="150">
        <f>IFERROR(G24-W6Q3FY26!G24,"OOS")</f>
        <v/>
      </c>
      <c r="V24" s="147">
        <f>IF(U24=0,"",$A24 &amp; IF(U24&gt;0," tăng "," giảm ") &amp; TEXT(ABS(U24)/1000,"0") &amp; "K = " &amp; TEXT(G24/1000,"#.##0") &amp; "K")</f>
        <v/>
      </c>
    </row>
    <row r="25" ht="15" customHeight="1" s="35">
      <c r="A25" t="inlineStr">
        <is>
          <t>AW SE 3 (44mm LTE)</t>
        </is>
      </c>
      <c r="B25" s="25" t="n"/>
      <c r="C25" s="136" t="n">
        <v>9190000</v>
      </c>
      <c r="D25" s="141" t="n">
        <v>9190000</v>
      </c>
      <c r="E25" s="140" t="n">
        <v>8990000</v>
      </c>
      <c r="F25" s="134" t="n">
        <v>9190000</v>
      </c>
      <c r="G25" s="111" t="n">
        <v>8790000</v>
      </c>
      <c r="H25" s="154" t="n"/>
      <c r="M25" s="149">
        <f>IFERROR(C25-W6Q3FY26!C25,"OOS")</f>
        <v/>
      </c>
      <c r="N25" s="147">
        <f>IF(M25=0,"",$A25 &amp; IF(M25&gt;0," tăng "," giảm ") &amp; TEXT(ABS(M25)/1000,"0") &amp; "K = " &amp; TEXT(C25/1000,"#.##0") &amp; "K")</f>
        <v/>
      </c>
      <c r="O25" s="150">
        <f>IFERROR(D25-W6Q3FY26!D25,"OOS")</f>
        <v/>
      </c>
      <c r="P25" s="147">
        <f>IF(O25=0,"",$A25 &amp; IF(O25&gt;0," tăng "," giảm ") &amp; TEXT(ABS(O25)/1000,"0") &amp; "K = " &amp; TEXT(D25/1000,"#.##0") &amp; "K")</f>
        <v/>
      </c>
      <c r="Q25" s="150">
        <f>IFERROR(E25-W6Q3FY26!E25,"OOS")</f>
        <v/>
      </c>
      <c r="R25" s="147">
        <f>IF(Q25=0,"",$A25 &amp; IF(Q25&gt;0," tăng "," giảm ") &amp; TEXT(ABS(Q25)/1000,"0") &amp; "K = " &amp; TEXT(E25/1000,"#.##0") &amp; "K")</f>
        <v/>
      </c>
      <c r="S25" s="150">
        <f>IFERROR(F25-W6Q3FY26!F25,"OOS")</f>
        <v/>
      </c>
      <c r="T25" s="147">
        <f>IF(S25=0,"",$A25 &amp; IF(S25&gt;0," tăng "," giảm ") &amp; TEXT(ABS(S25)/1000,"0") &amp; "K = " &amp; TEXT(F25/1000,"#.##0") &amp; "K")</f>
        <v/>
      </c>
      <c r="U25" s="150">
        <f>IFERROR(G25-W6Q3FY26!G25,"OOS")</f>
        <v/>
      </c>
      <c r="V25" s="147">
        <f>IF(U25=0,"",$A25 &amp; IF(U25&gt;0," tăng "," giảm ") &amp; TEXT(ABS(U25)/1000,"0") &amp; "K = " &amp; TEXT(G25/1000,"#.##0") &amp; "K")</f>
        <v/>
      </c>
    </row>
    <row r="26" ht="15" customHeight="1" s="35">
      <c r="A26" t="inlineStr">
        <is>
          <t>AW S11 (42mm GPS)</t>
        </is>
      </c>
      <c r="B26" s="3" t="n"/>
      <c r="C26" s="141" t="n">
        <v>11190000</v>
      </c>
      <c r="D26" s="141" t="n">
        <v>11990000</v>
      </c>
      <c r="E26" s="140" t="n">
        <v>10690000</v>
      </c>
      <c r="F26" s="134" t="n">
        <v>11190000</v>
      </c>
      <c r="G26" s="112" t="n">
        <v>10890000</v>
      </c>
      <c r="H26" s="154" t="n"/>
      <c r="M26" s="149">
        <f>IFERROR(C26-W6Q3FY26!C26,"OOS")</f>
        <v/>
      </c>
      <c r="N26" s="147">
        <f>IF(M26=0,"",$A26 &amp; IF(M26&gt;0," tăng "," giảm ") &amp; TEXT(ABS(M26)/1000,"0") &amp; "K = " &amp; TEXT(C26/1000,"#.##0") &amp; "K")</f>
        <v/>
      </c>
      <c r="O26" s="150">
        <f>IFERROR(D26-W6Q3FY26!D26,"OOS")</f>
        <v/>
      </c>
      <c r="P26" s="147">
        <f>IF(O26=0,"",$A26 &amp; IF(O26&gt;0," tăng "," giảm ") &amp; TEXT(ABS(O26)/1000,"0") &amp; "K = " &amp; TEXT(D26/1000,"#.##0") &amp; "K")</f>
        <v/>
      </c>
      <c r="Q26" s="150">
        <f>IFERROR(E26-W6Q3FY26!E26,"OOS")</f>
        <v/>
      </c>
      <c r="R26" s="147">
        <f>IF(Q26=0,"",$A26 &amp; IF(Q26&gt;0," tăng "," giảm ") &amp; TEXT(ABS(Q26)/1000,"0") &amp; "K = " &amp; TEXT(E26/1000,"#.##0") &amp; "K")</f>
        <v/>
      </c>
      <c r="S26" s="150">
        <f>IFERROR(F26-W6Q3FY26!F26,"OOS")</f>
        <v/>
      </c>
      <c r="T26" s="147">
        <f>IF(S26=0,"",$A26 &amp; IF(S26&gt;0," tăng "," giảm ") &amp; TEXT(ABS(S26)/1000,"0") &amp; "K = " &amp; TEXT(F26/1000,"#.##0") &amp; "K")</f>
        <v/>
      </c>
      <c r="U26" s="150">
        <f>IFERROR(G26-W6Q3FY26!G26,"OOS")</f>
        <v/>
      </c>
      <c r="V26" s="147">
        <f>IF(U26=0,"",$A26 &amp; IF(U26&gt;0," tăng "," giảm ") &amp; TEXT(ABS(U26)/1000,"0") &amp; "K = " &amp; TEXT(G26/1000,"#.##0") &amp; "K")</f>
        <v/>
      </c>
    </row>
    <row r="27" ht="15" customHeight="1" s="35">
      <c r="A27" t="inlineStr">
        <is>
          <t>AW S11 (42mm CEL)</t>
        </is>
      </c>
      <c r="B27" s="3" t="n"/>
      <c r="C27" s="141" t="inlineStr">
        <is>
          <t>OOS</t>
        </is>
      </c>
      <c r="D27" s="141" t="n">
        <v>14090000</v>
      </c>
      <c r="E27" s="140" t="n">
        <v>13990000</v>
      </c>
      <c r="F27" s="134" t="n">
        <v>13990000</v>
      </c>
      <c r="G27" s="112" t="n">
        <v>13990000</v>
      </c>
      <c r="H27" s="154" t="n"/>
      <c r="M27" s="149">
        <f>IFERROR(C27-W6Q3FY26!C27,"OOS")</f>
        <v/>
      </c>
      <c r="N27" s="147">
        <f>IF(M27=0,"",$A27 &amp; IF(M27&gt;0," tăng "," giảm ") &amp; TEXT(ABS(M27)/1000,"0") &amp; "K = " &amp; TEXT(C27/1000,"#.##0") &amp; "K")</f>
        <v/>
      </c>
      <c r="O27" s="150">
        <f>IFERROR(D27-W6Q3FY26!D27,"OOS")</f>
        <v/>
      </c>
      <c r="P27" s="147">
        <f>IF(O27=0,"",$A27 &amp; IF(O27&gt;0," tăng "," giảm ") &amp; TEXT(ABS(O27)/1000,"0") &amp; "K = " &amp; TEXT(D27/1000,"#.##0") &amp; "K")</f>
        <v/>
      </c>
      <c r="Q27" s="150">
        <f>IFERROR(E27-W6Q3FY26!E27,"OOS")</f>
        <v/>
      </c>
      <c r="R27" s="147">
        <f>IF(Q27=0,"",$A27 &amp; IF(Q27&gt;0," tăng "," giảm ") &amp; TEXT(ABS(Q27)/1000,"0") &amp; "K = " &amp; TEXT(E27/1000,"#.##0") &amp; "K")</f>
        <v/>
      </c>
      <c r="S27" s="150">
        <f>IFERROR(F27-W6Q3FY26!F27,"OOS")</f>
        <v/>
      </c>
      <c r="T27" s="147">
        <f>IF(S27=0,"",$A27 &amp; IF(S27&gt;0," tăng "," giảm ") &amp; TEXT(ABS(S27)/1000,"0") &amp; "K = " &amp; TEXT(F27/1000,"#.##0") &amp; "K")</f>
        <v/>
      </c>
      <c r="U27" s="150">
        <f>IFERROR(G27-W6Q3FY26!G27,"OOS")</f>
        <v/>
      </c>
      <c r="V27" s="147">
        <f>IF(U27=0,"",$A27 &amp; IF(U27&gt;0," tăng "," giảm ") &amp; TEXT(ABS(U27)/1000,"0") &amp; "K = " &amp; TEXT(G27/1000,"#.##0") &amp; "K")</f>
        <v/>
      </c>
    </row>
    <row r="28" ht="15" customHeight="1" s="35">
      <c r="A28" t="inlineStr">
        <is>
          <t>AW S11 (46mm GPS)</t>
        </is>
      </c>
      <c r="B28" s="3" t="n"/>
      <c r="C28" s="141" t="n">
        <v>11990000</v>
      </c>
      <c r="D28" s="141" t="n">
        <v>11990000</v>
      </c>
      <c r="E28" s="140" t="n">
        <v>11490000</v>
      </c>
      <c r="F28" s="134" t="n">
        <v>11990000</v>
      </c>
      <c r="G28" s="112" t="n">
        <v>11990000</v>
      </c>
      <c r="H28" s="154" t="n"/>
      <c r="M28" s="149">
        <f>IFERROR(C28-W6Q3FY26!C28,"OOS")</f>
        <v/>
      </c>
      <c r="N28" s="147">
        <f>IF(M28=0,"",$A28 &amp; IF(M28&gt;0," tăng "," giảm ") &amp; TEXT(ABS(M28)/1000,"0") &amp; "K = " &amp; TEXT(C28/1000,"#.##0") &amp; "K")</f>
        <v/>
      </c>
      <c r="O28" s="150">
        <f>IFERROR(D28-W6Q3FY26!D28,"OOS")</f>
        <v/>
      </c>
      <c r="P28" s="147">
        <f>IF(O28=0,"",$A28 &amp; IF(O28&gt;0," tăng "," giảm ") &amp; TEXT(ABS(O28)/1000,"0") &amp; "K = " &amp; TEXT(D28/1000,"#.##0") &amp; "K")</f>
        <v/>
      </c>
      <c r="Q28" s="150">
        <f>IFERROR(E28-W6Q3FY26!E28,"OOS")</f>
        <v/>
      </c>
      <c r="R28" s="147">
        <f>IF(Q28=0,"",$A28 &amp; IF(Q28&gt;0," tăng "," giảm ") &amp; TEXT(ABS(Q28)/1000,"0") &amp; "K = " &amp; TEXT(E28/1000,"#.##0") &amp; "K")</f>
        <v/>
      </c>
      <c r="S28" s="150">
        <f>IFERROR(F28-W6Q3FY26!F28,"OOS")</f>
        <v/>
      </c>
      <c r="T28" s="147">
        <f>IF(S28=0,"",$A28 &amp; IF(S28&gt;0," tăng "," giảm ") &amp; TEXT(ABS(S28)/1000,"0") &amp; "K = " &amp; TEXT(F28/1000,"#.##0") &amp; "K")</f>
        <v/>
      </c>
      <c r="U28" s="150">
        <f>IFERROR(G28-W6Q3FY26!G28,"OOS")</f>
        <v/>
      </c>
      <c r="V28" s="147">
        <f>IF(U28=0,"",$A28 &amp; IF(U28&gt;0," tăng "," giảm ") &amp; TEXT(ABS(U28)/1000,"0") &amp; "K = " &amp; TEXT(G28/1000,"#.##0") &amp; "K")</f>
        <v/>
      </c>
    </row>
    <row r="29" ht="15" customHeight="1" s="35">
      <c r="A29" t="inlineStr">
        <is>
          <t>AW S11 (46mm CEL)</t>
        </is>
      </c>
      <c r="B29" s="3" t="n"/>
      <c r="C29" s="141" t="n">
        <v>14990000</v>
      </c>
      <c r="D29" s="141" t="n">
        <v>14990000</v>
      </c>
      <c r="E29" s="140" t="n">
        <v>14490000</v>
      </c>
      <c r="F29" s="134" t="n">
        <v>14990000</v>
      </c>
      <c r="G29" s="112" t="n">
        <v>14990000</v>
      </c>
      <c r="H29" s="154" t="n"/>
      <c r="M29" s="149">
        <f>IFERROR(C29-W6Q3FY26!C29,"OOS")</f>
        <v/>
      </c>
      <c r="N29" s="147">
        <f>IF(M29=0,"",$A29 &amp; IF(M29&gt;0," tăng "," giảm ") &amp; TEXT(ABS(M29)/1000,"0") &amp; "K = " &amp; TEXT(C29/1000,"#.##0") &amp; "K")</f>
        <v/>
      </c>
      <c r="O29" s="150">
        <f>IFERROR(D29-W6Q3FY26!D29,"OOS")</f>
        <v/>
      </c>
      <c r="P29" s="147">
        <f>IF(O29=0,"",$A29 &amp; IF(O29&gt;0," tăng "," giảm ") &amp; TEXT(ABS(O29)/1000,"0") &amp; "K = " &amp; TEXT(D29/1000,"#.##0") &amp; "K")</f>
        <v/>
      </c>
      <c r="Q29" s="150">
        <f>IFERROR(E29-W6Q3FY26!E29,"OOS")</f>
        <v/>
      </c>
      <c r="R29" s="147">
        <f>IF(Q29=0,"",$A29 &amp; IF(Q29&gt;0," tăng "," giảm ") &amp; TEXT(ABS(Q29)/1000,"0") &amp; "K = " &amp; TEXT(E29/1000,"#.##0") &amp; "K")</f>
        <v/>
      </c>
      <c r="S29" s="150">
        <f>IFERROR(F29-W6Q3FY26!F29,"OOS")</f>
        <v/>
      </c>
      <c r="T29" s="147">
        <f>IF(S29=0,"",$A29 &amp; IF(S29&gt;0," tăng "," giảm ") &amp; TEXT(ABS(S29)/1000,"0") &amp; "K = " &amp; TEXT(F29/1000,"#.##0") &amp; "K")</f>
        <v/>
      </c>
      <c r="U29" s="150">
        <f>IFERROR(G29-W6Q3FY26!G29,"OOS")</f>
        <v/>
      </c>
      <c r="V29" s="147">
        <f>IF(U29=0,"",$A29 &amp; IF(U29&gt;0," tăng "," giảm ") &amp; TEXT(ABS(U29)/1000,"0") &amp; "K = " &amp; TEXT(G29/1000,"#.##0") &amp; "K")</f>
        <v/>
      </c>
    </row>
    <row r="30" ht="15.95" customHeight="1" s="35">
      <c r="A30" t="inlineStr">
        <is>
          <t>AW Ultra 3 (49mm)</t>
        </is>
      </c>
      <c r="B30" s="25" t="n"/>
      <c r="C30" s="136" t="n">
        <v>23490000</v>
      </c>
      <c r="D30" s="136" t="n">
        <v>22990000</v>
      </c>
      <c r="E30" s="113" t="n">
        <v>22490000</v>
      </c>
      <c r="F30" s="133" t="n">
        <v>22990000</v>
      </c>
      <c r="G30" s="111" t="n">
        <v>22990000</v>
      </c>
      <c r="H30" s="154" t="n"/>
      <c r="M30" s="149">
        <f>IFERROR(C30-W6Q3FY26!C30,"OOS")</f>
        <v/>
      </c>
      <c r="N30" s="147">
        <f>IF(M30=0,"",$A30 &amp; IF(M30&gt;0," tăng "," giảm ") &amp; TEXT(ABS(M30)/1000,"0") &amp; "K = " &amp; TEXT(C30/1000,"#.##0") &amp; "K")</f>
        <v/>
      </c>
      <c r="O30" s="150">
        <f>IFERROR(D30-W6Q3FY26!D30,"OOS")</f>
        <v/>
      </c>
      <c r="P30" s="147">
        <f>IF(O30=0,"",$A30 &amp; IF(O30&gt;0," tăng "," giảm ") &amp; TEXT(ABS(O30)/1000,"0") &amp; "K = " &amp; TEXT(D30/1000,"#.##0") &amp; "K")</f>
        <v/>
      </c>
      <c r="Q30" s="150">
        <f>IFERROR(E30-W6Q3FY26!E30,"OOS")</f>
        <v/>
      </c>
      <c r="R30" s="147">
        <f>IF(Q30=0,"",$A30 &amp; IF(Q30&gt;0," tăng "," giảm ") &amp; TEXT(ABS(Q30)/1000,"0") &amp; "K = " &amp; TEXT(E30/1000,"#.##0") &amp; "K")</f>
        <v/>
      </c>
      <c r="S30" s="150">
        <f>IFERROR(F30-W6Q3FY26!F30,"OOS")</f>
        <v/>
      </c>
      <c r="T30" s="147">
        <f>IF(S30=0,"",$A30 &amp; IF(S30&gt;0," tăng "," giảm ") &amp; TEXT(ABS(S30)/1000,"0") &amp; "K = " &amp; TEXT(F30/1000,"#.##0") &amp; "K")</f>
        <v/>
      </c>
      <c r="U30" s="150">
        <f>IFERROR(G30-W6Q3FY26!G30,"OOS")</f>
        <v/>
      </c>
      <c r="V30" s="147">
        <f>IF(U30=0,"",$A30 &amp; IF(U30&gt;0," tăng "," giảm ") &amp; TEXT(ABS(U30)/1000,"0") &amp; "K = " &amp; TEXT(G30/1000,"#.##0") &amp; "K")</f>
        <v/>
      </c>
    </row>
    <row r="31" ht="15.95" customHeight="1" s="35">
      <c r="A31" t="inlineStr">
        <is>
          <t>AirPods Pro 2 - 2023 (C-Type)</t>
        </is>
      </c>
      <c r="B31" s="3" t="n"/>
      <c r="C31" s="136" t="inlineStr">
        <is>
          <t>OOS</t>
        </is>
      </c>
      <c r="D31" s="136" t="inlineStr">
        <is>
          <t>OOS</t>
        </is>
      </c>
      <c r="E31" s="131" t="inlineStr">
        <is>
          <t>OOS</t>
        </is>
      </c>
      <c r="F31" s="133" t="n">
        <v>4990000</v>
      </c>
      <c r="G31" s="111" t="n">
        <v>5590000</v>
      </c>
      <c r="H31" s="154" t="n"/>
      <c r="M31" s="149">
        <f>IFERROR(C31-W6Q3FY26!C31,"OOS")</f>
        <v/>
      </c>
      <c r="N31" s="147">
        <f>IF(M31=0,"",$A31 &amp; IF(M31&gt;0," tăng "," giảm ") &amp; TEXT(ABS(M31)/1000,"0") &amp; "K = " &amp; TEXT(C31/1000,"#.##0") &amp; "K")</f>
        <v/>
      </c>
      <c r="O31" s="150">
        <f>IFERROR(D31-W6Q3FY26!D31,"OOS")</f>
        <v/>
      </c>
      <c r="P31" s="147">
        <f>IF(O31=0,"",$A31 &amp; IF(O31&gt;0," tăng "," giảm ") &amp; TEXT(ABS(O31)/1000,"0") &amp; "K = " &amp; TEXT(D31/1000,"#.##0") &amp; "K")</f>
        <v/>
      </c>
      <c r="Q31" s="150">
        <f>IFERROR(E31-W6Q3FY26!E31,"OOS")</f>
        <v/>
      </c>
      <c r="R31" s="147">
        <f>IF(Q31=0,"",$A31 &amp; IF(Q31&gt;0," tăng "," giảm ") &amp; TEXT(ABS(Q31)/1000,"0") &amp; "K = " &amp; TEXT(E31/1000,"#.##0") &amp; "K")</f>
        <v/>
      </c>
      <c r="S31" s="150">
        <f>IFERROR(F31-W6Q3FY26!F31,"OOS")</f>
        <v/>
      </c>
      <c r="T31" s="147">
        <f>IF(S31=0,"",$A31 &amp; IF(S31&gt;0," tăng "," giảm ") &amp; TEXT(ABS(S31)/1000,"0") &amp; "K = " &amp; TEXT(F31/1000,"#.##0") &amp; "K")</f>
        <v/>
      </c>
      <c r="U31" s="150">
        <f>IFERROR(G31-W6Q3FY26!G31,"OOS")</f>
        <v/>
      </c>
      <c r="V31" s="147">
        <f>IF(U31=0,"",$A31 &amp; IF(U31&gt;0," tăng "," giảm ") &amp; TEXT(ABS(U31)/1000,"0") &amp; "K = " &amp; TEXT(G31/1000,"#.##0") &amp; "K")</f>
        <v/>
      </c>
    </row>
    <row r="32" ht="15" customHeight="1" s="35">
      <c r="A32" t="inlineStr">
        <is>
          <t>AirPods 4 ANC</t>
        </is>
      </c>
      <c r="B32" s="3" t="n"/>
      <c r="C32" s="141" t="n">
        <v>4590000</v>
      </c>
      <c r="D32" s="141" t="n">
        <v>4590000</v>
      </c>
      <c r="E32" s="155" t="n">
        <v>4490000</v>
      </c>
      <c r="F32" s="134" t="n">
        <v>4590000</v>
      </c>
      <c r="G32" s="112" t="n">
        <v>4450000</v>
      </c>
      <c r="H32" s="154" t="n"/>
      <c r="M32" s="149">
        <f>IFERROR(C32-W6Q3FY26!C32,"OOS")</f>
        <v/>
      </c>
      <c r="N32" s="147">
        <f>IF(M32=0,"",$A32 &amp; IF(M32&gt;0," tăng "," giảm ") &amp; TEXT(ABS(M32)/1000,"0") &amp; "K = " &amp; TEXT(C32/1000,"#.##0") &amp; "K")</f>
        <v/>
      </c>
      <c r="O32" s="150">
        <f>IFERROR(D32-W6Q3FY26!D32,"OOS")</f>
        <v/>
      </c>
      <c r="P32" s="147">
        <f>IF(O32=0,"",$A32 &amp; IF(O32&gt;0," tăng "," giảm ") &amp; TEXT(ABS(O32)/1000,"0") &amp; "K = " &amp; TEXT(D32/1000,"#.##0") &amp; "K")</f>
        <v/>
      </c>
      <c r="Q32" s="150">
        <f>IFERROR(E32-W6Q3FY26!E32,"OOS")</f>
        <v/>
      </c>
      <c r="R32" s="147">
        <f>IF(Q32=0,"",$A32 &amp; IF(Q32&gt;0," tăng "," giảm ") &amp; TEXT(ABS(Q32)/1000,"0") &amp; "K = " &amp; TEXT(E32/1000,"#.##0") &amp; "K")</f>
        <v/>
      </c>
      <c r="S32" s="150">
        <f>IFERROR(F32-W6Q3FY26!F32,"OOS")</f>
        <v/>
      </c>
      <c r="T32" s="147">
        <f>IF(S32=0,"",$A32 &amp; IF(S32&gt;0," tăng "," giảm ") &amp; TEXT(ABS(S32)/1000,"0") &amp; "K = " &amp; TEXT(F32/1000,"#.##0") &amp; "K")</f>
        <v/>
      </c>
      <c r="U32" s="150">
        <f>IFERROR(G32-W6Q3FY26!G32,"OOS")</f>
        <v/>
      </c>
      <c r="V32" s="147">
        <f>IF(U32=0,"",$A32 &amp; IF(U32&gt;0," tăng "," giảm ") &amp; TEXT(ABS(U32)/1000,"0") &amp; "K = " &amp; TEXT(G32/1000,"#.##0") &amp; "K")</f>
        <v/>
      </c>
    </row>
    <row r="33" ht="15" customHeight="1" s="35">
      <c r="A33" t="inlineStr">
        <is>
          <t>AirPods 4 with charging case</t>
        </is>
      </c>
      <c r="B33" s="3" t="n"/>
      <c r="C33" s="141" t="n">
        <v>3490000</v>
      </c>
      <c r="D33" s="141" t="n">
        <v>3490000</v>
      </c>
      <c r="E33" s="155" t="n">
        <v>3390000</v>
      </c>
      <c r="F33" s="134" t="n">
        <v>3590000</v>
      </c>
      <c r="G33" s="112" t="n">
        <v>3190000</v>
      </c>
      <c r="H33" s="154" t="n"/>
      <c r="M33" s="149">
        <f>IFERROR(C33-W6Q3FY26!C33,"OOS")</f>
        <v/>
      </c>
      <c r="N33" s="147">
        <f>IF(M33=0,"",$A33 &amp; IF(M33&gt;0," tăng "," giảm ") &amp; TEXT(ABS(M33)/1000,"0") &amp; "K = " &amp; TEXT(C33/1000,"#.##0") &amp; "K")</f>
        <v/>
      </c>
      <c r="O33" s="150">
        <f>IFERROR(D33-W6Q3FY26!D33,"OOS")</f>
        <v/>
      </c>
      <c r="P33" s="147">
        <f>IF(O33=0,"",$A33 &amp; IF(O33&gt;0," tăng "," giảm ") &amp; TEXT(ABS(O33)/1000,"0") &amp; "K = " &amp; TEXT(D33/1000,"#.##0") &amp; "K")</f>
        <v/>
      </c>
      <c r="Q33" s="150">
        <f>IFERROR(E33-W6Q3FY26!E33,"OOS")</f>
        <v/>
      </c>
      <c r="R33" s="147">
        <f>IF(Q33=0,"",$A33 &amp; IF(Q33&gt;0," tăng "," giảm ") &amp; TEXT(ABS(Q33)/1000,"0") &amp; "K = " &amp; TEXT(E33/1000,"#.##0") &amp; "K")</f>
        <v/>
      </c>
      <c r="S33" s="150">
        <f>IFERROR(F33-W6Q3FY26!F33,"OOS")</f>
        <v/>
      </c>
      <c r="T33" s="147">
        <f>IF(S33=0,"",$A33 &amp; IF(S33&gt;0," tăng "," giảm ") &amp; TEXT(ABS(S33)/1000,"0") &amp; "K = " &amp; TEXT(F33/1000,"#.##0") &amp; "K")</f>
        <v/>
      </c>
      <c r="U33" s="150">
        <f>IFERROR(G33-W6Q3FY26!G33,"OOS")</f>
        <v/>
      </c>
      <c r="V33" s="147">
        <f>IF(U33=0,"",$A33 &amp; IF(U33&gt;0," tăng "," giảm ") &amp; TEXT(ABS(U33)/1000,"0") &amp; "K = " &amp; TEXT(G33/1000,"#.##0") &amp; "K")</f>
        <v/>
      </c>
    </row>
    <row r="34" ht="15" customHeight="1" s="35">
      <c r="A34" t="inlineStr">
        <is>
          <t>AirPods Pro 3</t>
        </is>
      </c>
      <c r="B34" s="3" t="n"/>
      <c r="C34" s="141" t="n">
        <v>6590000</v>
      </c>
      <c r="D34" s="141" t="n">
        <v>6590000</v>
      </c>
      <c r="E34" s="135" t="n">
        <v>6190000</v>
      </c>
      <c r="F34" s="134" t="n">
        <v>6490000</v>
      </c>
      <c r="G34" s="112" t="n">
        <v>6290000</v>
      </c>
      <c r="H34" s="154" t="n"/>
      <c r="M34" s="149">
        <f>IFERROR(C34-W6Q3FY26!C34,"OOS")</f>
        <v/>
      </c>
      <c r="N34" s="147">
        <f>IF(M34=0,"",$A34 &amp; IF(M34&gt;0," tăng "," giảm ") &amp; TEXT(ABS(M34)/1000,"0") &amp; "K = " &amp; TEXT(C34/1000,"#.##0") &amp; "K")</f>
        <v/>
      </c>
      <c r="O34" s="150">
        <f>IFERROR(D34-W6Q3FY26!D34,"OOS")</f>
        <v/>
      </c>
      <c r="P34" s="147">
        <f>IF(O34=0,"",$A34 &amp; IF(O34&gt;0," tăng "," giảm ") &amp; TEXT(ABS(O34)/1000,"0") &amp; "K = " &amp; TEXT(D34/1000,"#.##0") &amp; "K")</f>
        <v/>
      </c>
      <c r="Q34" s="150">
        <f>IFERROR(E34-W6Q3FY26!E34,"OOS")</f>
        <v/>
      </c>
      <c r="R34" s="147">
        <f>IF(Q34=0,"",$A34 &amp; IF(Q34&gt;0," tăng "," giảm ") &amp; TEXT(ABS(Q34)/1000,"0") &amp; "K = " &amp; TEXT(E34/1000,"#.##0") &amp; "K")</f>
        <v/>
      </c>
      <c r="S34" s="150">
        <f>IFERROR(F34-W6Q3FY26!F34,"OOS")</f>
        <v/>
      </c>
      <c r="T34" s="147">
        <f>IF(S34=0,"",$A34 &amp; IF(S34&gt;0," tăng "," giảm ") &amp; TEXT(ABS(S34)/1000,"0") &amp; "K = " &amp; TEXT(F34/1000,"#.##0") &amp; "K")</f>
        <v/>
      </c>
      <c r="U34" s="150">
        <f>IFERROR(G34-W6Q3FY26!G34,"OOS")</f>
        <v/>
      </c>
      <c r="V34" s="147">
        <f>IF(U34=0,"",$A34 &amp; IF(U34&gt;0," tăng "," giảm ") &amp; TEXT(ABS(U34)/1000,"0") &amp; "K = " &amp; TEXT(G34/1000,"#.##0") &amp; "K")</f>
        <v/>
      </c>
    </row>
    <row r="35" ht="15" customHeight="1" s="35">
      <c r="A35" t="inlineStr">
        <is>
          <t>MacBook Air 13" M5 16/512GB</t>
        </is>
      </c>
      <c r="B35" s="25" t="n"/>
      <c r="C35" s="141" t="n">
        <v>29490000</v>
      </c>
      <c r="D35" s="141" t="n">
        <v>29490000</v>
      </c>
      <c r="E35" s="143" t="n"/>
      <c r="F35" s="112" t="n">
        <v>29490000</v>
      </c>
      <c r="G35" s="112" t="n">
        <v>29290000</v>
      </c>
      <c r="H35" s="154" t="n"/>
      <c r="M35" s="149">
        <f>IFERROR(C35-W6Q3FY26!C35,"OOS")</f>
        <v/>
      </c>
      <c r="N35" s="147">
        <f>IF(M35=0,"",$A35 &amp; IF(M35&gt;0," tăng "," giảm ") &amp; TEXT(ABS(M35)/1000,"0") &amp; "K = " &amp; TEXT(C35/1000,"#.##0") &amp; "K")</f>
        <v/>
      </c>
      <c r="O35" s="150">
        <f>IFERROR(D35-W6Q3FY26!D35,"OOS")</f>
        <v/>
      </c>
      <c r="P35" s="147">
        <f>IF(O35=0,"",$A35 &amp; IF(O35&gt;0," tăng "," giảm ") &amp; TEXT(ABS(O35)/1000,"0") &amp; "K = " &amp; TEXT(D35/1000,"#.##0") &amp; "K")</f>
        <v/>
      </c>
      <c r="Q35" s="150">
        <f>IFERROR(E35-W6Q3FY26!E35,"OOS")</f>
        <v/>
      </c>
      <c r="R35" s="147">
        <f>IF(Q35=0,"",$A35 &amp; IF(Q35&gt;0," tăng "," giảm ") &amp; TEXT(ABS(Q35)/1000,"0") &amp; "K = " &amp; TEXT(E35/1000,"#.##0") &amp; "K")</f>
        <v/>
      </c>
      <c r="S35" s="150">
        <f>IFERROR(F35-W6Q3FY26!F35,"OOS")</f>
        <v/>
      </c>
      <c r="T35" s="147">
        <f>IF(S35=0,"",$A35 &amp; IF(S35&gt;0," tăng "," giảm ") &amp; TEXT(ABS(S35)/1000,"0") &amp; "K = " &amp; TEXT(F35/1000,"#.##0") &amp; "K")</f>
        <v/>
      </c>
      <c r="U35" s="150">
        <f>IFERROR(G35-W6Q3FY26!G35,"OOS")</f>
        <v/>
      </c>
      <c r="V35" s="147">
        <f>IF(U35=0,"",$A35 &amp; IF(U35&gt;0," tăng "," giảm ") &amp; TEXT(ABS(U35)/1000,"0") &amp; "K = " &amp; TEXT(G35/1000,"#.##0") &amp; "K")</f>
        <v/>
      </c>
    </row>
    <row r="36" ht="15.95" customHeight="1" s="35">
      <c r="A36" t="inlineStr">
        <is>
          <t>MacBook NEO A18 Pro ( 8/256GB)</t>
        </is>
      </c>
      <c r="B36" s="25" t="n"/>
      <c r="C36" s="136" t="n">
        <v>15990000</v>
      </c>
      <c r="D36" s="136" t="n">
        <v>15990000</v>
      </c>
      <c r="E36" s="143" t="n"/>
      <c r="F36" s="111" t="n">
        <v>15990000</v>
      </c>
      <c r="G36" s="111" t="n">
        <v>15890000</v>
      </c>
      <c r="H36" s="154" t="n"/>
      <c r="M36" s="149">
        <f>IFERROR(C36-W6Q3FY26!C36,"OOS")</f>
        <v/>
      </c>
      <c r="N36" s="147">
        <f>IF(M36=0,"",$A36 &amp; IF(M36&gt;0," tăng "," giảm ") &amp; TEXT(ABS(M36)/1000,"0") &amp; "K = " &amp; TEXT(C36/1000,"#.##0") &amp; "K")</f>
        <v/>
      </c>
      <c r="O36" s="150">
        <f>IFERROR(D36-W6Q3FY26!D36,"OOS")</f>
        <v/>
      </c>
      <c r="P36" s="147">
        <f>IF(O36=0,"",$A36 &amp; IF(O36&gt;0," tăng "," giảm ") &amp; TEXT(ABS(O36)/1000,"0") &amp; "K = " &amp; TEXT(D36/1000,"#.##0") &amp; "K")</f>
        <v/>
      </c>
      <c r="Q36" s="150">
        <f>IFERROR(E36-W6Q3FY26!E36,"OOS")</f>
        <v/>
      </c>
      <c r="R36" s="147">
        <f>IF(Q36=0,"",$A36 &amp; IF(Q36&gt;0," tăng "," giảm ") &amp; TEXT(ABS(Q36)/1000,"0") &amp; "K = " &amp; TEXT(E36/1000,"#.##0") &amp; "K")</f>
        <v/>
      </c>
      <c r="S36" s="150">
        <f>IFERROR(F36-W6Q3FY26!F36,"OOS")</f>
        <v/>
      </c>
      <c r="T36" s="147">
        <f>IF(S36=0,"",$A36 &amp; IF(S36&gt;0," tăng "," giảm ") &amp; TEXT(ABS(S36)/1000,"0") &amp; "K = " &amp; TEXT(F36/1000,"#.##0") &amp; "K")</f>
        <v/>
      </c>
      <c r="U36" s="150">
        <f>IFERROR(G36-W6Q3FY26!G36,"OOS")</f>
        <v/>
      </c>
      <c r="V36" s="147">
        <f>IF(U36=0,"",$A36 &amp; IF(U36&gt;0," tăng "," giảm ") &amp; TEXT(ABS(U36)/1000,"0") &amp; "K = " &amp; TEXT(G36/1000,"#.##0") &amp; "K")</f>
        <v/>
      </c>
    </row>
    <row r="37" ht="15.95" customHeight="1" s="35">
      <c r="A37" t="inlineStr">
        <is>
          <t>MacBook Air 13" M4 16/256GB</t>
        </is>
      </c>
      <c r="B37" s="3" t="n"/>
      <c r="C37" s="141" t="n">
        <v>25890000</v>
      </c>
      <c r="D37" s="136" t="inlineStr">
        <is>
          <t>OOS</t>
        </is>
      </c>
      <c r="E37" s="143" t="n"/>
      <c r="F37" s="133" t="n">
        <v>25890000</v>
      </c>
      <c r="G37" s="111" t="n">
        <v>24590000</v>
      </c>
      <c r="H37" s="154" t="n"/>
      <c r="J37" t="inlineStr">
        <is>
          <t>`</t>
        </is>
      </c>
      <c r="M37" s="149">
        <f>IFERROR(C37-W6Q3FY26!C37,"OOS")</f>
        <v/>
      </c>
      <c r="N37" s="147">
        <f>IF(M37=0,"",$A37 &amp; IF(M37&gt;0," tăng "," giảm ") &amp; TEXT(ABS(M37)/1000,"0") &amp; "K = " &amp; TEXT(C37/1000,"#.##0") &amp; "K")</f>
        <v/>
      </c>
      <c r="O37" s="150">
        <f>IFERROR(D37-W6Q3FY26!D37,"OOS")</f>
        <v/>
      </c>
      <c r="P37" s="147">
        <f>IF(O37=0,"",$A37 &amp; IF(O37&gt;0," tăng "," giảm ") &amp; TEXT(ABS(O37)/1000,"0") &amp; "K = " &amp; TEXT(D37/1000,"#.##0") &amp; "K")</f>
        <v/>
      </c>
      <c r="Q37" s="150">
        <f>IFERROR(E37-W6Q3FY26!E37,"OOS")</f>
        <v/>
      </c>
      <c r="R37" s="147">
        <f>IF(Q37=0,"",$A37 &amp; IF(Q37&gt;0," tăng "," giảm ") &amp; TEXT(ABS(Q37)/1000,"0") &amp; "K = " &amp; TEXT(E37/1000,"#.##0") &amp; "K")</f>
        <v/>
      </c>
      <c r="S37" s="150">
        <f>IFERROR(F37-W6Q3FY26!F37,"OOS")</f>
        <v/>
      </c>
      <c r="T37" s="147">
        <f>IF(S37=0,"",$A37 &amp; IF(S37&gt;0," tăng "," giảm ") &amp; TEXT(ABS(S37)/1000,"0") &amp; "K = " &amp; TEXT(F37/1000,"#.##0") &amp; "K")</f>
        <v/>
      </c>
      <c r="U37" s="150">
        <f>IFERROR(G37-W6Q3FY26!G37,"OOS")</f>
        <v/>
      </c>
      <c r="V37" s="147">
        <f>IF(U37=0,"",$A37 &amp; IF(U37&gt;0," tăng "," giảm ") &amp; TEXT(ABS(U37)/1000,"0") &amp; "K = " &amp; TEXT(G37/1000,"#.##0") &amp; "K")</f>
        <v/>
      </c>
    </row>
    <row r="38" ht="15.95" customHeight="1" s="35">
      <c r="A38" t="inlineStr">
        <is>
          <t>MacBook Air 15" M4 16/256GB</t>
        </is>
      </c>
      <c r="B38" s="25" t="n"/>
      <c r="C38" s="141" t="inlineStr">
        <is>
          <t>OOS</t>
        </is>
      </c>
      <c r="D38" s="136" t="inlineStr">
        <is>
          <t>OOS</t>
        </is>
      </c>
      <c r="E38" s="143" t="n"/>
      <c r="F38" s="133" t="n">
        <v>29990000</v>
      </c>
      <c r="G38" s="111" t="inlineStr">
        <is>
          <t>OOS</t>
        </is>
      </c>
      <c r="H38" s="154" t="n"/>
      <c r="M38" s="149">
        <f>IFERROR(C38-W6Q3FY26!C38,"OOS")</f>
        <v/>
      </c>
      <c r="N38" s="147">
        <f>IF(M38=0,"",$A38 &amp; IF(M38&gt;0," tăng "," giảm ") &amp; TEXT(ABS(M38)/1000,"0") &amp; "K = " &amp; TEXT(C38/1000,"#.##0") &amp; "K")</f>
        <v/>
      </c>
      <c r="O38" s="150">
        <f>IFERROR(D38-W6Q3FY26!D38,"OOS")</f>
        <v/>
      </c>
      <c r="P38" s="147">
        <f>IF(O38=0,"",$A38 &amp; IF(O38&gt;0," tăng "," giảm ") &amp; TEXT(ABS(O38)/1000,"0") &amp; "K = " &amp; TEXT(D38/1000,"#.##0") &amp; "K")</f>
        <v/>
      </c>
      <c r="Q38" s="150">
        <f>IFERROR(E38-W6Q3FY26!E38,"OOS")</f>
        <v/>
      </c>
      <c r="R38" s="147">
        <f>IF(Q38=0,"",$A38 &amp; IF(Q38&gt;0," tăng "," giảm ") &amp; TEXT(ABS(Q38)/1000,"0") &amp; "K = " &amp; TEXT(E38/1000,"#.##0") &amp; "K")</f>
        <v/>
      </c>
      <c r="S38" s="150">
        <f>IFERROR(F38-W6Q3FY26!F38,"OOS")</f>
        <v/>
      </c>
      <c r="T38" s="147">
        <f>IF(S38=0,"",$A38 &amp; IF(S38&gt;0," tăng "," giảm ") &amp; TEXT(ABS(S38)/1000,"0") &amp; "K = " &amp; TEXT(F38/1000,"#.##0") &amp; "K")</f>
        <v/>
      </c>
      <c r="U38" s="150">
        <f>IFERROR(G38-W6Q3FY26!G38,"OOS")</f>
        <v/>
      </c>
      <c r="V38" s="147">
        <f>IF(U38=0,"",$A38 &amp; IF(U38&gt;0," tăng "," giảm ") &amp; TEXT(ABS(U38)/1000,"0") &amp; "K = " &amp; TEXT(G38/1000,"#.##0") &amp; "K")</f>
        <v/>
      </c>
    </row>
    <row r="39" ht="15.95" customHeight="1" s="35">
      <c r="A39" t="inlineStr">
        <is>
          <t>MacBook Pro 14" M5 16/512GB</t>
        </is>
      </c>
      <c r="B39" s="25" t="n"/>
      <c r="C39" s="136" t="n">
        <v>41490000</v>
      </c>
      <c r="D39" s="136" t="n">
        <v>41490000</v>
      </c>
      <c r="E39" s="143" t="n"/>
      <c r="F39" s="133" t="n">
        <v>41490000</v>
      </c>
      <c r="G39" s="111" t="n">
        <v>41490000</v>
      </c>
      <c r="H39" s="154" t="n"/>
      <c r="M39" s="149">
        <f>IFERROR(C39-W6Q3FY26!C39,"OOS")</f>
        <v/>
      </c>
      <c r="N39" s="147">
        <f>IF(M39=0,"",$A39 &amp; IF(M39&gt;0," tăng "," giảm ") &amp; TEXT(ABS(M39)/1000,"0") &amp; "K = " &amp; TEXT(C39/1000,"#.##0") &amp; "K")</f>
        <v/>
      </c>
      <c r="O39" s="150">
        <f>IFERROR(D39-W6Q3FY26!D39,"OOS")</f>
        <v/>
      </c>
      <c r="P39" s="147">
        <f>IF(O39=0,"",$A39 &amp; IF(O39&gt;0," tăng "," giảm ") &amp; TEXT(ABS(O39)/1000,"0") &amp; "K = " &amp; TEXT(D39/1000,"#.##0") &amp; "K")</f>
        <v/>
      </c>
      <c r="Q39" s="150">
        <f>IFERROR(E39-W6Q3FY26!E39,"OOS")</f>
        <v/>
      </c>
      <c r="R39" s="147">
        <f>IF(Q39=0,"",$A39 &amp; IF(Q39&gt;0," tăng "," giảm ") &amp; TEXT(ABS(Q39)/1000,"0") &amp; "K = " &amp; TEXT(E39/1000,"#.##0") &amp; "K")</f>
        <v/>
      </c>
      <c r="S39" s="150">
        <f>IFERROR(F39-W6Q3FY26!F39,"OOS")</f>
        <v/>
      </c>
      <c r="T39" s="147">
        <f>IF(S39=0,"",$A39 &amp; IF(S39&gt;0," tăng "," giảm ") &amp; TEXT(ABS(S39)/1000,"0") &amp; "K = " &amp; TEXT(F39/1000,"#.##0") &amp; "K")</f>
        <v/>
      </c>
      <c r="U39" s="150">
        <f>IFERROR(G39-W6Q3FY26!G39,"OOS")</f>
        <v/>
      </c>
      <c r="V39" s="147">
        <f>IF(U39=0,"",$A39 &amp; IF(U39&gt;0," tăng "," giảm ") &amp; TEXT(ABS(U39)/1000,"0") &amp; "K = " &amp; TEXT(G39/1000,"#.##0") &amp; "K")</f>
        <v/>
      </c>
    </row>
    <row r="40" ht="15.95" customHeight="1" s="35">
      <c r="A40" t="inlineStr">
        <is>
          <t>MacBook Pro 16" M5 Pro 24/1TB</t>
        </is>
      </c>
      <c r="B40" s="25" t="n"/>
      <c r="C40" s="136" t="inlineStr">
        <is>
          <t>OOS</t>
        </is>
      </c>
      <c r="D40" s="136" t="n">
        <v>63990000</v>
      </c>
      <c r="E40" s="143" t="n"/>
      <c r="F40" s="133" t="n">
        <v>62990000</v>
      </c>
      <c r="G40" s="112" t="n">
        <v>72990000</v>
      </c>
      <c r="H40" s="154" t="n"/>
      <c r="M40" s="149">
        <f>IFERROR(C40-W6Q3FY26!C40,"OOS")</f>
        <v/>
      </c>
      <c r="N40" s="147">
        <f>IF(M40=0,"",$A40 &amp; IF(M40&gt;0," tăng "," giảm ") &amp; TEXT(ABS(M40)/1000,"0") &amp; "K = " &amp; TEXT(C40/1000,"#.##0") &amp; "K")</f>
        <v/>
      </c>
      <c r="O40" s="150">
        <f>IFERROR(D40-W6Q3FY26!D40,"OOS")</f>
        <v/>
      </c>
      <c r="P40" s="147">
        <f>IF(O40=0,"",$A40 &amp; IF(O40&gt;0," tăng "," giảm ") &amp; TEXT(ABS(O40)/1000,"0") &amp; "K = " &amp; TEXT(D40/1000,"#.##0") &amp; "K")</f>
        <v/>
      </c>
      <c r="Q40" s="150">
        <f>IFERROR(E40-W6Q3FY26!E40,"OOS")</f>
        <v/>
      </c>
      <c r="R40" s="147">
        <f>IF(Q40=0,"",$A40 &amp; IF(Q40&gt;0," tăng "," giảm ") &amp; TEXT(ABS(Q40)/1000,"0") &amp; "K = " &amp; TEXT(E40/1000,"#.##0") &amp; "K")</f>
        <v/>
      </c>
      <c r="S40" s="150">
        <f>IFERROR(F40-W6Q3FY26!F40,"OOS")</f>
        <v/>
      </c>
      <c r="T40" s="147">
        <f>IF(S40=0,"",$A40 &amp; IF(S40&gt;0," tăng "," giảm ") &amp; TEXT(ABS(S40)/1000,"0") &amp; "K = " &amp; TEXT(F40/1000,"#.##0") &amp; "K")</f>
        <v/>
      </c>
      <c r="U40" s="150">
        <f>IFERROR(G40-W6Q3FY26!G40,"OOS")</f>
        <v/>
      </c>
      <c r="V40" s="147">
        <f>IF(U40=0,"",$A40 &amp; IF(U40&gt;0," tăng "," giảm ") &amp; TEXT(ABS(U40)/1000,"0") &amp; "K = " &amp; TEXT(G40/1000,"#.##0") &amp; "K")</f>
        <v/>
      </c>
    </row>
    <row r="41" ht="15.95" customHeight="1" s="35">
      <c r="C41" s="125" t="n"/>
      <c r="D41" s="125" t="n"/>
      <c r="V41" s="147">
        <f>IF(U41=0,"",$A41 &amp; IF(U41&gt;0," tăng "," giảm ") &amp; TEXT(ABS(U41)/1000,"0") &amp; "K = " &amp; TEXT(G41/1000,"#.##0") &amp; "K")</f>
        <v/>
      </c>
    </row>
    <row r="42" ht="15.95" customHeight="1" s="35">
      <c r="C42" s="125" t="n"/>
      <c r="D42" s="125" t="n"/>
    </row>
    <row r="43" ht="15.95" customHeight="1" s="35">
      <c r="C43" s="125" t="n"/>
      <c r="D43" s="125" t="n"/>
    </row>
    <row r="44" ht="15.95" customHeight="1" s="35">
      <c r="C44" s="125" t="n"/>
      <c r="D44" s="125" t="n"/>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sheetData>
  <conditionalFormatting sqref="E2:E40">
    <cfRule type="expression" priority="3" dxfId="3" stopIfTrue="1">
      <formula>$Q2=0</formula>
    </cfRule>
    <cfRule type="expression" priority="4" dxfId="2" stopIfTrue="1">
      <formula>AND($Q2&lt;&gt;0,$Q2&lt;&gt;"")</formula>
    </cfRule>
  </conditionalFormatting>
  <conditionalFormatting sqref="N2:N40 P2:P40 R2:R40 T2:T40 V2:V41">
    <cfRule type="containsText" priority="1" operator="containsText" dxfId="1" text="Tăng">
      <formula>NOT(ISERROR(SEARCH("Tăng",N2)))</formula>
    </cfRule>
    <cfRule type="containsText" priority="2" operator="containsText" dxfId="0" text="giảm">
      <formula>NOT(ISERROR(SEARCH("giảm",N2)))</formula>
    </cfRule>
  </conditionalFormatting>
  <pageMargins left="0.7" right="0.7" top="0.75" bottom="0.75" header="0.3" footer="0.3"/>
  <pageSetup orientation="portrait" paperSize="9" horizontalDpi="0" verticalDpi="0"/>
  <legacyDrawing xmlns:r="http://schemas.openxmlformats.org/officeDocument/2006/relationships" r:id="anysvml"/>
</worksheet>
</file>

<file path=xl/worksheets/sheet108.xml><?xml version="1.0" encoding="utf-8"?>
<worksheet xmlns="http://schemas.openxmlformats.org/spreadsheetml/2006/main">
  <sheetPr>
    <outlinePr summaryBelow="1" summaryRight="1"/>
    <pageSetUpPr/>
  </sheetPr>
  <dimension ref="A1:Y151"/>
  <sheetViews>
    <sheetView workbookViewId="0">
      <selection activeCell="A1" sqref="A1"/>
    </sheetView>
  </sheetViews>
  <sheetFormatPr baseColWidth="8" defaultColWidth="11" defaultRowHeight="15.75" customHeight="1"/>
  <cols>
    <col width="30.5" customWidth="1" style="35" min="1" max="1"/>
    <col width="3.125" customWidth="1" style="35" min="2" max="2"/>
    <col width="14.875" customWidth="1" style="35" min="3" max="3"/>
    <col width="16" customWidth="1" style="35" min="4" max="4"/>
    <col width="15.5" customWidth="1" style="6" min="5" max="5"/>
    <col width="14.375" customWidth="1" style="35" min="6" max="6"/>
    <col width="11" customWidth="1" style="35" min="7" max="12"/>
    <col width="14.375" customWidth="1" style="35" min="13" max="13"/>
    <col width="42" customWidth="1" style="35" min="14" max="14"/>
    <col width="14.875" customWidth="1" style="35" min="15" max="15"/>
    <col width="51.5" customWidth="1" style="35" min="16" max="16"/>
    <col width="13.5" customWidth="1" style="35" min="17" max="17"/>
    <col width="46" customWidth="1" style="35" min="18" max="18"/>
    <col width="15.5" customWidth="1" style="35" min="19" max="19"/>
    <col width="42.375" customWidth="1" style="35" min="20" max="20"/>
    <col width="14.125" customWidth="1" style="35" min="21" max="21"/>
    <col width="48.375" customWidth="1" style="35" min="22" max="22"/>
  </cols>
  <sheetData>
    <row r="1" ht="29.1" customHeight="1" s="35">
      <c r="B1" s="47" t="inlineStr">
        <is>
          <t>TZ</t>
        </is>
      </c>
      <c r="C1" s="81" t="inlineStr">
        <is>
          <t>MW</t>
        </is>
      </c>
      <c r="D1" s="81" t="inlineStr">
        <is>
          <t>FPT</t>
        </is>
      </c>
      <c r="E1" s="116" t="inlineStr">
        <is>
          <t>Viettel</t>
        </is>
      </c>
      <c r="F1" s="82" t="inlineStr">
        <is>
          <t>CPS</t>
        </is>
      </c>
      <c r="G1" s="82" t="inlineStr">
        <is>
          <t>Shopdunk</t>
        </is>
      </c>
      <c r="M1" s="144" t="inlineStr">
        <is>
          <t>Tự Động MW</t>
        </is>
      </c>
      <c r="N1" s="144" t="inlineStr">
        <is>
          <t>Thay Đổi MW</t>
        </is>
      </c>
      <c r="O1" s="145" t="inlineStr">
        <is>
          <t>Tự Động FPT</t>
        </is>
      </c>
      <c r="P1" s="145" t="inlineStr">
        <is>
          <t>Thay Đổi FPT</t>
        </is>
      </c>
      <c r="Q1" s="145" t="inlineStr">
        <is>
          <t>Tự Động Viettel</t>
        </is>
      </c>
      <c r="R1" s="145" t="inlineStr">
        <is>
          <t>Thay Đổi Viettel</t>
        </is>
      </c>
      <c r="S1" s="145" t="inlineStr">
        <is>
          <t>Tự Động CPS</t>
        </is>
      </c>
      <c r="T1" s="145" t="inlineStr">
        <is>
          <t>Thay Đổi CPS</t>
        </is>
      </c>
      <c r="U1" s="145" t="inlineStr">
        <is>
          <t>Tự Động SD</t>
        </is>
      </c>
      <c r="V1" s="146" t="inlineStr">
        <is>
          <t>Thay Đổi SD</t>
        </is>
      </c>
    </row>
    <row r="2">
      <c r="A2" t="inlineStr">
        <is>
          <t>iPhone 17e 256GB</t>
        </is>
      </c>
      <c r="B2" s="83" t="n"/>
      <c r="C2" s="128" t="n">
        <v>17590000</v>
      </c>
      <c r="D2" s="128" t="n">
        <v>17490000</v>
      </c>
      <c r="E2" s="135" t="n">
        <v>17290000</v>
      </c>
      <c r="F2" s="168" t="n">
        <v>17490000</v>
      </c>
      <c r="G2" s="111" t="n">
        <v>17290000</v>
      </c>
      <c r="H2" s="154" t="n"/>
      <c r="M2" s="149">
        <f>IFERROR(C2-'W7Q3FY26'!C2,"OOS")</f>
        <v/>
      </c>
      <c r="N2" s="147">
        <f>IF(M2=0,"",$A2 &amp; IF(M2&gt;0," tăng "," giảm ") &amp; TEXT(ABS(M2)/1000,"0") &amp; "K = " &amp; TEXT(C2/1000,"#.##0") &amp; "K")</f>
        <v/>
      </c>
      <c r="O2" s="150">
        <f>IFERROR(D2-'W7Q3FY26'!D2,"OOS")</f>
        <v/>
      </c>
      <c r="P2" s="147">
        <f>IF(O2=0,"",$A2 &amp; IF(O2&gt;0," tăng "," giảm ") &amp; TEXT(ABS(O2)/1000,"0") &amp; "K = " &amp; TEXT(D2/1000,"#.##0") &amp; "K")</f>
        <v/>
      </c>
      <c r="Q2" s="150">
        <f>IFERROR(E2-'W7Q3FY26'!E2,"OOS")</f>
        <v/>
      </c>
      <c r="R2" s="147">
        <f>IF(Q2=0,"",$A2 &amp; IF(Q2&gt;0," tăng "," giảm ") &amp; TEXT(ABS(Q2)/1000,"0") &amp; "K = " &amp; TEXT(E2/1000,"#.##0") &amp; "K")</f>
        <v/>
      </c>
      <c r="S2" s="150">
        <f>IFERROR(F2-'W7Q3FY26'!F2,"OOS")</f>
        <v/>
      </c>
      <c r="T2" s="147">
        <f>IF(S2=0,"",$A2 &amp; IF(S2&gt;0," tăng "," giảm ") &amp; TEXT(ABS(S2)/1000,"0") &amp; "K = " &amp; TEXT(F2/1000,"#.##0") &amp; "K")</f>
        <v/>
      </c>
      <c r="U2" s="150">
        <f>IFERROR(G2-'W7Q3FY26'!G2,"OOS")</f>
        <v/>
      </c>
      <c r="V2" s="147">
        <f>IF(U2=0,"",$A2 &amp; IF(U2&gt;0," tăng "," giảm ") &amp; TEXT(ABS(U2)/1000,"0") &amp; "K = " &amp; TEXT(G2/1000,"#.##0") &amp; "K")</f>
        <v/>
      </c>
    </row>
    <row r="3" ht="15.95" customHeight="1" s="35">
      <c r="A3" t="inlineStr">
        <is>
          <t>iPhone 17  256GB</t>
        </is>
      </c>
      <c r="B3" s="83" t="n"/>
      <c r="C3" s="130" t="n">
        <v>24390000</v>
      </c>
      <c r="D3" s="130" t="n">
        <v>24390000</v>
      </c>
      <c r="E3" s="131" t="n">
        <v>23290000</v>
      </c>
      <c r="F3" s="161" t="n">
        <v>24390000</v>
      </c>
      <c r="G3" s="111" t="n">
        <v>23790000</v>
      </c>
      <c r="H3" s="154" t="n"/>
      <c r="M3" s="149">
        <f>IFERROR(C3-'W7Q3FY26'!C3,"OOS")</f>
        <v/>
      </c>
      <c r="N3" s="147">
        <f>IF(M3=0,"",$A3 &amp; IF(M3&gt;0," tăng "," giảm ") &amp; TEXT(ABS(M3)/1000,"0") &amp; "K = " &amp; TEXT(C3/1000,"#.##0") &amp; "K")</f>
        <v/>
      </c>
      <c r="O3" s="150">
        <f>IFERROR(D3-'W7Q3FY26'!D3,"OOS")</f>
        <v/>
      </c>
      <c r="P3" s="147">
        <f>IF(O3=0,"",$A3 &amp; IF(O3&gt;0," tăng "," giảm ") &amp; TEXT(ABS(O3)/1000,"0") &amp; "K = " &amp; TEXT(D3/1000,"#.##0") &amp; "K")</f>
        <v/>
      </c>
      <c r="Q3" s="150">
        <f>IFERROR(E3-'W7Q3FY26'!E3,"OOS")</f>
        <v/>
      </c>
      <c r="R3" s="147">
        <f>IF(Q3=0,"",$A3 &amp; IF(Q3&gt;0," tăng "," giảm ") &amp; TEXT(ABS(Q3)/1000,"0") &amp; "K = " &amp; TEXT(E3/1000,"#.##0") &amp; "K")</f>
        <v/>
      </c>
      <c r="S3" s="150">
        <f>IFERROR(F3-'W7Q3FY26'!F3,"OOS")</f>
        <v/>
      </c>
      <c r="T3" s="147">
        <f>IF(S3=0,"",$A3 &amp; IF(S3&gt;0," tăng "," giảm ") &amp; TEXT(ABS(S3)/1000,"0") &amp; "K = " &amp; TEXT(F3/1000,"#.##0") &amp; "K")</f>
        <v/>
      </c>
      <c r="U3" s="150">
        <f>IFERROR(G3-'W7Q3FY26'!G3,"OOS")</f>
        <v/>
      </c>
      <c r="V3" s="147">
        <f>IF(U3=0,"",$A3 &amp; IF(U3&gt;0," tăng "," giảm ") &amp; TEXT(ABS(U3)/1000,"0") &amp; "K = " &amp; TEXT(G3/1000,"#.##0") &amp; "K")</f>
        <v/>
      </c>
    </row>
    <row r="4" ht="15.95" customHeight="1" s="35">
      <c r="A4" t="inlineStr">
        <is>
          <t>iPhone Air 256G</t>
        </is>
      </c>
      <c r="B4" s="83" t="n"/>
      <c r="C4" s="128" t="n">
        <v>22990000</v>
      </c>
      <c r="D4" s="130" t="n">
        <v>22890000</v>
      </c>
      <c r="E4" s="131" t="n">
        <v>22990000</v>
      </c>
      <c r="F4" s="133" t="n">
        <v>22890000</v>
      </c>
      <c r="G4" s="112" t="n">
        <v>22890000</v>
      </c>
      <c r="H4" s="154" t="n"/>
      <c r="M4" s="149">
        <f>IFERROR(C4-'W7Q3FY26'!C4,"OOS")</f>
        <v/>
      </c>
      <c r="N4" s="147">
        <f>IF(M4=0,"",$A4 &amp; IF(M4&gt;0," tăng "," giảm ") &amp; TEXT(ABS(M4)/1000,"0") &amp; "K = " &amp; TEXT(C4/1000,"#.##0") &amp; "K")</f>
        <v/>
      </c>
      <c r="O4" s="150">
        <f>IFERROR(D4-'W7Q3FY26'!D4,"OOS")</f>
        <v/>
      </c>
      <c r="P4" s="147">
        <f>IF(O4=0,"",$A4 &amp; IF(O4&gt;0," tăng "," giảm ") &amp; TEXT(ABS(O4)/1000,"0") &amp; "K = " &amp; TEXT(D4/1000,"#.##0") &amp; "K")</f>
        <v/>
      </c>
      <c r="Q4" s="150">
        <f>IFERROR(E4-'W7Q3FY26'!E4,"OOS")</f>
        <v/>
      </c>
      <c r="R4" s="147">
        <f>IF(Q4=0,"",$A4 &amp; IF(Q4&gt;0," tăng "," giảm ") &amp; TEXT(ABS(Q4)/1000,"0") &amp; "K = " &amp; TEXT(E4/1000,"#.##0") &amp; "K")</f>
        <v/>
      </c>
      <c r="S4" s="150">
        <f>IFERROR(F4-'W7Q3FY26'!F4,"OOS")</f>
        <v/>
      </c>
      <c r="T4" s="147">
        <f>IF(S4=0,"",$A4 &amp; IF(S4&gt;0," tăng "," giảm ") &amp; TEXT(ABS(S4)/1000,"0") &amp; "K = " &amp; TEXT(F4/1000,"#.##0") &amp; "K")</f>
        <v/>
      </c>
      <c r="U4" s="150">
        <f>IFERROR(G4-'W7Q3FY26'!G4,"OOS")</f>
        <v/>
      </c>
      <c r="V4" s="147">
        <f>IF(U4=0,"",$A4 &amp; IF(U4&gt;0," tăng "," giảm ") &amp; TEXT(ABS(U4)/1000,"0") &amp; "K = " &amp; TEXT(G4/1000,"#.##0") &amp; "K")</f>
        <v/>
      </c>
    </row>
    <row r="5" ht="15.95" customHeight="1" s="35">
      <c r="A5" t="inlineStr">
        <is>
          <t>iPhone 17 Pro 256GB</t>
        </is>
      </c>
      <c r="B5" s="83" t="n"/>
      <c r="C5" s="130" t="n">
        <v>34690000</v>
      </c>
      <c r="D5" s="130" t="n">
        <v>34590000</v>
      </c>
      <c r="E5" s="131" t="n">
        <v>33190000</v>
      </c>
      <c r="F5" s="133" t="n">
        <v>34590000</v>
      </c>
      <c r="G5" s="111" t="n">
        <v>33990000</v>
      </c>
      <c r="H5" s="154" t="n"/>
      <c r="M5" s="149">
        <f>IFERROR(C5-'W7Q3FY26'!C5,"OOS")</f>
        <v/>
      </c>
      <c r="N5" s="147">
        <f>IF(M5=0,"",$A5 &amp; IF(M5&gt;0," tăng "," giảm ") &amp; TEXT(ABS(M5)/1000,"0") &amp; "K = " &amp; TEXT(C5/1000,"#.##0") &amp; "K")</f>
        <v/>
      </c>
      <c r="O5" s="150">
        <f>IFERROR(D5-'W7Q3FY26'!D5,"OOS")</f>
        <v/>
      </c>
      <c r="P5" s="147">
        <f>IF(O5=0,"",$A5 &amp; IF(O5&gt;0," tăng "," giảm ") &amp; TEXT(ABS(O5)/1000,"0") &amp; "K = " &amp; TEXT(D5/1000,"#.##0") &amp; "K")</f>
        <v/>
      </c>
      <c r="Q5" s="150">
        <f>IFERROR(E5-'W7Q3FY26'!E5,"OOS")</f>
        <v/>
      </c>
      <c r="R5" s="147">
        <f>IF(Q5=0,"",$A5 &amp; IF(Q5&gt;0," tăng "," giảm ") &amp; TEXT(ABS(Q5)/1000,"0") &amp; "K = " &amp; TEXT(E5/1000,"#.##0") &amp; "K")</f>
        <v/>
      </c>
      <c r="S5" s="150">
        <f>IFERROR(F5-'W7Q3FY26'!F5,"OOS")</f>
        <v/>
      </c>
      <c r="T5" s="147">
        <f>IF(S5=0,"",$A5 &amp; IF(S5&gt;0," tăng "," giảm ") &amp; TEXT(ABS(S5)/1000,"0") &amp; "K = " &amp; TEXT(F5/1000,"#.##0") &amp; "K")</f>
        <v/>
      </c>
      <c r="U5" s="150">
        <f>IFERROR(G5-'W7Q3FY26'!G5,"OOS")</f>
        <v/>
      </c>
      <c r="V5" s="147">
        <f>IF(U5=0,"",$A5 &amp; IF(U5&gt;0," tăng "," giảm ") &amp; TEXT(ABS(U5)/1000,"0") &amp; "K = " &amp; TEXT(G5/1000,"#.##0") &amp; "K")</f>
        <v/>
      </c>
    </row>
    <row r="6" ht="15.95" customHeight="1" s="35">
      <c r="A6" t="inlineStr">
        <is>
          <t>iPhone 17 Pro Max 256GB</t>
        </is>
      </c>
      <c r="B6" s="83" t="n"/>
      <c r="C6" s="128" t="n">
        <v>36990000</v>
      </c>
      <c r="D6" s="130" t="n">
        <v>36690000</v>
      </c>
      <c r="E6" s="135" t="n">
        <v>36290000</v>
      </c>
      <c r="F6" s="133" t="n">
        <v>36890000</v>
      </c>
      <c r="G6" s="111" t="n">
        <v>36790000</v>
      </c>
      <c r="H6" s="154" t="n"/>
      <c r="M6" s="149">
        <f>IFERROR(C6-'W7Q3FY26'!C6,"OOS")</f>
        <v/>
      </c>
      <c r="N6" s="147">
        <f>IF(M6=0,"",$A6 &amp; IF(M6&gt;0," tăng "," giảm ") &amp; TEXT(ABS(M6)/1000,"0") &amp; "K = " &amp; TEXT(C6/1000,"#.##0") &amp; "K")</f>
        <v/>
      </c>
      <c r="O6" s="150">
        <f>IFERROR(D6-'W7Q3FY26'!D6,"OOS")</f>
        <v/>
      </c>
      <c r="P6" s="147">
        <f>IF(O6=0,"",$A6 &amp; IF(O6&gt;0," tăng "," giảm ") &amp; TEXT(ABS(O6)/1000,"0") &amp; "K = " &amp; TEXT(D6/1000,"#.##0") &amp; "K")</f>
        <v/>
      </c>
      <c r="Q6" s="150">
        <f>IFERROR(E6-'W7Q3FY26'!E6,"OOS")</f>
        <v/>
      </c>
      <c r="R6" s="147">
        <f>IF(Q6=0,"",$A6 &amp; IF(Q6&gt;0," tăng "," giảm ") &amp; TEXT(ABS(Q6)/1000,"0") &amp; "K = " &amp; TEXT(E6/1000,"#.##0") &amp; "K")</f>
        <v/>
      </c>
      <c r="S6" s="150">
        <f>IFERROR(F6-'W7Q3FY26'!F6,"OOS")</f>
        <v/>
      </c>
      <c r="T6" s="147">
        <f>IF(S6=0,"",$A6 &amp; IF(S6&gt;0," tăng "," giảm ") &amp; TEXT(ABS(S6)/1000,"0") &amp; "K = " &amp; TEXT(F6/1000,"#.##0") &amp; "K")</f>
        <v/>
      </c>
      <c r="U6" s="150">
        <f>IFERROR(G6-'W7Q3FY26'!G6,"OOS")</f>
        <v/>
      </c>
      <c r="V6" s="147">
        <f>IF(U6=0,"",$A6 &amp; IF(U6&gt;0," tăng "," giảm ") &amp; TEXT(ABS(U6)/1000,"0") &amp; "K = " &amp; TEXT(G6/1000,"#.##0") &amp; "K")</f>
        <v/>
      </c>
    </row>
    <row r="7" ht="15.95" customHeight="1" s="35">
      <c r="A7" t="inlineStr">
        <is>
          <t>iPhone 16e  128GB</t>
        </is>
      </c>
      <c r="B7" s="83" t="n"/>
      <c r="C7" s="128" t="inlineStr">
        <is>
          <t>OOS</t>
        </is>
      </c>
      <c r="D7" s="136" t="n">
        <v>14990000</v>
      </c>
      <c r="E7" s="135" t="n">
        <v>11990000</v>
      </c>
      <c r="F7" s="137" t="n">
        <v>12990000</v>
      </c>
      <c r="G7" s="111" t="n">
        <v>15190000</v>
      </c>
      <c r="H7" s="154" t="n"/>
      <c r="M7" s="149">
        <f>IFERROR(C7-'W7Q3FY26'!C7,"OOS")</f>
        <v/>
      </c>
      <c r="N7" s="147">
        <f>IF(M7=0,"",$A7 &amp; IF(M7&gt;0," tăng "," giảm ") &amp; TEXT(ABS(M7)/1000,"0") &amp; "K = " &amp; TEXT(C7/1000,"#.##0") &amp; "K")</f>
        <v/>
      </c>
      <c r="O7" s="150">
        <f>IFERROR(D7-'W7Q3FY26'!D7,"OOS")</f>
        <v/>
      </c>
      <c r="P7" s="147">
        <f>IF(O7=0,"",$A7 &amp; IF(O7&gt;0," tăng "," giảm ") &amp; TEXT(ABS(O7)/1000,"0") &amp; "K = " &amp; TEXT(D7/1000,"#.##0") &amp; "K")</f>
        <v/>
      </c>
      <c r="Q7" s="150">
        <f>IFERROR(E7-'W7Q3FY26'!E7,"OOS")</f>
        <v/>
      </c>
      <c r="R7" s="147">
        <f>IF(Q7=0,"",$A7 &amp; IF(Q7&gt;0," tăng "," giảm ") &amp; TEXT(ABS(Q7)/1000,"0") &amp; "K = " &amp; TEXT(E7/1000,"#.##0") &amp; "K")</f>
        <v/>
      </c>
      <c r="S7" s="150">
        <f>IFERROR(F7-'W7Q3FY26'!F7,"OOS")</f>
        <v/>
      </c>
      <c r="T7" s="147">
        <f>IF(S7=0,"",$A7 &amp; IF(S7&gt;0," tăng "," giảm ") &amp; TEXT(ABS(S7)/1000,"0") &amp; "K = " &amp; TEXT(F7/1000,"#.##0") &amp; "K")</f>
        <v/>
      </c>
      <c r="U7" s="150">
        <f>IFERROR(G7-'W7Q3FY26'!G7,"OOS")</f>
        <v/>
      </c>
      <c r="V7" s="147">
        <f>IF(U7=0,"",$A7 &amp; IF(U7&gt;0," tăng "," giảm ") &amp; TEXT(ABS(U7)/1000,"0") &amp; "K = " &amp; TEXT(G7/1000,"#.##0") &amp; "K")</f>
        <v/>
      </c>
    </row>
    <row r="8" ht="15.95" customHeight="1" s="35">
      <c r="A8" t="inlineStr">
        <is>
          <t>iPhone 16 128GB</t>
        </is>
      </c>
      <c r="B8" s="71" t="n"/>
      <c r="C8" s="138" t="n">
        <v>20690000</v>
      </c>
      <c r="D8" s="138" t="n">
        <v>20590000</v>
      </c>
      <c r="E8" s="140" t="n">
        <v>20490000</v>
      </c>
      <c r="F8" s="133" t="n">
        <v>20590000</v>
      </c>
      <c r="G8" s="111" t="n">
        <v>20490000</v>
      </c>
      <c r="H8" s="154" t="n"/>
      <c r="M8" s="149">
        <f>IFERROR(C8-'W7Q3FY26'!C8,"OOS")</f>
        <v/>
      </c>
      <c r="N8" s="147">
        <f>IF(M8=0,"",$A8 &amp; IF(M8&gt;0," tăng "," giảm ") &amp; TEXT(ABS(M8)/1000,"0") &amp; "K = " &amp; TEXT(C8/1000,"#.##0") &amp; "K")</f>
        <v/>
      </c>
      <c r="O8" s="150">
        <f>IFERROR(D8-'W7Q3FY26'!D8,"OOS")</f>
        <v/>
      </c>
      <c r="P8" s="147">
        <f>IF(O8=0,"",$A8 &amp; IF(O8&gt;0," tăng "," giảm ") &amp; TEXT(ABS(O8)/1000,"0") &amp; "K = " &amp; TEXT(D8/1000,"#.##0") &amp; "K")</f>
        <v/>
      </c>
      <c r="Q8" s="150">
        <f>IFERROR(E8-'W7Q3FY26'!E8,"OOS")</f>
        <v/>
      </c>
      <c r="R8" s="147">
        <f>IF(Q8=0,"",$A8 &amp; IF(Q8&gt;0," tăng "," giảm ") &amp; TEXT(ABS(Q8)/1000,"0") &amp; "K = " &amp; TEXT(E8/1000,"#.##0") &amp; "K")</f>
        <v/>
      </c>
      <c r="S8" s="150">
        <f>IFERROR(F8-'W7Q3FY26'!F8,"OOS")</f>
        <v/>
      </c>
      <c r="T8" s="147">
        <f>IF(S8=0,"",$A8 &amp; IF(S8&gt;0," tăng "," giảm ") &amp; TEXT(ABS(S8)/1000,"0") &amp; "K = " &amp; TEXT(F8/1000,"#.##0") &amp; "K")</f>
        <v/>
      </c>
      <c r="U8" s="150">
        <f>IFERROR(G8-'W7Q3FY26'!G8,"OOS")</f>
        <v/>
      </c>
      <c r="V8" s="147">
        <f>IF(U8=0,"",$A8 &amp; IF(U8&gt;0," tăng "," giảm ") &amp; TEXT(ABS(U8)/1000,"0") &amp; "K = " &amp; TEXT(G8/1000,"#.##0") &amp; "K")</f>
        <v/>
      </c>
    </row>
    <row r="9" ht="15.95" customHeight="1" s="35">
      <c r="A9" t="inlineStr">
        <is>
          <t>iPhone 16  Plus 128GB</t>
        </is>
      </c>
      <c r="B9" s="3" t="n"/>
      <c r="C9" s="141" t="n">
        <v>24490000</v>
      </c>
      <c r="D9" s="141" t="n">
        <v>23990000</v>
      </c>
      <c r="E9" s="140" t="n">
        <v>24790000</v>
      </c>
      <c r="F9" s="133" t="n">
        <v>24290000</v>
      </c>
      <c r="G9" s="112" t="n">
        <v>24290000</v>
      </c>
      <c r="H9" s="154" t="n"/>
      <c r="M9" s="149">
        <f>IFERROR(C9-'W7Q3FY26'!C9,"OOS")</f>
        <v/>
      </c>
      <c r="N9" s="147">
        <f>IF(M9=0,"",$A9 &amp; IF(M9&gt;0," tăng "," giảm ") &amp; TEXT(ABS(M9)/1000,"0") &amp; "K = " &amp; TEXT(C9/1000,"#.##0") &amp; "K")</f>
        <v/>
      </c>
      <c r="O9" s="150">
        <f>IFERROR(D9-'W7Q3FY26'!D9,"OOS")</f>
        <v/>
      </c>
      <c r="P9" s="147">
        <f>IF(O9=0,"",$A9 &amp; IF(O9&gt;0," tăng "," giảm ") &amp; TEXT(ABS(O9)/1000,"0") &amp; "K = " &amp; TEXT(D9/1000,"#.##0") &amp; "K")</f>
        <v/>
      </c>
      <c r="Q9" s="150">
        <f>IFERROR(E9-'W7Q3FY26'!E9,"OOS")</f>
        <v/>
      </c>
      <c r="R9" s="147">
        <f>IF(Q9=0,"",$A9 &amp; IF(Q9&gt;0," tăng "," giảm ") &amp; TEXT(ABS(Q9)/1000,"0") &amp; "K = " &amp; TEXT(E9/1000,"#.##0") &amp; "K")</f>
        <v/>
      </c>
      <c r="S9" s="150">
        <f>IFERROR(F9-'W7Q3FY26'!F9,"OOS")</f>
        <v/>
      </c>
      <c r="T9" s="147">
        <f>IF(S9=0,"",$A9 &amp; IF(S9&gt;0," tăng "," giảm ") &amp; TEXT(ABS(S9)/1000,"0") &amp; "K = " &amp; TEXT(F9/1000,"#.##0") &amp; "K")</f>
        <v/>
      </c>
      <c r="U9" s="150">
        <f>IFERROR(G9-'W7Q3FY26'!G9,"OOS")</f>
        <v/>
      </c>
      <c r="V9" s="147">
        <f>IF(U9=0,"",$A9 &amp; IF(U9&gt;0," tăng "," giảm ") &amp; TEXT(ABS(U9)/1000,"0") &amp; "K = " &amp; TEXT(G9/1000,"#.##0") &amp; "K")</f>
        <v/>
      </c>
    </row>
    <row r="10" ht="15.95" customHeight="1" s="35">
      <c r="A10" t="inlineStr">
        <is>
          <t>iPhone 15  128GB</t>
        </is>
      </c>
      <c r="B10" s="25" t="n"/>
      <c r="C10" s="141" t="n">
        <v>17990000</v>
      </c>
      <c r="D10" s="141" t="n">
        <v>17690000</v>
      </c>
      <c r="E10" s="155" t="n">
        <v>17190000</v>
      </c>
      <c r="F10" s="133" t="n">
        <v>17890000</v>
      </c>
      <c r="G10" s="111" t="n">
        <v>17390000</v>
      </c>
      <c r="H10" s="154" t="n"/>
      <c r="M10" s="149">
        <f>IFERROR(C10-'W7Q3FY26'!C10,"OOS")</f>
        <v/>
      </c>
      <c r="N10" s="147">
        <f>IF(M10=0,"",$A10 &amp; IF(M10&gt;0," tăng "," giảm ") &amp; TEXT(ABS(M10)/1000,"0") &amp; "K = " &amp; TEXT(C10/1000,"#.##0") &amp; "K")</f>
        <v/>
      </c>
      <c r="O10" s="150">
        <f>IFERROR(D10-'W7Q3FY26'!D10,"OOS")</f>
        <v/>
      </c>
      <c r="P10" s="147">
        <f>IF(O10=0,"",$A10 &amp; IF(O10&gt;0," tăng "," giảm ") &amp; TEXT(ABS(O10)/1000,"0") &amp; "K = " &amp; TEXT(D10/1000,"#.##0") &amp; "K")</f>
        <v/>
      </c>
      <c r="Q10" s="150">
        <f>IFERROR(E10-'W7Q3FY26'!E10,"OOS")</f>
        <v/>
      </c>
      <c r="R10" s="147">
        <f>IF(Q10=0,"",$A10 &amp; IF(Q10&gt;0," tăng "," giảm ") &amp; TEXT(ABS(Q10)/1000,"0") &amp; "K = " &amp; TEXT(E10/1000,"#.##0") &amp; "K")</f>
        <v/>
      </c>
      <c r="S10" s="150">
        <f>IFERROR(F10-'W7Q3FY26'!F10,"OOS")</f>
        <v/>
      </c>
      <c r="T10" s="147">
        <f>IF(S10=0,"",$A10 &amp; IF(S10&gt;0," tăng "," giảm ") &amp; TEXT(ABS(S10)/1000,"0") &amp; "K = " &amp; TEXT(F10/1000,"#.##0") &amp; "K")</f>
        <v/>
      </c>
      <c r="U10" s="150">
        <f>IFERROR(G10-'W7Q3FY26'!G10,"OOS")</f>
        <v/>
      </c>
      <c r="V10" s="147">
        <f>IF(U10=0,"",$A10 &amp; IF(U10&gt;0," tăng "," giảm ") &amp; TEXT(ABS(U10)/1000,"0") &amp; "K = " &amp; TEXT(G10/1000,"#.##0") &amp; "K")</f>
        <v/>
      </c>
    </row>
    <row r="11" ht="15" customHeight="1" s="35">
      <c r="A11" t="inlineStr">
        <is>
          <t>iPhone 15  Plus 128GB</t>
        </is>
      </c>
      <c r="B11" s="25" t="n"/>
      <c r="C11" s="136" t="n">
        <v>17990000</v>
      </c>
      <c r="D11" s="136" t="inlineStr">
        <is>
          <t>OOS</t>
        </is>
      </c>
      <c r="E11" s="131" t="inlineStr">
        <is>
          <t>OOS</t>
        </is>
      </c>
      <c r="F11" s="111" t="inlineStr">
        <is>
          <t>OOS</t>
        </is>
      </c>
      <c r="G11" s="111" t="inlineStr">
        <is>
          <t>OOS</t>
        </is>
      </c>
      <c r="H11" s="154" t="n"/>
      <c r="M11" s="149">
        <f>IFERROR(C11-'W7Q3FY26'!C11,"OOS")</f>
        <v/>
      </c>
      <c r="N11" s="147">
        <f>IF(M11=0,"",$A11 &amp; IF(M11&gt;0," tăng "," giảm ") &amp; TEXT(ABS(M11)/1000,"0") &amp; "K = " &amp; TEXT(C11/1000,"#.##0") &amp; "K")</f>
        <v/>
      </c>
      <c r="O11" s="150">
        <f>IFERROR(D11-'W7Q3FY26'!D11,"OOS")</f>
        <v/>
      </c>
      <c r="P11" s="147">
        <f>IF(O11=0,"",$A11 &amp; IF(O11&gt;0," tăng "," giảm ") &amp; TEXT(ABS(O11)/1000,"0") &amp; "K = " &amp; TEXT(D11/1000,"#.##0") &amp; "K")</f>
        <v/>
      </c>
      <c r="Q11" s="150">
        <f>IFERROR(E11-'W7Q3FY26'!E11,"OOS")</f>
        <v/>
      </c>
      <c r="R11" s="147">
        <f>IF(Q11=0,"",$A11 &amp; IF(Q11&gt;0," tăng "," giảm ") &amp; TEXT(ABS(Q11)/1000,"0") &amp; "K = " &amp; TEXT(E11/1000,"#.##0") &amp; "K")</f>
        <v/>
      </c>
      <c r="S11" s="150">
        <f>IFERROR(F11-'W7Q3FY26'!F11,"OOS")</f>
        <v/>
      </c>
      <c r="T11" s="147">
        <f>IF(S11=0,"",$A11 &amp; IF(S11&gt;0," tăng "," giảm ") &amp; TEXT(ABS(S11)/1000,"0") &amp; "K = " &amp; TEXT(F11/1000,"#.##0") &amp; "K")</f>
        <v/>
      </c>
      <c r="U11" s="150">
        <f>IFERROR(G11-'W7Q3FY26'!G11,"OOS")</f>
        <v/>
      </c>
      <c r="V11" s="147">
        <f>IF(U11=0,"",$A11 &amp; IF(U11&gt;0," tăng "," giảm ") &amp; TEXT(ABS(U11)/1000,"0") &amp; "K = " &amp; TEXT(G11/1000,"#.##0") &amp; "K")</f>
        <v/>
      </c>
    </row>
    <row r="12" ht="15.95" customHeight="1" s="35">
      <c r="A12" t="inlineStr">
        <is>
          <t>iPhone 14 128GB</t>
        </is>
      </c>
      <c r="B12" s="25" t="n"/>
      <c r="C12" s="136" t="n">
        <v>13990000</v>
      </c>
      <c r="D12" s="136" t="n">
        <v>13990000</v>
      </c>
      <c r="E12" s="131" t="n">
        <v>13790000</v>
      </c>
      <c r="F12" s="133" t="n">
        <v>13990000</v>
      </c>
      <c r="G12" s="111" t="n">
        <v>12990000</v>
      </c>
      <c r="H12" s="154" t="n"/>
      <c r="M12" s="149">
        <f>IFERROR(C12-'W7Q3FY26'!C12,"OOS")</f>
        <v/>
      </c>
      <c r="N12" s="147">
        <f>IF(M12=0,"",$A12 &amp; IF(M12&gt;0," tăng "," giảm ") &amp; TEXT(ABS(M12)/1000,"0") &amp; "K = " &amp; TEXT(C12/1000,"#.##0") &amp; "K")</f>
        <v/>
      </c>
      <c r="O12" s="150">
        <f>IFERROR(D12-'W7Q3FY26'!D12,"OOS")</f>
        <v/>
      </c>
      <c r="P12" s="147">
        <f>IF(O12=0,"",$A12 &amp; IF(O12&gt;0," tăng "," giảm ") &amp; TEXT(ABS(O12)/1000,"0") &amp; "K = " &amp; TEXT(D12/1000,"#.##0") &amp; "K")</f>
        <v/>
      </c>
      <c r="Q12" s="150">
        <f>IFERROR(E12-'W7Q3FY26'!E12,"OOS")</f>
        <v/>
      </c>
      <c r="R12" s="147">
        <f>IF(Q12=0,"",$A12 &amp; IF(Q12&gt;0," tăng "," giảm ") &amp; TEXT(ABS(Q12)/1000,"0") &amp; "K = " &amp; TEXT(E12/1000,"#.##0") &amp; "K")</f>
        <v/>
      </c>
      <c r="S12" s="150">
        <f>IFERROR(F12-'W7Q3FY26'!F12,"OOS")</f>
        <v/>
      </c>
      <c r="T12" s="147">
        <f>IF(S12=0,"",$A12 &amp; IF(S12&gt;0," tăng "," giảm ") &amp; TEXT(ABS(S12)/1000,"0") &amp; "K = " &amp; TEXT(F12/1000,"#.##0") &amp; "K")</f>
        <v/>
      </c>
      <c r="U12" s="150">
        <f>IFERROR(G12-'W7Q3FY26'!G12,"OOS")</f>
        <v/>
      </c>
      <c r="V12" s="147">
        <f>IF(U12=0,"",$A12 &amp; IF(U12&gt;0," tăng "," giảm ") &amp; TEXT(ABS(U12)/1000,"0") &amp; "K = " &amp; TEXT(G12/1000,"#.##0") &amp; "K")</f>
        <v/>
      </c>
    </row>
    <row r="13" ht="15.95" customHeight="1" s="35">
      <c r="A13" t="inlineStr">
        <is>
          <t>iPhone 13  128GB</t>
        </is>
      </c>
      <c r="B13" s="3" t="n"/>
      <c r="C13" s="136" t="n">
        <v>11990000</v>
      </c>
      <c r="D13" s="136" t="n">
        <v>11990000</v>
      </c>
      <c r="E13" s="140" t="n">
        <v>12090000</v>
      </c>
      <c r="F13" s="133" t="n">
        <v>11990000</v>
      </c>
      <c r="G13" s="111" t="n">
        <v>11890000</v>
      </c>
      <c r="H13" s="154" t="n"/>
      <c r="M13" s="149">
        <f>IFERROR(C13-'W7Q3FY26'!C13,"OOS")</f>
        <v/>
      </c>
      <c r="N13" s="147">
        <f>IF(M13=0,"",$A13 &amp; IF(M13&gt;0," tăng "," giảm ") &amp; TEXT(ABS(M13)/1000,"0") &amp; "K = " &amp; TEXT(C13/1000,"#.##0") &amp; "K")</f>
        <v/>
      </c>
      <c r="O13" s="150">
        <f>IFERROR(D13-'W7Q3FY26'!D13,"OOS")</f>
        <v/>
      </c>
      <c r="P13" s="147">
        <f>IF(O13=0,"",$A13 &amp; IF(O13&gt;0," tăng "," giảm ") &amp; TEXT(ABS(O13)/1000,"0") &amp; "K = " &amp; TEXT(D13/1000,"#.##0") &amp; "K")</f>
        <v/>
      </c>
      <c r="Q13" s="150">
        <f>IFERROR(E13-'W7Q3FY26'!E13,"OOS")</f>
        <v/>
      </c>
      <c r="R13" s="147">
        <f>IF(Q13=0,"",$A13 &amp; IF(Q13&gt;0," tăng "," giảm ") &amp; TEXT(ABS(Q13)/1000,"0") &amp; "K = " &amp; TEXT(E13/1000,"#.##0") &amp; "K")</f>
        <v/>
      </c>
      <c r="S13" s="150">
        <f>IFERROR(F13-'W7Q3FY26'!F13,"OOS")</f>
        <v/>
      </c>
      <c r="T13" s="147">
        <f>IF(S13=0,"",$A13 &amp; IF(S13&gt;0," tăng "," giảm ") &amp; TEXT(ABS(S13)/1000,"0") &amp; "K = " &amp; TEXT(F13/1000,"#.##0") &amp; "K")</f>
        <v/>
      </c>
      <c r="U13" s="150">
        <f>IFERROR(G13-'W7Q3FY26'!G13,"OOS")</f>
        <v/>
      </c>
      <c r="V13" s="147">
        <f>IF(U13=0,"",$A13 &amp; IF(U13&gt;0," tăng "," giảm ") &amp; TEXT(ABS(U13)/1000,"0") &amp; "K = " &amp; TEXT(G13/1000,"#.##0") &amp; "K")</f>
        <v/>
      </c>
    </row>
    <row r="14" ht="15.95" customHeight="1" s="35">
      <c r="A14" t="inlineStr">
        <is>
          <t>iPad Mini 7 128GB Wifi</t>
        </is>
      </c>
      <c r="B14" s="25" t="n"/>
      <c r="C14" s="141" t="n">
        <v>13290000</v>
      </c>
      <c r="D14" s="141" t="n">
        <v>13290000</v>
      </c>
      <c r="E14" s="140" t="n">
        <v>13290000</v>
      </c>
      <c r="F14" s="133" t="n">
        <v>12890000</v>
      </c>
      <c r="G14" s="112" t="n">
        <v>12890000</v>
      </c>
      <c r="H14" s="154" t="n"/>
      <c r="M14" s="149">
        <f>IFERROR(C14-'W7Q3FY26'!C14,"OOS")</f>
        <v/>
      </c>
      <c r="N14" s="147">
        <f>IF(M14=0,"",$A14 &amp; IF(M14&gt;0," tăng "," giảm ") &amp; TEXT(ABS(M14)/1000,"0") &amp; "K = " &amp; TEXT(C14/1000,"#.##0") &amp; "K")</f>
        <v/>
      </c>
      <c r="O14" s="150">
        <f>IFERROR(D14-'W7Q3FY26'!D14,"OOS")</f>
        <v/>
      </c>
      <c r="P14" s="147">
        <f>IF(O14=0,"",$A14 &amp; IF(O14&gt;0," tăng "," giảm ") &amp; TEXT(ABS(O14)/1000,"0") &amp; "K = " &amp; TEXT(D14/1000,"#.##0") &amp; "K")</f>
        <v/>
      </c>
      <c r="Q14" s="150">
        <f>IFERROR(E14-'W7Q3FY26'!E14,"OOS")</f>
        <v/>
      </c>
      <c r="R14" s="147">
        <f>IF(Q14=0,"",$A14 &amp; IF(Q14&gt;0," tăng "," giảm ") &amp; TEXT(ABS(Q14)/1000,"0") &amp; "K = " &amp; TEXT(E14/1000,"#.##0") &amp; "K")</f>
        <v/>
      </c>
      <c r="S14" s="150">
        <f>IFERROR(F14-'W7Q3FY26'!F14,"OOS")</f>
        <v/>
      </c>
      <c r="T14" s="147">
        <f>IF(S14=0,"",$A14 &amp; IF(S14&gt;0," tăng "," giảm ") &amp; TEXT(ABS(S14)/1000,"0") &amp; "K = " &amp; TEXT(F14/1000,"#.##0") &amp; "K")</f>
        <v/>
      </c>
      <c r="U14" s="150">
        <f>IFERROR(G14-'W7Q3FY26'!G14,"OOS")</f>
        <v/>
      </c>
      <c r="V14" s="147">
        <f>IF(U14=0,"",$A14 &amp; IF(U14&gt;0," tăng "," giảm ") &amp; TEXT(ABS(U14)/1000,"0") &amp; "K = " &amp; TEXT(G14/1000,"#.##0") &amp; "K")</f>
        <v/>
      </c>
    </row>
    <row r="15" ht="15.95" customHeight="1" s="35">
      <c r="A15" t="inlineStr">
        <is>
          <t>iPad Gen 11th  128GB Wifi</t>
        </is>
      </c>
      <c r="B15" s="3" t="n"/>
      <c r="C15" s="136" t="n">
        <v>9290000</v>
      </c>
      <c r="D15" s="136" t="n">
        <v>9290000</v>
      </c>
      <c r="E15" s="155" t="n">
        <v>9190000</v>
      </c>
      <c r="F15" s="133" t="n">
        <v>9290000</v>
      </c>
      <c r="G15" s="111" t="n">
        <v>9190000</v>
      </c>
      <c r="H15" s="154" t="n"/>
      <c r="M15" s="149">
        <f>IFERROR(C15-'W7Q3FY26'!C15,"OOS")</f>
        <v/>
      </c>
      <c r="N15" s="147">
        <f>IF(M15=0,"",$A15 &amp; IF(M15&gt;0," tăng "," giảm ") &amp; TEXT(ABS(M15)/1000,"0") &amp; "K = " &amp; TEXT(C15/1000,"#.##0") &amp; "K")</f>
        <v/>
      </c>
      <c r="O15" s="150">
        <f>IFERROR(D15-'W7Q3FY26'!D15,"OOS")</f>
        <v/>
      </c>
      <c r="P15" s="147">
        <f>IF(O15=0,"",$A15 &amp; IF(O15&gt;0," tăng "," giảm ") &amp; TEXT(ABS(O15)/1000,"0") &amp; "K = " &amp; TEXT(D15/1000,"#.##0") &amp; "K")</f>
        <v/>
      </c>
      <c r="Q15" s="150">
        <f>IFERROR(E15-'W7Q3FY26'!E15,"OOS")</f>
        <v/>
      </c>
      <c r="R15" s="147">
        <f>IF(Q15=0,"",$A15 &amp; IF(Q15&gt;0," tăng "," giảm ") &amp; TEXT(ABS(Q15)/1000,"0") &amp; "K = " &amp; TEXT(E15/1000,"#.##0") &amp; "K")</f>
        <v/>
      </c>
      <c r="S15" s="150">
        <f>IFERROR(F15-'W7Q3FY26'!F15,"OOS")</f>
        <v/>
      </c>
      <c r="T15" s="147">
        <f>IF(S15=0,"",$A15 &amp; IF(S15&gt;0," tăng "," giảm ") &amp; TEXT(ABS(S15)/1000,"0") &amp; "K = " &amp; TEXT(F15/1000,"#.##0") &amp; "K")</f>
        <v/>
      </c>
      <c r="U15" s="150">
        <f>IFERROR(G15-'W7Q3FY26'!G15,"OOS")</f>
        <v/>
      </c>
      <c r="V15" s="147">
        <f>IF(U15=0,"",$A15 &amp; IF(U15&gt;0," tăng "," giảm ") &amp; TEXT(ABS(U15)/1000,"0") &amp; "K = " &amp; TEXT(G15/1000,"#.##0") &amp; "K")</f>
        <v/>
      </c>
      <c r="W15" t="inlineStr">
        <is>
          <t xml:space="preserve">MW </t>
        </is>
      </c>
      <c r="X15" t="inlineStr">
        <is>
          <t>Hải</t>
        </is>
      </c>
      <c r="Y15" t="b">
        <v>0</v>
      </c>
    </row>
    <row r="16" ht="15.95" customHeight="1" s="35">
      <c r="A16" t="inlineStr">
        <is>
          <t>iPad Air M3  11" 128 GB Wifi</t>
        </is>
      </c>
      <c r="B16" s="3" t="n"/>
      <c r="C16" s="136" t="n">
        <v>15290000</v>
      </c>
      <c r="D16" s="136" t="n">
        <v>14990000</v>
      </c>
      <c r="E16" s="155" t="n">
        <v>14290000</v>
      </c>
      <c r="F16" s="133" t="n">
        <v>15190000</v>
      </c>
      <c r="G16" s="111" t="inlineStr">
        <is>
          <t>OOS</t>
        </is>
      </c>
      <c r="H16" s="154" t="n"/>
      <c r="M16" s="149">
        <f>IFERROR(C16-'W7Q3FY26'!C16,"OOS")</f>
        <v/>
      </c>
      <c r="N16" s="147">
        <f>IF(M16=0,"",$A16 &amp; IF(M16&gt;0," tăng "," giảm ") &amp; TEXT(ABS(M16)/1000,"0") &amp; "K = " &amp; TEXT(C16/1000,"#.##0") &amp; "K")</f>
        <v/>
      </c>
      <c r="O16" s="150">
        <f>IFERROR(D16-'W7Q3FY26'!D16,"OOS")</f>
        <v/>
      </c>
      <c r="P16" s="147">
        <f>IF(O16=0,"",$A16 &amp; IF(O16&gt;0," tăng "," giảm ") &amp; TEXT(ABS(O16)/1000,"0") &amp; "K = " &amp; TEXT(D16/1000,"#.##0") &amp; "K")</f>
        <v/>
      </c>
      <c r="Q16" s="150">
        <f>IFERROR(E16-'W7Q3FY26'!E16,"OOS")</f>
        <v/>
      </c>
      <c r="R16" s="147">
        <f>IF(Q16=0,"",$A16 &amp; IF(Q16&gt;0," tăng "," giảm ") &amp; TEXT(ABS(Q16)/1000,"0") &amp; "K = " &amp; TEXT(E16/1000,"#.##0") &amp; "K")</f>
        <v/>
      </c>
      <c r="S16" s="150">
        <f>IFERROR(F16-'W7Q3FY26'!F16,"OOS")</f>
        <v/>
      </c>
      <c r="T16" s="147">
        <f>IF(S16=0,"",$A16 &amp; IF(S16&gt;0," tăng "," giảm ") &amp; TEXT(ABS(S16)/1000,"0") &amp; "K = " &amp; TEXT(F16/1000,"#.##0") &amp; "K")</f>
        <v/>
      </c>
      <c r="U16" s="150">
        <f>IFERROR(G16-'W7Q3FY26'!G16,"OOS")</f>
        <v/>
      </c>
      <c r="V16" s="147">
        <f>IF(U16=0,"",$A16 &amp; IF(U16&gt;0," tăng "," giảm ") &amp; TEXT(ABS(U16)/1000,"0") &amp; "K = " &amp; TEXT(G16/1000,"#.##0") &amp; "K")</f>
        <v/>
      </c>
      <c r="W16" t="inlineStr">
        <is>
          <t>FPT</t>
        </is>
      </c>
      <c r="X16" t="inlineStr">
        <is>
          <t>Trang</t>
        </is>
      </c>
      <c r="Y16" t="b">
        <v>0</v>
      </c>
    </row>
    <row r="17" ht="15.95" customHeight="1" s="35">
      <c r="A17" t="inlineStr">
        <is>
          <t>iPad Air M4  11" 128 GB Wifi</t>
        </is>
      </c>
      <c r="B17" s="3" t="n"/>
      <c r="C17" s="141" t="n">
        <v>16390000</v>
      </c>
      <c r="D17" s="141" t="n">
        <v>16390000</v>
      </c>
      <c r="E17" s="155" t="n">
        <v>15790000</v>
      </c>
      <c r="F17" s="111" t="n">
        <v>16390000</v>
      </c>
      <c r="G17" s="111" t="n">
        <v>16090000</v>
      </c>
      <c r="H17" s="154" t="n"/>
      <c r="M17" s="149">
        <f>IFERROR(C17-'W7Q3FY26'!C17,"OOS")</f>
        <v/>
      </c>
      <c r="N17" s="147" t="n"/>
      <c r="O17" s="150">
        <f>IFERROR(D17-'W7Q3FY26'!D17,"OOS")</f>
        <v/>
      </c>
      <c r="P17" s="147">
        <f>IF(O17=0,"",$A17 &amp; IF(O17&gt;0," tăng "," giảm ") &amp; TEXT(ABS(O17)/1000,"0") &amp; "K = " &amp; TEXT(D17/1000,"#.##0") &amp; "K")</f>
        <v/>
      </c>
      <c r="Q17" s="150">
        <f>IFERROR(E17-'W7Q3FY26'!E17,"OOS")</f>
        <v/>
      </c>
      <c r="R17" s="147">
        <f>IF(Q17=0,"",$A17 &amp; IF(Q17&gt;0," tăng "," giảm ") &amp; TEXT(ABS(Q17)/1000,"0") &amp; "K = " &amp; TEXT(E17/1000,"#.##0") &amp; "K")</f>
        <v/>
      </c>
      <c r="S17" s="150">
        <f>IFERROR(F17-'W7Q3FY26'!F17,"OOS")</f>
        <v/>
      </c>
      <c r="T17" s="147" t="n"/>
      <c r="U17" s="150">
        <f>IFERROR(G17-'W7Q3FY26'!G17,"OOS")</f>
        <v/>
      </c>
      <c r="V17" s="147">
        <f>IF(U17=0,"",$A17 &amp; IF(U17&gt;0," tăng "," giảm ") &amp; TEXT(ABS(U17)/1000,"0") &amp; "K = " &amp; TEXT(G17/1000,"#.##0") &amp; "K")</f>
        <v/>
      </c>
      <c r="W17" t="inlineStr">
        <is>
          <t>Viettel</t>
        </is>
      </c>
      <c r="X17" t="inlineStr">
        <is>
          <t>Nghĩa</t>
        </is>
      </c>
      <c r="Y17" t="b">
        <v>1</v>
      </c>
    </row>
    <row r="18" ht="15" customHeight="1" s="35">
      <c r="A18" t="inlineStr">
        <is>
          <t>iPad Air M3  13" 128 GB Wifi</t>
        </is>
      </c>
      <c r="B18" s="25" t="n"/>
      <c r="C18" s="136" t="n">
        <v>18890000</v>
      </c>
      <c r="D18" s="136" t="n">
        <v>19990000</v>
      </c>
      <c r="E18" s="155" t="n">
        <v>19190000</v>
      </c>
      <c r="F18" s="133" t="n">
        <v>18790000</v>
      </c>
      <c r="G18" s="111" t="inlineStr">
        <is>
          <t>OOS</t>
        </is>
      </c>
      <c r="H18" s="154" t="n"/>
      <c r="M18" s="149">
        <f>IFERROR(C18-'W7Q3FY26'!C18,"OOS")</f>
        <v/>
      </c>
      <c r="N18" s="147">
        <f>IF(M18=0,"",$A18 &amp; IF(M18&gt;0," tăng "," giảm ") &amp; TEXT(ABS(M18)/1000,"0") &amp; "K = " &amp; TEXT(C18/1000,"#.##0") &amp; "K")</f>
        <v/>
      </c>
      <c r="O18" s="150">
        <f>IFERROR(D18-'W7Q3FY26'!D18,"OOS")</f>
        <v/>
      </c>
      <c r="P18" s="147">
        <f>IF(O18=0,"",$A18 &amp; IF(O18&gt;0," tăng "," giảm ") &amp; TEXT(ABS(O18)/1000,"0") &amp; "K = " &amp; TEXT(D18/1000,"#.##0") &amp; "K")</f>
        <v/>
      </c>
      <c r="Q18" s="150">
        <f>IFERROR(E18-'W7Q3FY26'!E18,"OOS")</f>
        <v/>
      </c>
      <c r="R18" s="147">
        <f>IF(Q18=0,"",$A18 &amp; IF(Q18&gt;0," tăng "," giảm ") &amp; TEXT(ABS(Q18)/1000,"0") &amp; "K = " &amp; TEXT(E18/1000,"#.##0") &amp; "K")</f>
        <v/>
      </c>
      <c r="S18" s="150">
        <f>IFERROR(F18-'W7Q3FY26'!F18,"OOS")</f>
        <v/>
      </c>
      <c r="T18" s="147">
        <f>IF(S18=0,"",$A18 &amp; IF(S18&gt;0," tăng "," giảm ") &amp; TEXT(ABS(S18)/1000,"0") &amp; "K = " &amp; TEXT(F18/1000,"#.##0") &amp; "K")</f>
        <v/>
      </c>
      <c r="U18" s="150">
        <f>IFERROR(G18-'W7Q3FY26'!G18,"OOS")</f>
        <v/>
      </c>
      <c r="V18" s="147">
        <f>IF(U18=0,"",$A18 &amp; IF(U18&gt;0," tăng "," giảm ") &amp; TEXT(ABS(U18)/1000,"0") &amp; "K = " &amp; TEXT(G18/1000,"#.##0") &amp; "K")</f>
        <v/>
      </c>
      <c r="W18" t="inlineStr">
        <is>
          <t>CPS</t>
        </is>
      </c>
      <c r="X18" t="inlineStr">
        <is>
          <t>Duy</t>
        </is>
      </c>
      <c r="Y18" t="b">
        <v>0</v>
      </c>
    </row>
    <row r="19" ht="15.95" customHeight="1" s="35">
      <c r="A19" t="inlineStr">
        <is>
          <t>iPad Air M4  13" 128 GB Wifi</t>
        </is>
      </c>
      <c r="B19" s="25" t="n"/>
      <c r="C19" s="136" t="n">
        <v>22090000</v>
      </c>
      <c r="D19" s="136" t="n">
        <v>21590000</v>
      </c>
      <c r="E19" s="162" t="n">
        <v>21290000</v>
      </c>
      <c r="F19" s="136" t="n">
        <v>21990000</v>
      </c>
      <c r="G19" s="111" t="n">
        <v>21590000</v>
      </c>
      <c r="H19" s="154" t="n"/>
      <c r="M19" s="149">
        <f>IFERROR(C19-'W7Q3FY26'!C19,"OOS")</f>
        <v/>
      </c>
      <c r="N19" s="147" t="n"/>
      <c r="O19" s="150">
        <f>IFERROR(D19-'W7Q3FY26'!D19,"OOS")</f>
        <v/>
      </c>
      <c r="P19" s="147">
        <f>IF(O19=0,"",$A19 &amp; IF(O19&gt;0," tăng "," giảm ") &amp; TEXT(ABS(O19)/1000,"0") &amp; "K = " &amp; TEXT(D19/1000,"#.##0") &amp; "K")</f>
        <v/>
      </c>
      <c r="Q19" s="150">
        <f>IFERROR(E19-'W7Q3FY26'!E19,"OOS")</f>
        <v/>
      </c>
      <c r="R19" s="147">
        <f>IF(Q19=0,"",$A19 &amp; IF(Q19&gt;0," tăng "," giảm ") &amp; TEXT(ABS(Q19)/1000,"0") &amp; "K = " &amp; TEXT(E19/1000,"#.##0") &amp; "K")</f>
        <v/>
      </c>
      <c r="S19" s="150">
        <f>IFERROR(F19-'W7Q3FY26'!F19,"OOS")</f>
        <v/>
      </c>
      <c r="T19" s="147" t="n"/>
      <c r="U19" s="150">
        <f>IFERROR(G19-'W7Q3FY26'!G19,"OOS")</f>
        <v/>
      </c>
      <c r="V19" s="147" t="n"/>
    </row>
    <row r="20" ht="15.95" customHeight="1" s="35">
      <c r="A20" t="inlineStr">
        <is>
          <t>iPad Pro M5 11” 256GB Wifi</t>
        </is>
      </c>
      <c r="B20" s="3" t="n"/>
      <c r="C20" s="141" t="n">
        <v>28090000</v>
      </c>
      <c r="D20" s="141" t="n">
        <v>28090000</v>
      </c>
      <c r="E20" s="124" t="n">
        <v>28490000</v>
      </c>
      <c r="F20" s="133" t="n">
        <v>28090000</v>
      </c>
      <c r="G20" s="111" t="n">
        <v>28090000</v>
      </c>
      <c r="H20" s="154" t="n"/>
      <c r="M20" s="149">
        <f>IFERROR(C20-'W7Q3FY26'!C20,"OOS")</f>
        <v/>
      </c>
      <c r="N20" s="147">
        <f>IF(M20=0,"",$A20 &amp; IF(M20&gt;0," tăng "," giảm ") &amp; TEXT(ABS(M20)/1000,"0") &amp; "K = " &amp; TEXT(C20/1000,"#.##0") &amp; "K")</f>
        <v/>
      </c>
      <c r="O20" s="150">
        <f>IFERROR(D20-'W7Q3FY26'!D20,"OOS")</f>
        <v/>
      </c>
      <c r="P20" s="147">
        <f>IF(O20=0,"",$A20 &amp; IF(O20&gt;0," tăng "," giảm ") &amp; TEXT(ABS(O20)/1000,"0") &amp; "K = " &amp; TEXT(D20/1000,"#.##0") &amp; "K")</f>
        <v/>
      </c>
      <c r="Q20" s="150">
        <f>IFERROR(E20-'W7Q3FY26'!E20,"OOS")</f>
        <v/>
      </c>
      <c r="R20" s="147">
        <f>IF(Q20=0,"",$A20 &amp; IF(Q20&gt;0," tăng "," giảm ") &amp; TEXT(ABS(Q20)/1000,"0") &amp; "K = " &amp; TEXT(E20/1000,"#.##0") &amp; "K")</f>
        <v/>
      </c>
      <c r="S20" s="150">
        <f>IFERROR(F20-'W7Q3FY26'!F20,"OOS")</f>
        <v/>
      </c>
      <c r="T20" s="147">
        <f>IF(S20=0,"",$A20 &amp; IF(S20&gt;0," tăng "," giảm ") &amp; TEXT(ABS(S20)/1000,"0") &amp; "K = " &amp; TEXT(F20/1000,"#.##0") &amp; "K")</f>
        <v/>
      </c>
      <c r="U20" s="150">
        <f>IFERROR(G20-'W7Q3FY26'!G20,"OOS")</f>
        <v/>
      </c>
      <c r="V20" s="147">
        <f>IF(U20=0,"",$A20 &amp; IF(U20&gt;0," tăng "," giảm ") &amp; TEXT(ABS(U20)/1000,"0") &amp; "K = " &amp; TEXT(G20/1000,"#.##0") &amp; "K")</f>
        <v/>
      </c>
      <c r="W20" t="inlineStr">
        <is>
          <t>ShopDunk</t>
        </is>
      </c>
      <c r="X20" t="inlineStr">
        <is>
          <t>Đạt</t>
        </is>
      </c>
      <c r="Y20" t="b">
        <v>1</v>
      </c>
    </row>
    <row r="21" ht="15.95" customHeight="1" s="35">
      <c r="A21" t="inlineStr">
        <is>
          <t>iPad Pro M5 13” 256GB Wifi</t>
        </is>
      </c>
      <c r="B21" s="3" t="n"/>
      <c r="C21" s="136" t="n">
        <v>38890000</v>
      </c>
      <c r="D21" s="140" t="n">
        <v>38690000</v>
      </c>
      <c r="E21" s="113" t="n">
        <v>37990000</v>
      </c>
      <c r="F21" s="133" t="n">
        <v>38690000</v>
      </c>
      <c r="G21" s="111" t="n">
        <v>38990000</v>
      </c>
      <c r="H21" s="154" t="n"/>
      <c r="M21" s="149">
        <f>IFERROR(C21-'W7Q3FY26'!C21,"OOS")</f>
        <v/>
      </c>
      <c r="N21" s="147">
        <f>IF(M21=0,"",$A21 &amp; IF(M21&gt;0," tăng "," giảm ") &amp; TEXT(ABS(M21)/1000,"0") &amp; "K = " &amp; TEXT(C21/1000,"#.##0") &amp; "K")</f>
        <v/>
      </c>
      <c r="O21" s="150">
        <f>IFERROR(D21-'W7Q3FY26'!D21,"OOS")</f>
        <v/>
      </c>
      <c r="P21" s="147">
        <f>IF(O21=0,"",$A21 &amp; IF(O21&gt;0," tăng "," giảm ") &amp; TEXT(ABS(O21)/1000,"0") &amp; "K = " &amp; TEXT(D21/1000,"#.##0") &amp; "K")</f>
        <v/>
      </c>
      <c r="Q21" s="150">
        <f>IFERROR(E21-'W7Q3FY26'!E21,"OOS")</f>
        <v/>
      </c>
      <c r="R21" s="147">
        <f>IF(Q21=0,"",$A21 &amp; IF(Q21&gt;0," tăng "," giảm ") &amp; TEXT(ABS(Q21)/1000,"0") &amp; "K = " &amp; TEXT(E21/1000,"#.##0") &amp; "K")</f>
        <v/>
      </c>
      <c r="S21" s="150">
        <f>IFERROR(F21-'W7Q3FY26'!F21,"OOS")</f>
        <v/>
      </c>
      <c r="T21" s="147">
        <f>IF(S21=0,"",$A21 &amp; IF(S21&gt;0," tăng "," giảm ") &amp; TEXT(ABS(S21)/1000,"0") &amp; "K = " &amp; TEXT(F21/1000,"#.##0") &amp; "K")</f>
        <v/>
      </c>
      <c r="U21" s="150">
        <f>IFERROR(G21-'W7Q3FY26'!G21,"OOS")</f>
        <v/>
      </c>
      <c r="V21" s="147">
        <f>IF(U21=0,"",$A21 &amp; IF(U21&gt;0," tăng "," giảm ") &amp; TEXT(ABS(U21)/1000,"0") &amp; "K = " &amp; TEXT(G21/1000,"#.##0") &amp; "K")</f>
        <v/>
      </c>
    </row>
    <row r="22" ht="15" customHeight="1" s="35">
      <c r="A22" t="inlineStr">
        <is>
          <t>AW SE 3 (40mm GPS)</t>
        </is>
      </c>
      <c r="B22" s="25" t="n"/>
      <c r="C22" s="136" t="n">
        <v>6790000</v>
      </c>
      <c r="D22" s="141" t="n">
        <v>6790000</v>
      </c>
      <c r="E22" s="140" t="n">
        <v>6490000</v>
      </c>
      <c r="F22" s="134" t="n">
        <v>6790000</v>
      </c>
      <c r="G22" s="112" t="n">
        <v>6590000</v>
      </c>
      <c r="H22" s="154" t="n"/>
      <c r="M22" s="149">
        <f>IFERROR(C22-'W7Q3FY26'!C22,"OOS")</f>
        <v/>
      </c>
      <c r="N22" s="147">
        <f>IF(M22=0,"",$A22 &amp; IF(M22&gt;0," tăng "," giảm ") &amp; TEXT(ABS(M22)/1000,"0") &amp; "K = " &amp; TEXT(C22/1000,"#.##0") &amp; "K")</f>
        <v/>
      </c>
      <c r="O22" s="150">
        <f>IFERROR(D22-'W7Q3FY26'!D22,"OOS")</f>
        <v/>
      </c>
      <c r="P22" s="147">
        <f>IF(O22=0,"",$A22 &amp; IF(O22&gt;0," tăng "," giảm ") &amp; TEXT(ABS(O22)/1000,"0") &amp; "K = " &amp; TEXT(D22/1000,"#.##0") &amp; "K")</f>
        <v/>
      </c>
      <c r="Q22" s="150">
        <f>IFERROR(E22-'W7Q3FY26'!E22,"OOS")</f>
        <v/>
      </c>
      <c r="R22" s="147">
        <f>IF(Q22=0,"",$A22 &amp; IF(Q22&gt;0," tăng "," giảm ") &amp; TEXT(ABS(Q22)/1000,"0") &amp; "K = " &amp; TEXT(E22/1000,"#.##0") &amp; "K")</f>
        <v/>
      </c>
      <c r="S22" s="150">
        <f>IFERROR(F22-'W7Q3FY26'!F22,"OOS")</f>
        <v/>
      </c>
      <c r="T22" s="147">
        <f>IF(S22=0,"",$A22 &amp; IF(S22&gt;0," tăng "," giảm ") &amp; TEXT(ABS(S22)/1000,"0") &amp; "K = " &amp; TEXT(F22/1000,"#.##0") &amp; "K")</f>
        <v/>
      </c>
      <c r="U22" s="150">
        <f>IFERROR(G22-'W7Q3FY26'!G22,"OOS")</f>
        <v/>
      </c>
      <c r="V22" s="147">
        <f>IF(U22=0,"",$A22 &amp; IF(U22&gt;0," tăng "," giảm ") &amp; TEXT(ABS(U22)/1000,"0") &amp; "K = " &amp; TEXT(G22/1000,"#.##0") &amp; "K")</f>
        <v/>
      </c>
    </row>
    <row r="23" ht="15" customHeight="1" s="35">
      <c r="A23" t="inlineStr">
        <is>
          <t>AW SE 3 (40mm LTE)</t>
        </is>
      </c>
      <c r="B23" s="25" t="n"/>
      <c r="C23" s="141" t="n">
        <v>8390000</v>
      </c>
      <c r="D23" s="141" t="n">
        <v>8290000</v>
      </c>
      <c r="E23" s="155" t="n">
        <v>7990000</v>
      </c>
      <c r="F23" s="134" t="n">
        <v>8390000</v>
      </c>
      <c r="G23" s="111" t="n">
        <v>7990000</v>
      </c>
      <c r="H23" s="154" t="n"/>
      <c r="M23" s="149">
        <f>IFERROR(C23-'W7Q3FY26'!C23,"OOS")</f>
        <v/>
      </c>
      <c r="N23" s="147">
        <f>IF(M23=0,"",$A23 &amp; IF(M23&gt;0," tăng "," giảm ") &amp; TEXT(ABS(M23)/1000,"0") &amp; "K = " &amp; TEXT(C23/1000,"#.##0") &amp; "K")</f>
        <v/>
      </c>
      <c r="O23" s="150">
        <f>IFERROR(D23-'W7Q3FY26'!D23,"OOS")</f>
        <v/>
      </c>
      <c r="P23" s="147">
        <f>IF(O23=0,"",$A23 &amp; IF(O23&gt;0," tăng "," giảm ") &amp; TEXT(ABS(O23)/1000,"0") &amp; "K = " &amp; TEXT(D23/1000,"#.##0") &amp; "K")</f>
        <v/>
      </c>
      <c r="Q23" s="150">
        <f>IFERROR(E23-'W7Q3FY26'!E23,"OOS")</f>
        <v/>
      </c>
      <c r="R23" s="147">
        <f>IF(Q23=0,"",$A23 &amp; IF(Q23&gt;0," tăng "," giảm ") &amp; TEXT(ABS(Q23)/1000,"0") &amp; "K = " &amp; TEXT(E23/1000,"#.##0") &amp; "K")</f>
        <v/>
      </c>
      <c r="S23" s="150">
        <f>IFERROR(F23-'W7Q3FY26'!F23,"OOS")</f>
        <v/>
      </c>
      <c r="T23" s="147">
        <f>IF(S23=0,"",$A23 &amp; IF(S23&gt;0," tăng "," giảm ") &amp; TEXT(ABS(S23)/1000,"0") &amp; "K = " &amp; TEXT(F23/1000,"#.##0") &amp; "K")</f>
        <v/>
      </c>
      <c r="U23" s="150">
        <f>IFERROR(G23-'W7Q3FY26'!G23,"OOS")</f>
        <v/>
      </c>
      <c r="V23" s="147">
        <f>IF(U23=0,"",$A23 &amp; IF(U23&gt;0," tăng "," giảm ") &amp; TEXT(ABS(U23)/1000,"0") &amp; "K = " &amp; TEXT(G23/1000,"#.##0") &amp; "K")</f>
        <v/>
      </c>
    </row>
    <row r="24" ht="15" customHeight="1" s="35">
      <c r="A24" t="inlineStr">
        <is>
          <t>AW SE 3 (44mm GPS)</t>
        </is>
      </c>
      <c r="B24" s="25" t="n"/>
      <c r="C24" s="136" t="n">
        <v>7690000</v>
      </c>
      <c r="D24" s="141" t="n">
        <v>7690000</v>
      </c>
      <c r="E24" s="140" t="n">
        <v>7390000</v>
      </c>
      <c r="F24" s="134" t="n">
        <v>7690000</v>
      </c>
      <c r="G24" s="167" t="n">
        <v>7390000</v>
      </c>
      <c r="H24" s="154" t="n"/>
      <c r="M24" s="149">
        <f>IFERROR(C24-'W7Q3FY26'!C24,"OOS")</f>
        <v/>
      </c>
      <c r="N24" s="147">
        <f>IF(M24=0,"",$A24 &amp; IF(M24&gt;0," tăng "," giảm ") &amp; TEXT(ABS(M24)/1000,"0") &amp; "K = " &amp; TEXT(C24/1000,"#.##0") &amp; "K")</f>
        <v/>
      </c>
      <c r="O24" s="150">
        <f>IFERROR(D24-'W7Q3FY26'!D24,"OOS")</f>
        <v/>
      </c>
      <c r="P24" s="147">
        <f>IF(O24=0,"",$A24 &amp; IF(O24&gt;0," tăng "," giảm ") &amp; TEXT(ABS(O24)/1000,"0") &amp; "K = " &amp; TEXT(D24/1000,"#.##0") &amp; "K")</f>
        <v/>
      </c>
      <c r="Q24" s="150">
        <f>IFERROR(E24-'W7Q3FY26'!E24,"OOS")</f>
        <v/>
      </c>
      <c r="R24" s="147">
        <f>IF(Q24=0,"",$A24 &amp; IF(Q24&gt;0," tăng "," giảm ") &amp; TEXT(ABS(Q24)/1000,"0") &amp; "K = " &amp; TEXT(E24/1000,"#.##0") &amp; "K")</f>
        <v/>
      </c>
      <c r="S24" s="150">
        <f>IFERROR(F24-'W7Q3FY26'!F24,"OOS")</f>
        <v/>
      </c>
      <c r="T24" s="147">
        <f>IF(S24=0,"",$A24 &amp; IF(S24&gt;0," tăng "," giảm ") &amp; TEXT(ABS(S24)/1000,"0") &amp; "K = " &amp; TEXT(F24/1000,"#.##0") &amp; "K")</f>
        <v/>
      </c>
      <c r="U24" s="150">
        <f>IFERROR(G24-'W7Q3FY26'!G24,"OOS")</f>
        <v/>
      </c>
      <c r="V24" s="147">
        <f>IF(U24=0,"",$A24 &amp; IF(U24&gt;0," tăng "," giảm ") &amp; TEXT(ABS(U24)/1000,"0") &amp; "K = " &amp; TEXT(G24/1000,"#.##0") &amp; "K")</f>
        <v/>
      </c>
    </row>
    <row r="25" ht="15" customHeight="1" s="35">
      <c r="A25" t="inlineStr">
        <is>
          <t>AW SE 3 (44mm LTE)</t>
        </is>
      </c>
      <c r="B25" s="25" t="n"/>
      <c r="C25" s="136" t="n">
        <v>9190000</v>
      </c>
      <c r="D25" s="141" t="n">
        <v>9190000</v>
      </c>
      <c r="E25" s="140" t="n">
        <v>8990000</v>
      </c>
      <c r="F25" s="134" t="n">
        <v>9190000</v>
      </c>
      <c r="G25" s="111" t="n">
        <v>8790000</v>
      </c>
      <c r="H25" s="154" t="n"/>
      <c r="M25" s="149">
        <f>IFERROR(C25-'W7Q3FY26'!C25,"OOS")</f>
        <v/>
      </c>
      <c r="N25" s="147">
        <f>IF(M25=0,"",$A25 &amp; IF(M25&gt;0," tăng "," giảm ") &amp; TEXT(ABS(M25)/1000,"0") &amp; "K = " &amp; TEXT(C25/1000,"#.##0") &amp; "K")</f>
        <v/>
      </c>
      <c r="O25" s="150">
        <f>IFERROR(D25-'W7Q3FY26'!D25,"OOS")</f>
        <v/>
      </c>
      <c r="P25" s="147">
        <f>IF(O25=0,"",$A25 &amp; IF(O25&gt;0," tăng "," giảm ") &amp; TEXT(ABS(O25)/1000,"0") &amp; "K = " &amp; TEXT(D25/1000,"#.##0") &amp; "K")</f>
        <v/>
      </c>
      <c r="Q25" s="150">
        <f>IFERROR(E25-'W7Q3FY26'!E25,"OOS")</f>
        <v/>
      </c>
      <c r="R25" s="147">
        <f>IF(Q25=0,"",$A25 &amp; IF(Q25&gt;0," tăng "," giảm ") &amp; TEXT(ABS(Q25)/1000,"0") &amp; "K = " &amp; TEXT(E25/1000,"#.##0") &amp; "K")</f>
        <v/>
      </c>
      <c r="S25" s="150">
        <f>IFERROR(F25-'W7Q3FY26'!F25,"OOS")</f>
        <v/>
      </c>
      <c r="T25" s="147">
        <f>IF(S25=0,"",$A25 &amp; IF(S25&gt;0," tăng "," giảm ") &amp; TEXT(ABS(S25)/1000,"0") &amp; "K = " &amp; TEXT(F25/1000,"#.##0") &amp; "K")</f>
        <v/>
      </c>
      <c r="U25" s="150">
        <f>IFERROR(G25-'W7Q3FY26'!G25,"OOS")</f>
        <v/>
      </c>
      <c r="V25" s="147">
        <f>IF(U25=0,"",$A25 &amp; IF(U25&gt;0," tăng "," giảm ") &amp; TEXT(ABS(U25)/1000,"0") &amp; "K = " &amp; TEXT(G25/1000,"#.##0") &amp; "K")</f>
        <v/>
      </c>
    </row>
    <row r="26" ht="15" customHeight="1" s="35">
      <c r="A26" t="inlineStr">
        <is>
          <t>AW S11 (42mm GPS)</t>
        </is>
      </c>
      <c r="B26" s="3" t="n"/>
      <c r="C26" s="141" t="n">
        <v>11190000</v>
      </c>
      <c r="D26" s="141" t="n">
        <v>11990000</v>
      </c>
      <c r="E26" s="140" t="n">
        <v>10690000</v>
      </c>
      <c r="F26" s="134" t="n">
        <v>11190000</v>
      </c>
      <c r="G26" s="112" t="n">
        <v>10890000</v>
      </c>
      <c r="H26" s="154" t="n"/>
      <c r="M26" s="149">
        <f>IFERROR(C26-'W7Q3FY26'!C26,"OOS")</f>
        <v/>
      </c>
      <c r="N26" s="147">
        <f>IF(M26=0,"",$A26 &amp; IF(M26&gt;0," tăng "," giảm ") &amp; TEXT(ABS(M26)/1000,"0") &amp; "K = " &amp; TEXT(C26/1000,"#.##0") &amp; "K")</f>
        <v/>
      </c>
      <c r="O26" s="150">
        <f>IFERROR(D26-'W7Q3FY26'!D26,"OOS")</f>
        <v/>
      </c>
      <c r="P26" s="147">
        <f>IF(O26=0,"",$A26 &amp; IF(O26&gt;0," tăng "," giảm ") &amp; TEXT(ABS(O26)/1000,"0") &amp; "K = " &amp; TEXT(D26/1000,"#.##0") &amp; "K")</f>
        <v/>
      </c>
      <c r="Q26" s="150">
        <f>IFERROR(E26-'W7Q3FY26'!E26,"OOS")</f>
        <v/>
      </c>
      <c r="R26" s="147">
        <f>IF(Q26=0,"",$A26 &amp; IF(Q26&gt;0," tăng "," giảm ") &amp; TEXT(ABS(Q26)/1000,"0") &amp; "K = " &amp; TEXT(E26/1000,"#.##0") &amp; "K")</f>
        <v/>
      </c>
      <c r="S26" s="150">
        <f>IFERROR(F26-'W7Q3FY26'!F26,"OOS")</f>
        <v/>
      </c>
      <c r="T26" s="147">
        <f>IF(S26=0,"",$A26 &amp; IF(S26&gt;0," tăng "," giảm ") &amp; TEXT(ABS(S26)/1000,"0") &amp; "K = " &amp; TEXT(F26/1000,"#.##0") &amp; "K")</f>
        <v/>
      </c>
      <c r="U26" s="150">
        <f>IFERROR(G26-'W7Q3FY26'!G26,"OOS")</f>
        <v/>
      </c>
      <c r="V26" s="147">
        <f>IF(U26=0,"",$A26 &amp; IF(U26&gt;0," tăng "," giảm ") &amp; TEXT(ABS(U26)/1000,"0") &amp; "K = " &amp; TEXT(G26/1000,"#.##0") &amp; "K")</f>
        <v/>
      </c>
    </row>
    <row r="27" ht="15" customHeight="1" s="35">
      <c r="A27" t="inlineStr">
        <is>
          <t>AW S11 (42mm CEL)</t>
        </is>
      </c>
      <c r="B27" s="3" t="n"/>
      <c r="C27" s="141" t="inlineStr">
        <is>
          <t>OOS</t>
        </is>
      </c>
      <c r="D27" s="141" t="n">
        <v>14090000</v>
      </c>
      <c r="E27" s="140" t="n">
        <v>13990000</v>
      </c>
      <c r="F27" s="134" t="n">
        <v>13990000</v>
      </c>
      <c r="G27" s="112" t="n">
        <v>13990000</v>
      </c>
      <c r="H27" s="154" t="n"/>
      <c r="M27" s="149">
        <f>IFERROR(C27-'W7Q3FY26'!C27,"OOS")</f>
        <v/>
      </c>
      <c r="N27" s="147">
        <f>IF(M27=0,"",$A27 &amp; IF(M27&gt;0," tăng "," giảm ") &amp; TEXT(ABS(M27)/1000,"0") &amp; "K = " &amp; TEXT(C27/1000,"#.##0") &amp; "K")</f>
        <v/>
      </c>
      <c r="O27" s="150">
        <f>IFERROR(D27-'W7Q3FY26'!D27,"OOS")</f>
        <v/>
      </c>
      <c r="P27" s="147">
        <f>IF(O27=0,"",$A27 &amp; IF(O27&gt;0," tăng "," giảm ") &amp; TEXT(ABS(O27)/1000,"0") &amp; "K = " &amp; TEXT(D27/1000,"#.##0") &amp; "K")</f>
        <v/>
      </c>
      <c r="Q27" s="150">
        <f>IFERROR(E27-'W7Q3FY26'!E27,"OOS")</f>
        <v/>
      </c>
      <c r="R27" s="147">
        <f>IF(Q27=0,"",$A27 &amp; IF(Q27&gt;0," tăng "," giảm ") &amp; TEXT(ABS(Q27)/1000,"0") &amp; "K = " &amp; TEXT(E27/1000,"#.##0") &amp; "K")</f>
        <v/>
      </c>
      <c r="S27" s="150">
        <f>IFERROR(F27-'W7Q3FY26'!F27,"OOS")</f>
        <v/>
      </c>
      <c r="T27" s="147">
        <f>IF(S27=0,"",$A27 &amp; IF(S27&gt;0," tăng "," giảm ") &amp; TEXT(ABS(S27)/1000,"0") &amp; "K = " &amp; TEXT(F27/1000,"#.##0") &amp; "K")</f>
        <v/>
      </c>
      <c r="U27" s="150">
        <f>IFERROR(G27-'W7Q3FY26'!G27,"OOS")</f>
        <v/>
      </c>
      <c r="V27" s="147">
        <f>IF(U27=0,"",$A27 &amp; IF(U27&gt;0," tăng "," giảm ") &amp; TEXT(ABS(U27)/1000,"0") &amp; "K = " &amp; TEXT(G27/1000,"#.##0") &amp; "K")</f>
        <v/>
      </c>
    </row>
    <row r="28" ht="15" customHeight="1" s="35">
      <c r="A28" t="inlineStr">
        <is>
          <t>AW S11 (46mm GPS)</t>
        </is>
      </c>
      <c r="B28" s="3" t="n"/>
      <c r="C28" s="141" t="n">
        <v>11990000</v>
      </c>
      <c r="D28" s="141" t="n">
        <v>11990000</v>
      </c>
      <c r="E28" s="140" t="n">
        <v>11490000</v>
      </c>
      <c r="F28" s="134" t="n">
        <v>11990000</v>
      </c>
      <c r="G28" s="112" t="n">
        <v>11990000</v>
      </c>
      <c r="H28" s="154" t="n"/>
      <c r="M28" s="149">
        <f>IFERROR(C28-'W7Q3FY26'!C28,"OOS")</f>
        <v/>
      </c>
      <c r="N28" s="147">
        <f>IF(M28=0,"",$A28 &amp; IF(M28&gt;0," tăng "," giảm ") &amp; TEXT(ABS(M28)/1000,"0") &amp; "K = " &amp; TEXT(C28/1000,"#.##0") &amp; "K")</f>
        <v/>
      </c>
      <c r="O28" s="150">
        <f>IFERROR(D28-'W7Q3FY26'!D28,"OOS")</f>
        <v/>
      </c>
      <c r="P28" s="147">
        <f>IF(O28=0,"",$A28 &amp; IF(O28&gt;0," tăng "," giảm ") &amp; TEXT(ABS(O28)/1000,"0") &amp; "K = " &amp; TEXT(D28/1000,"#.##0") &amp; "K")</f>
        <v/>
      </c>
      <c r="Q28" s="150">
        <f>IFERROR(E28-'W7Q3FY26'!E28,"OOS")</f>
        <v/>
      </c>
      <c r="R28" s="147">
        <f>IF(Q28=0,"",$A28 &amp; IF(Q28&gt;0," tăng "," giảm ") &amp; TEXT(ABS(Q28)/1000,"0") &amp; "K = " &amp; TEXT(E28/1000,"#.##0") &amp; "K")</f>
        <v/>
      </c>
      <c r="S28" s="150">
        <f>IFERROR(F28-'W7Q3FY26'!F28,"OOS")</f>
        <v/>
      </c>
      <c r="T28" s="147">
        <f>IF(S28=0,"",$A28 &amp; IF(S28&gt;0," tăng "," giảm ") &amp; TEXT(ABS(S28)/1000,"0") &amp; "K = " &amp; TEXT(F28/1000,"#.##0") &amp; "K")</f>
        <v/>
      </c>
      <c r="U28" s="150">
        <f>IFERROR(G28-'W7Q3FY26'!G28,"OOS")</f>
        <v/>
      </c>
      <c r="V28" s="147">
        <f>IF(U28=0,"",$A28 &amp; IF(U28&gt;0," tăng "," giảm ") &amp; TEXT(ABS(U28)/1000,"0") &amp; "K = " &amp; TEXT(G28/1000,"#.##0") &amp; "K")</f>
        <v/>
      </c>
    </row>
    <row r="29" ht="15" customHeight="1" s="35">
      <c r="A29" t="inlineStr">
        <is>
          <t>AW S11 (46mm CEL)</t>
        </is>
      </c>
      <c r="B29" s="3" t="n"/>
      <c r="C29" s="141" t="n">
        <v>14990000</v>
      </c>
      <c r="D29" s="141" t="n">
        <v>14990000</v>
      </c>
      <c r="E29" s="140" t="n">
        <v>14490000</v>
      </c>
      <c r="F29" s="134" t="n">
        <v>14990000</v>
      </c>
      <c r="G29" s="112" t="n">
        <v>14990000</v>
      </c>
      <c r="H29" s="154" t="n"/>
      <c r="M29" s="149">
        <f>IFERROR(C29-'W7Q3FY26'!C29,"OOS")</f>
        <v/>
      </c>
      <c r="N29" s="147">
        <f>IF(M29=0,"",$A29 &amp; IF(M29&gt;0," tăng "," giảm ") &amp; TEXT(ABS(M29)/1000,"0") &amp; "K = " &amp; TEXT(C29/1000,"#.##0") &amp; "K")</f>
        <v/>
      </c>
      <c r="O29" s="150">
        <f>IFERROR(D29-'W7Q3FY26'!D29,"OOS")</f>
        <v/>
      </c>
      <c r="P29" s="147">
        <f>IF(O29=0,"",$A29 &amp; IF(O29&gt;0," tăng "," giảm ") &amp; TEXT(ABS(O29)/1000,"0") &amp; "K = " &amp; TEXT(D29/1000,"#.##0") &amp; "K")</f>
        <v/>
      </c>
      <c r="Q29" s="150">
        <f>IFERROR(E29-'W7Q3FY26'!E29,"OOS")</f>
        <v/>
      </c>
      <c r="R29" s="147">
        <f>IF(Q29=0,"",$A29 &amp; IF(Q29&gt;0," tăng "," giảm ") &amp; TEXT(ABS(Q29)/1000,"0") &amp; "K = " &amp; TEXT(E29/1000,"#.##0") &amp; "K")</f>
        <v/>
      </c>
      <c r="S29" s="150">
        <f>IFERROR(F29-'W7Q3FY26'!F29,"OOS")</f>
        <v/>
      </c>
      <c r="T29" s="147">
        <f>IF(S29=0,"",$A29 &amp; IF(S29&gt;0," tăng "," giảm ") &amp; TEXT(ABS(S29)/1000,"0") &amp; "K = " &amp; TEXT(F29/1000,"#.##0") &amp; "K")</f>
        <v/>
      </c>
      <c r="U29" s="150">
        <f>IFERROR(G29-'W7Q3FY26'!G29,"OOS")</f>
        <v/>
      </c>
      <c r="V29" s="147">
        <f>IF(U29=0,"",$A29 &amp; IF(U29&gt;0," tăng "," giảm ") &amp; TEXT(ABS(U29)/1000,"0") &amp; "K = " &amp; TEXT(G29/1000,"#.##0") &amp; "K")</f>
        <v/>
      </c>
    </row>
    <row r="30" ht="15.95" customHeight="1" s="35">
      <c r="A30" t="inlineStr">
        <is>
          <t>AW Ultra 3 (49mm)</t>
        </is>
      </c>
      <c r="B30" s="25" t="n"/>
      <c r="C30" s="136" t="n">
        <v>23490000</v>
      </c>
      <c r="D30" s="136" t="n">
        <v>22990000</v>
      </c>
      <c r="E30" s="113" t="n">
        <v>22490000</v>
      </c>
      <c r="F30" s="133" t="n">
        <v>22990000</v>
      </c>
      <c r="G30" s="111" t="n">
        <v>22990000</v>
      </c>
      <c r="H30" s="154" t="n"/>
      <c r="M30" s="149">
        <f>IFERROR(C30-'W7Q3FY26'!C30,"OOS")</f>
        <v/>
      </c>
      <c r="N30" s="147">
        <f>IF(M30=0,"",$A30 &amp; IF(M30&gt;0," tăng "," giảm ") &amp; TEXT(ABS(M30)/1000,"0") &amp; "K = " &amp; TEXT(C30/1000,"#.##0") &amp; "K")</f>
        <v/>
      </c>
      <c r="O30" s="150">
        <f>IFERROR(D30-'W7Q3FY26'!D30,"OOS")</f>
        <v/>
      </c>
      <c r="P30" s="147">
        <f>IF(O30=0,"",$A30 &amp; IF(O30&gt;0," tăng "," giảm ") &amp; TEXT(ABS(O30)/1000,"0") &amp; "K = " &amp; TEXT(D30/1000,"#.##0") &amp; "K")</f>
        <v/>
      </c>
      <c r="Q30" s="150">
        <f>IFERROR(E30-'W7Q3FY26'!E30,"OOS")</f>
        <v/>
      </c>
      <c r="R30" s="147">
        <f>IF(Q30=0,"",$A30 &amp; IF(Q30&gt;0," tăng "," giảm ") &amp; TEXT(ABS(Q30)/1000,"0") &amp; "K = " &amp; TEXT(E30/1000,"#.##0") &amp; "K")</f>
        <v/>
      </c>
      <c r="S30" s="150">
        <f>IFERROR(F30-'W7Q3FY26'!F30,"OOS")</f>
        <v/>
      </c>
      <c r="T30" s="147">
        <f>IF(S30=0,"",$A30 &amp; IF(S30&gt;0," tăng "," giảm ") &amp; TEXT(ABS(S30)/1000,"0") &amp; "K = " &amp; TEXT(F30/1000,"#.##0") &amp; "K")</f>
        <v/>
      </c>
      <c r="U30" s="150">
        <f>IFERROR(G30-'W7Q3FY26'!G30,"OOS")</f>
        <v/>
      </c>
      <c r="V30" s="147">
        <f>IF(U30=0,"",$A30 &amp; IF(U30&gt;0," tăng "," giảm ") &amp; TEXT(ABS(U30)/1000,"0") &amp; "K = " &amp; TEXT(G30/1000,"#.##0") &amp; "K")</f>
        <v/>
      </c>
    </row>
    <row r="31" ht="15.95" customHeight="1" s="35">
      <c r="A31" t="inlineStr">
        <is>
          <t>AirPods Pro 2 - 2023 (C-Type)</t>
        </is>
      </c>
      <c r="B31" s="3" t="n"/>
      <c r="C31" s="136" t="inlineStr">
        <is>
          <t>OOS</t>
        </is>
      </c>
      <c r="D31" s="136" t="inlineStr">
        <is>
          <t>OOS</t>
        </is>
      </c>
      <c r="E31" s="131" t="inlineStr">
        <is>
          <t>OOS</t>
        </is>
      </c>
      <c r="F31" s="133" t="n">
        <v>4990000</v>
      </c>
      <c r="G31" s="111" t="n">
        <v>5590000</v>
      </c>
      <c r="H31" s="154" t="n"/>
      <c r="M31" s="149">
        <f>IFERROR(C31-'W7Q3FY26'!C31,"OOS")</f>
        <v/>
      </c>
      <c r="N31" s="147">
        <f>IF(M31=0,"",$A31 &amp; IF(M31&gt;0," tăng "," giảm ") &amp; TEXT(ABS(M31)/1000,"0") &amp; "K = " &amp; TEXT(C31/1000,"#.##0") &amp; "K")</f>
        <v/>
      </c>
      <c r="O31" s="150">
        <f>IFERROR(D31-'W7Q3FY26'!D31,"OOS")</f>
        <v/>
      </c>
      <c r="P31" s="147">
        <f>IF(O31=0,"",$A31 &amp; IF(O31&gt;0," tăng "," giảm ") &amp; TEXT(ABS(O31)/1000,"0") &amp; "K = " &amp; TEXT(D31/1000,"#.##0") &amp; "K")</f>
        <v/>
      </c>
      <c r="Q31" s="150">
        <f>IFERROR(E31-'W7Q3FY26'!E31,"OOS")</f>
        <v/>
      </c>
      <c r="R31" s="147">
        <f>IF(Q31=0,"",$A31 &amp; IF(Q31&gt;0," tăng "," giảm ") &amp; TEXT(ABS(Q31)/1000,"0") &amp; "K = " &amp; TEXT(E31/1000,"#.##0") &amp; "K")</f>
        <v/>
      </c>
      <c r="S31" s="150">
        <f>IFERROR(F31-'W7Q3FY26'!F31,"OOS")</f>
        <v/>
      </c>
      <c r="T31" s="147">
        <f>IF(S31=0,"",$A31 &amp; IF(S31&gt;0," tăng "," giảm ") &amp; TEXT(ABS(S31)/1000,"0") &amp; "K = " &amp; TEXT(F31/1000,"#.##0") &amp; "K")</f>
        <v/>
      </c>
      <c r="U31" s="150">
        <f>IFERROR(G31-'W7Q3FY26'!G31,"OOS")</f>
        <v/>
      </c>
      <c r="V31" s="147">
        <f>IF(U31=0,"",$A31 &amp; IF(U31&gt;0," tăng "," giảm ") &amp; TEXT(ABS(U31)/1000,"0") &amp; "K = " &amp; TEXT(G31/1000,"#.##0") &amp; "K")</f>
        <v/>
      </c>
    </row>
    <row r="32" ht="15" customHeight="1" s="35">
      <c r="A32" t="inlineStr">
        <is>
          <t>AirPods 4 ANC</t>
        </is>
      </c>
      <c r="B32" s="3" t="n"/>
      <c r="C32" s="141" t="n">
        <v>4590000</v>
      </c>
      <c r="D32" s="141" t="n">
        <v>4590000</v>
      </c>
      <c r="E32" s="155" t="n">
        <v>4490000</v>
      </c>
      <c r="F32" s="134" t="n">
        <v>4590000</v>
      </c>
      <c r="G32" s="112" t="n">
        <v>4450000</v>
      </c>
      <c r="H32" s="154" t="n"/>
      <c r="M32" s="149">
        <f>IFERROR(C32-'W7Q3FY26'!C32,"OOS")</f>
        <v/>
      </c>
      <c r="N32" s="147">
        <f>IF(M32=0,"",$A32 &amp; IF(M32&gt;0," tăng "," giảm ") &amp; TEXT(ABS(M32)/1000,"0") &amp; "K = " &amp; TEXT(C32/1000,"#.##0") &amp; "K")</f>
        <v/>
      </c>
      <c r="O32" s="150">
        <f>IFERROR(D32-'W7Q3FY26'!D32,"OOS")</f>
        <v/>
      </c>
      <c r="P32" s="147">
        <f>IF(O32=0,"",$A32 &amp; IF(O32&gt;0," tăng "," giảm ") &amp; TEXT(ABS(O32)/1000,"0") &amp; "K = " &amp; TEXT(D32/1000,"#.##0") &amp; "K")</f>
        <v/>
      </c>
      <c r="Q32" s="150">
        <f>IFERROR(E32-'W7Q3FY26'!E32,"OOS")</f>
        <v/>
      </c>
      <c r="R32" s="147">
        <f>IF(Q32=0,"",$A32 &amp; IF(Q32&gt;0," tăng "," giảm ") &amp; TEXT(ABS(Q32)/1000,"0") &amp; "K = " &amp; TEXT(E32/1000,"#.##0") &amp; "K")</f>
        <v/>
      </c>
      <c r="S32" s="150">
        <f>IFERROR(F32-'W7Q3FY26'!F32,"OOS")</f>
        <v/>
      </c>
      <c r="T32" s="147">
        <f>IF(S32=0,"",$A32 &amp; IF(S32&gt;0," tăng "," giảm ") &amp; TEXT(ABS(S32)/1000,"0") &amp; "K = " &amp; TEXT(F32/1000,"#.##0") &amp; "K")</f>
        <v/>
      </c>
      <c r="U32" s="150">
        <f>IFERROR(G32-'W7Q3FY26'!G32,"OOS")</f>
        <v/>
      </c>
      <c r="V32" s="147">
        <f>IF(U32=0,"",$A32 &amp; IF(U32&gt;0," tăng "," giảm ") &amp; TEXT(ABS(U32)/1000,"0") &amp; "K = " &amp; TEXT(G32/1000,"#.##0") &amp; "K")</f>
        <v/>
      </c>
    </row>
    <row r="33" ht="15" customHeight="1" s="35">
      <c r="A33" t="inlineStr">
        <is>
          <t>AirPods 4 with charging case</t>
        </is>
      </c>
      <c r="B33" s="3" t="n"/>
      <c r="C33" s="141" t="n">
        <v>3490000</v>
      </c>
      <c r="D33" s="141" t="n">
        <v>3490000</v>
      </c>
      <c r="E33" s="155" t="n">
        <v>3390000</v>
      </c>
      <c r="F33" s="134" t="n">
        <v>3590000</v>
      </c>
      <c r="G33" s="112" t="n">
        <v>3190000</v>
      </c>
      <c r="H33" s="154" t="n"/>
      <c r="M33" s="149">
        <f>IFERROR(C33-'W7Q3FY26'!C33,"OOS")</f>
        <v/>
      </c>
      <c r="N33" s="147">
        <f>IF(M33=0,"",$A33 &amp; IF(M33&gt;0," tăng "," giảm ") &amp; TEXT(ABS(M33)/1000,"0") &amp; "K = " &amp; TEXT(C33/1000,"#.##0") &amp; "K")</f>
        <v/>
      </c>
      <c r="O33" s="150">
        <f>IFERROR(D33-'W7Q3FY26'!D33,"OOS")</f>
        <v/>
      </c>
      <c r="P33" s="147">
        <f>IF(O33=0,"",$A33 &amp; IF(O33&gt;0," tăng "," giảm ") &amp; TEXT(ABS(O33)/1000,"0") &amp; "K = " &amp; TEXT(D33/1000,"#.##0") &amp; "K")</f>
        <v/>
      </c>
      <c r="Q33" s="150">
        <f>IFERROR(E33-'W7Q3FY26'!E33,"OOS")</f>
        <v/>
      </c>
      <c r="R33" s="147">
        <f>IF(Q33=0,"",$A33 &amp; IF(Q33&gt;0," tăng "," giảm ") &amp; TEXT(ABS(Q33)/1000,"0") &amp; "K = " &amp; TEXT(E33/1000,"#.##0") &amp; "K")</f>
        <v/>
      </c>
      <c r="S33" s="150">
        <f>IFERROR(F33-'W7Q3FY26'!F33,"OOS")</f>
        <v/>
      </c>
      <c r="T33" s="147">
        <f>IF(S33=0,"",$A33 &amp; IF(S33&gt;0," tăng "," giảm ") &amp; TEXT(ABS(S33)/1000,"0") &amp; "K = " &amp; TEXT(F33/1000,"#.##0") &amp; "K")</f>
        <v/>
      </c>
      <c r="U33" s="150">
        <f>IFERROR(G33-'W7Q3FY26'!G33,"OOS")</f>
        <v/>
      </c>
      <c r="V33" s="147">
        <f>IF(U33=0,"",$A33 &amp; IF(U33&gt;0," tăng "," giảm ") &amp; TEXT(ABS(U33)/1000,"0") &amp; "K = " &amp; TEXT(G33/1000,"#.##0") &amp; "K")</f>
        <v/>
      </c>
    </row>
    <row r="34" ht="15" customHeight="1" s="35">
      <c r="A34" t="inlineStr">
        <is>
          <t>AirPods Pro 3</t>
        </is>
      </c>
      <c r="B34" s="3" t="n"/>
      <c r="C34" s="141" t="n">
        <v>6590000</v>
      </c>
      <c r="D34" s="141" t="n">
        <v>6590000</v>
      </c>
      <c r="E34" s="135" t="n">
        <v>6190000</v>
      </c>
      <c r="F34" s="134" t="n">
        <v>6490000</v>
      </c>
      <c r="G34" s="112" t="n">
        <v>6290000</v>
      </c>
      <c r="H34" s="154" t="n"/>
      <c r="M34" s="149">
        <f>IFERROR(C34-'W7Q3FY26'!C34,"OOS")</f>
        <v/>
      </c>
      <c r="N34" s="147">
        <f>IF(M34=0,"",$A34 &amp; IF(M34&gt;0," tăng "," giảm ") &amp; TEXT(ABS(M34)/1000,"0") &amp; "K = " &amp; TEXT(C34/1000,"#.##0") &amp; "K")</f>
        <v/>
      </c>
      <c r="O34" s="150">
        <f>IFERROR(D34-'W7Q3FY26'!D34,"OOS")</f>
        <v/>
      </c>
      <c r="P34" s="147">
        <f>IF(O34=0,"",$A34 &amp; IF(O34&gt;0," tăng "," giảm ") &amp; TEXT(ABS(O34)/1000,"0") &amp; "K = " &amp; TEXT(D34/1000,"#.##0") &amp; "K")</f>
        <v/>
      </c>
      <c r="Q34" s="150">
        <f>IFERROR(E34-'W7Q3FY26'!E34,"OOS")</f>
        <v/>
      </c>
      <c r="R34" s="147">
        <f>IF(Q34=0,"",$A34 &amp; IF(Q34&gt;0," tăng "," giảm ") &amp; TEXT(ABS(Q34)/1000,"0") &amp; "K = " &amp; TEXT(E34/1000,"#.##0") &amp; "K")</f>
        <v/>
      </c>
      <c r="S34" s="150">
        <f>IFERROR(F34-'W7Q3FY26'!F34,"OOS")</f>
        <v/>
      </c>
      <c r="T34" s="147">
        <f>IF(S34=0,"",$A34 &amp; IF(S34&gt;0," tăng "," giảm ") &amp; TEXT(ABS(S34)/1000,"0") &amp; "K = " &amp; TEXT(F34/1000,"#.##0") &amp; "K")</f>
        <v/>
      </c>
      <c r="U34" s="150">
        <f>IFERROR(G34-'W7Q3FY26'!G34,"OOS")</f>
        <v/>
      </c>
      <c r="V34" s="147">
        <f>IF(U34=0,"",$A34 &amp; IF(U34&gt;0," tăng "," giảm ") &amp; TEXT(ABS(U34)/1000,"0") &amp; "K = " &amp; TEXT(G34/1000,"#.##0") &amp; "K")</f>
        <v/>
      </c>
    </row>
    <row r="35" ht="15" customHeight="1" s="35">
      <c r="A35" t="inlineStr">
        <is>
          <t>MacBook Air 13" M5 16/512GB</t>
        </is>
      </c>
      <c r="B35" s="25" t="n"/>
      <c r="C35" s="141" t="n">
        <v>29490000</v>
      </c>
      <c r="D35" s="141" t="n">
        <v>29490000</v>
      </c>
      <c r="E35" s="143" t="n"/>
      <c r="F35" s="112" t="n">
        <v>29490000</v>
      </c>
      <c r="G35" s="112" t="n">
        <v>29290000</v>
      </c>
      <c r="H35" s="154" t="n"/>
      <c r="M35" s="149">
        <f>IFERROR(C35-'W7Q3FY26'!C35,"OOS")</f>
        <v/>
      </c>
      <c r="N35" s="147">
        <f>IF(M35=0,"",$A35 &amp; IF(M35&gt;0," tăng "," giảm ") &amp; TEXT(ABS(M35)/1000,"0") &amp; "K = " &amp; TEXT(C35/1000,"#.##0") &amp; "K")</f>
        <v/>
      </c>
      <c r="O35" s="150">
        <f>IFERROR(D35-'W7Q3FY26'!D35,"OOS")</f>
        <v/>
      </c>
      <c r="P35" s="147">
        <f>IF(O35=0,"",$A35 &amp; IF(O35&gt;0," tăng "," giảm ") &amp; TEXT(ABS(O35)/1000,"0") &amp; "K = " &amp; TEXT(D35/1000,"#.##0") &amp; "K")</f>
        <v/>
      </c>
      <c r="Q35" s="150">
        <f>IFERROR(E35-'W7Q3FY26'!E35,"OOS")</f>
        <v/>
      </c>
      <c r="R35" s="147">
        <f>IF(Q35=0,"",$A35 &amp; IF(Q35&gt;0," tăng "," giảm ") &amp; TEXT(ABS(Q35)/1000,"0") &amp; "K = " &amp; TEXT(E35/1000,"#.##0") &amp; "K")</f>
        <v/>
      </c>
      <c r="S35" s="150">
        <f>IFERROR(F35-'W7Q3FY26'!F35,"OOS")</f>
        <v/>
      </c>
      <c r="T35" s="147">
        <f>IF(S35=0,"",$A35 &amp; IF(S35&gt;0," tăng "," giảm ") &amp; TEXT(ABS(S35)/1000,"0") &amp; "K = " &amp; TEXT(F35/1000,"#.##0") &amp; "K")</f>
        <v/>
      </c>
      <c r="U35" s="150">
        <f>IFERROR(G35-'W7Q3FY26'!G35,"OOS")</f>
        <v/>
      </c>
      <c r="V35" s="147">
        <f>IF(U35=0,"",$A35 &amp; IF(U35&gt;0," tăng "," giảm ") &amp; TEXT(ABS(U35)/1000,"0") &amp; "K = " &amp; TEXT(G35/1000,"#.##0") &amp; "K")</f>
        <v/>
      </c>
    </row>
    <row r="36" ht="15.95" customHeight="1" s="35">
      <c r="A36" t="inlineStr">
        <is>
          <t>MacBook NEO A18 Pro ( 8/256GB)</t>
        </is>
      </c>
      <c r="B36" s="25" t="n"/>
      <c r="C36" s="136" t="n">
        <v>15990000</v>
      </c>
      <c r="D36" s="136" t="n">
        <v>15990000</v>
      </c>
      <c r="E36" s="143" t="n"/>
      <c r="F36" s="111" t="n">
        <v>15990000</v>
      </c>
      <c r="G36" s="111" t="n">
        <v>15890000</v>
      </c>
      <c r="H36" s="154" t="n"/>
      <c r="M36" s="149">
        <f>IFERROR(C36-'W7Q3FY26'!C36,"OOS")</f>
        <v/>
      </c>
      <c r="N36" s="147">
        <f>IF(M36=0,"",$A36 &amp; IF(M36&gt;0," tăng "," giảm ") &amp; TEXT(ABS(M36)/1000,"0") &amp; "K = " &amp; TEXT(C36/1000,"#.##0") &amp; "K")</f>
        <v/>
      </c>
      <c r="O36" s="150">
        <f>IFERROR(D36-'W7Q3FY26'!D36,"OOS")</f>
        <v/>
      </c>
      <c r="P36" s="147">
        <f>IF(O36=0,"",$A36 &amp; IF(O36&gt;0," tăng "," giảm ") &amp; TEXT(ABS(O36)/1000,"0") &amp; "K = " &amp; TEXT(D36/1000,"#.##0") &amp; "K")</f>
        <v/>
      </c>
      <c r="Q36" s="150">
        <f>IFERROR(E36-'W7Q3FY26'!E36,"OOS")</f>
        <v/>
      </c>
      <c r="R36" s="147">
        <f>IF(Q36=0,"",$A36 &amp; IF(Q36&gt;0," tăng "," giảm ") &amp; TEXT(ABS(Q36)/1000,"0") &amp; "K = " &amp; TEXT(E36/1000,"#.##0") &amp; "K")</f>
        <v/>
      </c>
      <c r="S36" s="150">
        <f>IFERROR(F36-'W7Q3FY26'!F36,"OOS")</f>
        <v/>
      </c>
      <c r="T36" s="147">
        <f>IF(S36=0,"",$A36 &amp; IF(S36&gt;0," tăng "," giảm ") &amp; TEXT(ABS(S36)/1000,"0") &amp; "K = " &amp; TEXT(F36/1000,"#.##0") &amp; "K")</f>
        <v/>
      </c>
      <c r="U36" s="150">
        <f>IFERROR(G36-'W7Q3FY26'!G36,"OOS")</f>
        <v/>
      </c>
      <c r="V36" s="147">
        <f>IF(U36=0,"",$A36 &amp; IF(U36&gt;0," tăng "," giảm ") &amp; TEXT(ABS(U36)/1000,"0") &amp; "K = " &amp; TEXT(G36/1000,"#.##0") &amp; "K")</f>
        <v/>
      </c>
    </row>
    <row r="37" ht="15.95" customHeight="1" s="35">
      <c r="A37" t="inlineStr">
        <is>
          <t>MacBook Air 13" M4 16/256GB</t>
        </is>
      </c>
      <c r="B37" s="3" t="n"/>
      <c r="C37" s="141" t="n">
        <v>25890000</v>
      </c>
      <c r="D37" s="136" t="inlineStr">
        <is>
          <t>OOS</t>
        </is>
      </c>
      <c r="E37" s="143" t="n"/>
      <c r="F37" s="133" t="n">
        <v>25890000</v>
      </c>
      <c r="G37" s="111" t="n">
        <v>24590000</v>
      </c>
      <c r="H37" s="154" t="n"/>
      <c r="J37" t="inlineStr">
        <is>
          <t>`</t>
        </is>
      </c>
      <c r="M37" s="149">
        <f>IFERROR(C37-'W7Q3FY26'!C37,"OOS")</f>
        <v/>
      </c>
      <c r="N37" s="147">
        <f>IF(M37=0,"",$A37 &amp; IF(M37&gt;0," tăng "," giảm ") &amp; TEXT(ABS(M37)/1000,"0") &amp; "K = " &amp; TEXT(C37/1000,"#.##0") &amp; "K")</f>
        <v/>
      </c>
      <c r="O37" s="150">
        <f>IFERROR(D37-'W7Q3FY26'!D37,"OOS")</f>
        <v/>
      </c>
      <c r="P37" s="147">
        <f>IF(O37=0,"",$A37 &amp; IF(O37&gt;0," tăng "," giảm ") &amp; TEXT(ABS(O37)/1000,"0") &amp; "K = " &amp; TEXT(D37/1000,"#.##0") &amp; "K")</f>
        <v/>
      </c>
      <c r="Q37" s="150">
        <f>IFERROR(E37-'W7Q3FY26'!E37,"OOS")</f>
        <v/>
      </c>
      <c r="R37" s="147">
        <f>IF(Q37=0,"",$A37 &amp; IF(Q37&gt;0," tăng "," giảm ") &amp; TEXT(ABS(Q37)/1000,"0") &amp; "K = " &amp; TEXT(E37/1000,"#.##0") &amp; "K")</f>
        <v/>
      </c>
      <c r="S37" s="150">
        <f>IFERROR(F37-'W7Q3FY26'!F37,"OOS")</f>
        <v/>
      </c>
      <c r="T37" s="147">
        <f>IF(S37=0,"",$A37 &amp; IF(S37&gt;0," tăng "," giảm ") &amp; TEXT(ABS(S37)/1000,"0") &amp; "K = " &amp; TEXT(F37/1000,"#.##0") &amp; "K")</f>
        <v/>
      </c>
      <c r="U37" s="150">
        <f>IFERROR(G37-'W7Q3FY26'!G37,"OOS")</f>
        <v/>
      </c>
      <c r="V37" s="147">
        <f>IF(U37=0,"",$A37 &amp; IF(U37&gt;0," tăng "," giảm ") &amp; TEXT(ABS(U37)/1000,"0") &amp; "K = " &amp; TEXT(G37/1000,"#.##0") &amp; "K")</f>
        <v/>
      </c>
    </row>
    <row r="38" ht="15.95" customHeight="1" s="35">
      <c r="A38" t="inlineStr">
        <is>
          <t>MacBook Air 15" M4 16/256GB</t>
        </is>
      </c>
      <c r="B38" s="25" t="n"/>
      <c r="C38" s="141" t="inlineStr">
        <is>
          <t>OOS</t>
        </is>
      </c>
      <c r="D38" s="136" t="inlineStr">
        <is>
          <t>OOS</t>
        </is>
      </c>
      <c r="E38" s="143" t="n"/>
      <c r="F38" s="133" t="n">
        <v>29990000</v>
      </c>
      <c r="G38" s="111" t="inlineStr">
        <is>
          <t>OOS</t>
        </is>
      </c>
      <c r="H38" s="154" t="n"/>
      <c r="M38" s="149">
        <f>IFERROR(C38-'W7Q3FY26'!C38,"OOS")</f>
        <v/>
      </c>
      <c r="N38" s="147">
        <f>IF(M38=0,"",$A38 &amp; IF(M38&gt;0," tăng "," giảm ") &amp; TEXT(ABS(M38)/1000,"0") &amp; "K = " &amp; TEXT(C38/1000,"#.##0") &amp; "K")</f>
        <v/>
      </c>
      <c r="O38" s="150">
        <f>IFERROR(D38-'W7Q3FY26'!D38,"OOS")</f>
        <v/>
      </c>
      <c r="P38" s="147">
        <f>IF(O38=0,"",$A38 &amp; IF(O38&gt;0," tăng "," giảm ") &amp; TEXT(ABS(O38)/1000,"0") &amp; "K = " &amp; TEXT(D38/1000,"#.##0") &amp; "K")</f>
        <v/>
      </c>
      <c r="Q38" s="150">
        <f>IFERROR(E38-'W7Q3FY26'!E38,"OOS")</f>
        <v/>
      </c>
      <c r="R38" s="147">
        <f>IF(Q38=0,"",$A38 &amp; IF(Q38&gt;0," tăng "," giảm ") &amp; TEXT(ABS(Q38)/1000,"0") &amp; "K = " &amp; TEXT(E38/1000,"#.##0") &amp; "K")</f>
        <v/>
      </c>
      <c r="S38" s="150">
        <f>IFERROR(F38-'W7Q3FY26'!F38,"OOS")</f>
        <v/>
      </c>
      <c r="T38" s="147">
        <f>IF(S38=0,"",$A38 &amp; IF(S38&gt;0," tăng "," giảm ") &amp; TEXT(ABS(S38)/1000,"0") &amp; "K = " &amp; TEXT(F38/1000,"#.##0") &amp; "K")</f>
        <v/>
      </c>
      <c r="U38" s="150">
        <f>IFERROR(G38-'W7Q3FY26'!G38,"OOS")</f>
        <v/>
      </c>
      <c r="V38" s="147">
        <f>IF(U38=0,"",$A38 &amp; IF(U38&gt;0," tăng "," giảm ") &amp; TEXT(ABS(U38)/1000,"0") &amp; "K = " &amp; TEXT(G38/1000,"#.##0") &amp; "K")</f>
        <v/>
      </c>
    </row>
    <row r="39" ht="15.95" customHeight="1" s="35">
      <c r="A39" t="inlineStr">
        <is>
          <t>MacBook Pro 14" M5 16/512GB</t>
        </is>
      </c>
      <c r="B39" s="25" t="n"/>
      <c r="C39" s="136" t="n">
        <v>41490000</v>
      </c>
      <c r="D39" s="136" t="n">
        <v>41490000</v>
      </c>
      <c r="E39" s="143" t="n"/>
      <c r="F39" s="133" t="n">
        <v>41490000</v>
      </c>
      <c r="G39" s="111" t="n">
        <v>41490000</v>
      </c>
      <c r="H39" s="154" t="n"/>
      <c r="M39" s="149">
        <f>IFERROR(C39-'W7Q3FY26'!C39,"OOS")</f>
        <v/>
      </c>
      <c r="N39" s="147">
        <f>IF(M39=0,"",$A39 &amp; IF(M39&gt;0," tăng "," giảm ") &amp; TEXT(ABS(M39)/1000,"0") &amp; "K = " &amp; TEXT(C39/1000,"#.##0") &amp; "K")</f>
        <v/>
      </c>
      <c r="O39" s="150">
        <f>IFERROR(D39-'W7Q3FY26'!D39,"OOS")</f>
        <v/>
      </c>
      <c r="P39" s="147">
        <f>IF(O39=0,"",$A39 &amp; IF(O39&gt;0," tăng "," giảm ") &amp; TEXT(ABS(O39)/1000,"0") &amp; "K = " &amp; TEXT(D39/1000,"#.##0") &amp; "K")</f>
        <v/>
      </c>
      <c r="Q39" s="150">
        <f>IFERROR(E39-'W7Q3FY26'!E39,"OOS")</f>
        <v/>
      </c>
      <c r="R39" s="147">
        <f>IF(Q39=0,"",$A39 &amp; IF(Q39&gt;0," tăng "," giảm ") &amp; TEXT(ABS(Q39)/1000,"0") &amp; "K = " &amp; TEXT(E39/1000,"#.##0") &amp; "K")</f>
        <v/>
      </c>
      <c r="S39" s="150">
        <f>IFERROR(F39-'W7Q3FY26'!F39,"OOS")</f>
        <v/>
      </c>
      <c r="T39" s="147">
        <f>IF(S39=0,"",$A39 &amp; IF(S39&gt;0," tăng "," giảm ") &amp; TEXT(ABS(S39)/1000,"0") &amp; "K = " &amp; TEXT(F39/1000,"#.##0") &amp; "K")</f>
        <v/>
      </c>
      <c r="U39" s="150">
        <f>IFERROR(G39-'W7Q3FY26'!G39,"OOS")</f>
        <v/>
      </c>
      <c r="V39" s="147">
        <f>IF(U39=0,"",$A39 &amp; IF(U39&gt;0," tăng "," giảm ") &amp; TEXT(ABS(U39)/1000,"0") &amp; "K = " &amp; TEXT(G39/1000,"#.##0") &amp; "K")</f>
        <v/>
      </c>
    </row>
    <row r="40" ht="15.95" customHeight="1" s="35">
      <c r="A40" t="inlineStr">
        <is>
          <t>MacBook Pro 16" M5 Pro 24/1TB</t>
        </is>
      </c>
      <c r="B40" s="25" t="n"/>
      <c r="C40" s="136" t="inlineStr">
        <is>
          <t>OOS</t>
        </is>
      </c>
      <c r="D40" s="136" t="n">
        <v>63990000</v>
      </c>
      <c r="E40" s="143" t="n"/>
      <c r="F40" s="133" t="n">
        <v>62990000</v>
      </c>
      <c r="G40" s="112" t="n">
        <v>72990000</v>
      </c>
      <c r="H40" s="154" t="n"/>
      <c r="M40" s="149">
        <f>IFERROR(C40-'W7Q3FY26'!C40,"OOS")</f>
        <v/>
      </c>
      <c r="N40" s="147">
        <f>IF(M40=0,"",$A40 &amp; IF(M40&gt;0," tăng "," giảm ") &amp; TEXT(ABS(M40)/1000,"0") &amp; "K = " &amp; TEXT(C40/1000,"#.##0") &amp; "K")</f>
        <v/>
      </c>
      <c r="O40" s="150">
        <f>IFERROR(D40-'W7Q3FY26'!D40,"OOS")</f>
        <v/>
      </c>
      <c r="P40" s="147">
        <f>IF(O40=0,"",$A40 &amp; IF(O40&gt;0," tăng "," giảm ") &amp; TEXT(ABS(O40)/1000,"0") &amp; "K = " &amp; TEXT(D40/1000,"#.##0") &amp; "K")</f>
        <v/>
      </c>
      <c r="Q40" s="150">
        <f>IFERROR(E40-'W7Q3FY26'!E40,"OOS")</f>
        <v/>
      </c>
      <c r="R40" s="147">
        <f>IF(Q40=0,"",$A40 &amp; IF(Q40&gt;0," tăng "," giảm ") &amp; TEXT(ABS(Q40)/1000,"0") &amp; "K = " &amp; TEXT(E40/1000,"#.##0") &amp; "K")</f>
        <v/>
      </c>
      <c r="S40" s="150">
        <f>IFERROR(F40-'W7Q3FY26'!F40,"OOS")</f>
        <v/>
      </c>
      <c r="T40" s="147">
        <f>IF(S40=0,"",$A40 &amp; IF(S40&gt;0," tăng "," giảm ") &amp; TEXT(ABS(S40)/1000,"0") &amp; "K = " &amp; TEXT(F40/1000,"#.##0") &amp; "K")</f>
        <v/>
      </c>
      <c r="U40" s="150">
        <f>IFERROR(G40-'W7Q3FY26'!G40,"OOS")</f>
        <v/>
      </c>
      <c r="V40" s="147">
        <f>IF(U40=0,"",$A40 &amp; IF(U40&gt;0," tăng "," giảm ") &amp; TEXT(ABS(U40)/1000,"0") &amp; "K = " &amp; TEXT(G40/1000,"#.##0") &amp; "K")</f>
        <v/>
      </c>
    </row>
    <row r="41" ht="15.95" customHeight="1" s="35">
      <c r="C41" s="125" t="n"/>
      <c r="D41" s="125" t="n"/>
      <c r="V41" s="147">
        <f>IF(U41=0,"",$A41 &amp; IF(U41&gt;0," tăng "," giảm ") &amp; TEXT(ABS(U41)/1000,"0") &amp; "K = " &amp; TEXT(G41/1000,"#.##0") &amp; "K")</f>
        <v/>
      </c>
    </row>
    <row r="42" ht="15.95" customHeight="1" s="35">
      <c r="C42" s="125" t="n"/>
      <c r="D42" s="125" t="n"/>
    </row>
    <row r="43" ht="15.95" customHeight="1" s="35">
      <c r="C43" s="125" t="n"/>
      <c r="D43" s="125" t="n"/>
    </row>
    <row r="44" ht="15.95" customHeight="1" s="35">
      <c r="C44" s="125" t="n"/>
      <c r="D44" s="125" t="n"/>
    </row>
    <row r="45" ht="15.95" customHeight="1" s="35">
      <c r="C45" s="125" t="n"/>
      <c r="D45" s="125" t="n"/>
    </row>
    <row r="46" ht="15.95" customHeight="1" s="35">
      <c r="C46" s="125" t="n"/>
      <c r="D46" s="125" t="n"/>
    </row>
    <row r="47" ht="15.95" customHeight="1" s="35">
      <c r="C47" s="125" t="n"/>
      <c r="D47" s="125" t="n"/>
    </row>
    <row r="48" ht="15.95" customHeight="1" s="35">
      <c r="C48" s="125" t="n"/>
      <c r="D48" s="125" t="n"/>
    </row>
    <row r="49" ht="15.95" customHeight="1" s="35">
      <c r="C49" s="125" t="n"/>
      <c r="D49" s="125" t="n"/>
    </row>
    <row r="50" ht="15.95" customHeight="1" s="35">
      <c r="C50" s="125" t="n"/>
      <c r="D50" s="125" t="n"/>
    </row>
    <row r="51" ht="15.95" customHeight="1" s="35">
      <c r="C51" s="125" t="n"/>
      <c r="D51" s="125" t="n"/>
    </row>
    <row r="52" ht="15.95" customHeight="1" s="35">
      <c r="C52" s="125" t="n"/>
      <c r="D52" s="125" t="n"/>
    </row>
    <row r="53" ht="15.95" customHeight="1" s="35">
      <c r="C53" s="125" t="n"/>
      <c r="D53" s="125" t="n"/>
    </row>
    <row r="54" ht="15.95" customHeight="1" s="35">
      <c r="C54" s="125" t="n"/>
      <c r="D54" s="125" t="n"/>
    </row>
    <row r="55" ht="15.95" customHeight="1" s="35">
      <c r="C55" s="125" t="n"/>
      <c r="D55" s="125" t="n"/>
    </row>
    <row r="56" ht="15.95" customHeight="1" s="35">
      <c r="C56" s="125" t="n"/>
      <c r="D56" s="125" t="n"/>
    </row>
    <row r="57" ht="15.95" customHeight="1" s="35">
      <c r="C57" s="125" t="n"/>
      <c r="D57" s="125" t="n"/>
    </row>
    <row r="58" ht="15.95" customHeight="1" s="35">
      <c r="C58" s="125" t="n"/>
      <c r="D58" s="125" t="n"/>
    </row>
    <row r="59" ht="15.95" customHeight="1" s="35">
      <c r="C59" s="125" t="n"/>
      <c r="D59" s="125" t="n"/>
    </row>
    <row r="60" ht="15.95" customHeight="1" s="35">
      <c r="C60" s="125" t="n"/>
      <c r="D60" s="125" t="n"/>
    </row>
    <row r="61" ht="15.95" customHeight="1" s="35">
      <c r="C61" s="125" t="n"/>
      <c r="D61" s="125" t="n"/>
    </row>
    <row r="62" ht="15.95" customHeight="1" s="35">
      <c r="C62" s="125" t="n"/>
      <c r="D62" s="125" t="n"/>
    </row>
    <row r="63" ht="15.95" customHeight="1" s="35">
      <c r="C63" s="125" t="n"/>
      <c r="D63" s="125" t="n"/>
    </row>
    <row r="64" ht="15.95" customHeight="1" s="35">
      <c r="C64" s="125" t="n"/>
      <c r="D64" s="125" t="n"/>
    </row>
    <row r="65" ht="15.95" customHeight="1" s="35">
      <c r="C65" s="125" t="n"/>
      <c r="D65" s="125" t="n"/>
    </row>
    <row r="66" ht="15.95" customHeight="1" s="35">
      <c r="C66" s="125" t="n"/>
      <c r="D66" s="125" t="n"/>
    </row>
    <row r="67" ht="15.95" customHeight="1" s="35">
      <c r="C67" s="125" t="n"/>
      <c r="D67" s="125" t="n"/>
    </row>
    <row r="68" ht="15.95" customHeight="1" s="35">
      <c r="C68" s="125" t="n"/>
      <c r="D68" s="125" t="n"/>
    </row>
    <row r="69" ht="15.95" customHeight="1" s="35">
      <c r="C69" s="125" t="n"/>
      <c r="D69" s="125" t="n"/>
    </row>
    <row r="70" ht="15.95" customHeight="1" s="35">
      <c r="C70" s="125" t="n"/>
      <c r="D70" s="125" t="n"/>
    </row>
    <row r="71" ht="15.95" customHeight="1" s="35">
      <c r="C71" s="125" t="n"/>
      <c r="D71" s="125" t="n"/>
    </row>
    <row r="72" ht="15.95" customHeight="1" s="35">
      <c r="C72" s="125" t="n"/>
      <c r="D72" s="125" t="n"/>
    </row>
    <row r="73" ht="15.95" customHeight="1" s="35">
      <c r="C73" s="125" t="n"/>
      <c r="D73" s="125" t="n"/>
    </row>
    <row r="74" ht="15.95" customHeight="1" s="35">
      <c r="C74" s="125" t="n"/>
      <c r="D74" s="125" t="n"/>
    </row>
    <row r="75" ht="15.95" customHeight="1" s="35">
      <c r="C75" s="125" t="n"/>
      <c r="D75" s="125" t="n"/>
    </row>
    <row r="76" ht="15.95" customHeight="1" s="35">
      <c r="C76" s="125" t="n"/>
      <c r="D76" s="125" t="n"/>
    </row>
    <row r="77" ht="15.95" customHeight="1" s="35">
      <c r="C77" s="125" t="n"/>
      <c r="D77" s="125" t="n"/>
    </row>
    <row r="78" ht="15.95" customHeight="1" s="35">
      <c r="C78" s="125" t="n"/>
      <c r="D78" s="125" t="n"/>
    </row>
    <row r="79" ht="15.95" customHeight="1" s="35">
      <c r="C79" s="125" t="n"/>
      <c r="D79" s="125" t="n"/>
    </row>
    <row r="80" ht="15.95" customHeight="1" s="35">
      <c r="C80" s="125" t="n"/>
      <c r="D80" s="125" t="n"/>
    </row>
    <row r="81" ht="15.95" customHeight="1" s="35">
      <c r="C81" s="125" t="n"/>
      <c r="D81" s="125" t="n"/>
    </row>
    <row r="82" ht="15.95" customHeight="1" s="35">
      <c r="C82" s="125" t="n"/>
      <c r="D82" s="125" t="n"/>
    </row>
    <row r="83" ht="15.95" customHeight="1" s="35">
      <c r="C83" s="125" t="n"/>
      <c r="D83" s="125" t="n"/>
    </row>
    <row r="84" ht="15.95" customHeight="1" s="35">
      <c r="C84" s="125" t="n"/>
      <c r="D84" s="125" t="n"/>
    </row>
    <row r="85" ht="15.95" customHeight="1" s="35">
      <c r="C85" s="125" t="n"/>
      <c r="D85" s="125" t="n"/>
    </row>
    <row r="86" ht="15.95" customHeight="1" s="35">
      <c r="C86" s="125" t="n"/>
      <c r="D86" s="125" t="n"/>
    </row>
    <row r="87" ht="15.95" customHeight="1" s="35">
      <c r="C87" s="125" t="n"/>
      <c r="D87" s="125" t="n"/>
    </row>
    <row r="88" ht="15.95" customHeight="1" s="35">
      <c r="C88" s="125" t="n"/>
      <c r="D88" s="125" t="n"/>
    </row>
    <row r="89" ht="15.95" customHeight="1" s="35">
      <c r="C89" s="125" t="n"/>
      <c r="D89" s="125" t="n"/>
    </row>
    <row r="90" ht="15.95" customHeight="1" s="35">
      <c r="C90" s="125" t="n"/>
      <c r="D90" s="125" t="n"/>
    </row>
    <row r="91" ht="15.95" customHeight="1" s="35">
      <c r="C91" s="125" t="n"/>
      <c r="D91" s="125" t="n"/>
    </row>
    <row r="92" ht="15.95" customHeight="1" s="35">
      <c r="C92" s="125" t="n"/>
      <c r="D92" s="125" t="n"/>
    </row>
    <row r="93" ht="15.95" customHeight="1" s="35">
      <c r="C93" s="125" t="n"/>
      <c r="D93" s="125" t="n"/>
    </row>
    <row r="94" ht="15.95" customHeight="1" s="35">
      <c r="C94" s="125" t="n"/>
      <c r="D94" s="125" t="n"/>
    </row>
    <row r="95" ht="15.95" customHeight="1" s="35">
      <c r="C95" s="125" t="n"/>
      <c r="D95" s="125" t="n"/>
    </row>
    <row r="96" ht="15.95" customHeight="1" s="35">
      <c r="C96" s="125" t="n"/>
      <c r="D96" s="125" t="n"/>
    </row>
    <row r="97" ht="15.95" customHeight="1" s="35">
      <c r="C97" s="125" t="n"/>
      <c r="D97" s="125" t="n"/>
    </row>
    <row r="98" ht="15.95" customHeight="1" s="35">
      <c r="C98" s="125" t="n"/>
      <c r="D98" s="125" t="n"/>
    </row>
    <row r="99" ht="15.95" customHeight="1" s="35">
      <c r="C99" s="125" t="n"/>
      <c r="D99" s="125" t="n"/>
    </row>
    <row r="100" ht="15.95" customHeight="1" s="35">
      <c r="C100" s="125" t="n"/>
      <c r="D100" s="125" t="n"/>
    </row>
    <row r="101" ht="15.95" customHeight="1" s="35">
      <c r="C101" s="125" t="n"/>
      <c r="D101" s="125" t="n"/>
    </row>
    <row r="102" ht="15.95" customHeight="1" s="35">
      <c r="C102" s="125" t="n"/>
      <c r="D102" s="125" t="n"/>
    </row>
    <row r="103" ht="15.95" customHeight="1" s="35">
      <c r="C103" s="125" t="n"/>
      <c r="D103" s="125" t="n"/>
    </row>
    <row r="104" ht="15.95" customHeight="1" s="35">
      <c r="C104" s="125" t="n"/>
      <c r="D104" s="125" t="n"/>
    </row>
    <row r="105" ht="15.95" customHeight="1" s="35">
      <c r="C105" s="125" t="n"/>
      <c r="D105" s="125" t="n"/>
    </row>
    <row r="106" ht="15.95" customHeight="1" s="35">
      <c r="C106" s="125" t="n"/>
      <c r="D106" s="125" t="n"/>
    </row>
    <row r="107" ht="15.95" customHeight="1" s="35">
      <c r="C107" s="125" t="n"/>
      <c r="D107" s="125" t="n"/>
    </row>
    <row r="108" ht="15.95" customHeight="1" s="35">
      <c r="C108" s="125" t="n"/>
      <c r="D108" s="125" t="n"/>
    </row>
    <row r="109" ht="15.95" customHeight="1" s="35">
      <c r="C109" s="125" t="n"/>
      <c r="D109" s="125" t="n"/>
    </row>
    <row r="110" ht="15.95" customHeight="1" s="35">
      <c r="C110" s="125" t="n"/>
      <c r="D110" s="125" t="n"/>
    </row>
    <row r="111" ht="15.95" customHeight="1" s="35">
      <c r="C111" s="125" t="n"/>
      <c r="D111" s="125" t="n"/>
    </row>
    <row r="112" ht="15.95" customHeight="1" s="35">
      <c r="C112" s="125" t="n"/>
      <c r="D112" s="125" t="n"/>
    </row>
    <row r="113" ht="15.95" customHeight="1" s="35">
      <c r="C113" s="125" t="n"/>
      <c r="D113" s="125" t="n"/>
    </row>
    <row r="114" ht="15.95" customHeight="1" s="35">
      <c r="C114" s="125" t="n"/>
      <c r="D114" s="125" t="n"/>
    </row>
    <row r="115" ht="15.95" customHeight="1" s="35">
      <c r="C115" s="125" t="n"/>
      <c r="D115" s="125" t="n"/>
    </row>
    <row r="116" ht="15.95" customHeight="1" s="35">
      <c r="C116" s="125" t="n"/>
      <c r="D116" s="125" t="n"/>
    </row>
    <row r="117" ht="15.95" customHeight="1" s="35">
      <c r="C117" s="125" t="n"/>
      <c r="D117" s="125" t="n"/>
    </row>
    <row r="118" ht="15.95" customHeight="1" s="35">
      <c r="C118" s="125" t="n"/>
      <c r="D118" s="125" t="n"/>
    </row>
    <row r="119" ht="15.95" customHeight="1" s="35">
      <c r="C119" s="125" t="n"/>
      <c r="D119" s="125" t="n"/>
    </row>
    <row r="120" ht="15.95" customHeight="1" s="35">
      <c r="C120" s="125" t="n"/>
      <c r="D120" s="125" t="n"/>
    </row>
    <row r="121" ht="15.95" customHeight="1" s="35">
      <c r="C121" s="125" t="n"/>
      <c r="D121" s="125" t="n"/>
    </row>
    <row r="122" ht="15.95" customHeight="1" s="35">
      <c r="C122" s="125" t="n"/>
      <c r="D122" s="125" t="n"/>
    </row>
    <row r="123" ht="15.95" customHeight="1" s="35">
      <c r="C123" s="125" t="n"/>
      <c r="D123" s="125" t="n"/>
    </row>
    <row r="124" ht="15.95" customHeight="1" s="35">
      <c r="C124" s="125" t="n"/>
      <c r="D124" s="125" t="n"/>
    </row>
    <row r="125" ht="15.95" customHeight="1" s="35">
      <c r="C125" s="125" t="n"/>
      <c r="D125" s="125" t="n"/>
    </row>
    <row r="126" ht="15.95" customHeight="1" s="35">
      <c r="C126" s="125" t="n"/>
      <c r="D126" s="125" t="n"/>
    </row>
    <row r="127" ht="15.95" customHeight="1" s="35">
      <c r="C127" s="125" t="n"/>
      <c r="D127" s="125" t="n"/>
    </row>
    <row r="128" ht="15.95" customHeight="1" s="35">
      <c r="C128" s="125" t="n"/>
      <c r="D128" s="125" t="n"/>
    </row>
    <row r="129" ht="15.95" customHeight="1" s="35">
      <c r="C129" s="125" t="n"/>
      <c r="D129" s="125" t="n"/>
    </row>
    <row r="130" ht="15.95" customHeight="1" s="35">
      <c r="C130" s="125" t="n"/>
      <c r="D130" s="125" t="n"/>
    </row>
    <row r="131" ht="15.95" customHeight="1" s="35">
      <c r="C131" s="125" t="n"/>
      <c r="D131" s="125" t="n"/>
    </row>
    <row r="132" ht="15.95" customHeight="1" s="35">
      <c r="C132" s="125" t="n"/>
      <c r="D132" s="125" t="n"/>
    </row>
    <row r="133" ht="15.95" customHeight="1" s="35">
      <c r="C133" s="125" t="n"/>
      <c r="D133" s="125" t="n"/>
    </row>
    <row r="134" ht="15.95" customHeight="1" s="35">
      <c r="C134" s="125" t="n"/>
      <c r="D134" s="125" t="n"/>
    </row>
    <row r="135" ht="15.95" customHeight="1" s="35">
      <c r="C135" s="125" t="n"/>
      <c r="D135" s="125" t="n"/>
    </row>
    <row r="136" ht="15.95" customHeight="1" s="35">
      <c r="C136" s="125" t="n"/>
      <c r="D136" s="125" t="n"/>
    </row>
    <row r="137" ht="15.95" customHeight="1" s="35">
      <c r="C137" s="125" t="n"/>
      <c r="D137" s="125" t="n"/>
    </row>
    <row r="138" ht="15.95" customHeight="1" s="35">
      <c r="C138" s="125" t="n"/>
      <c r="D138" s="125" t="n"/>
    </row>
    <row r="139" ht="15.95" customHeight="1" s="35">
      <c r="C139" s="125" t="n"/>
      <c r="D139" s="125" t="n"/>
    </row>
    <row r="140" ht="15.95" customHeight="1" s="35">
      <c r="C140" s="125" t="n"/>
      <c r="D140" s="125" t="n"/>
    </row>
    <row r="141" ht="15.95" customHeight="1" s="35">
      <c r="C141" s="125" t="n"/>
      <c r="D141" s="125" t="n"/>
    </row>
    <row r="142" ht="15.95" customHeight="1" s="35">
      <c r="C142" s="125" t="n"/>
      <c r="D142" s="125" t="n"/>
    </row>
    <row r="143" ht="15.95" customHeight="1" s="35">
      <c r="C143" s="125" t="n"/>
      <c r="D143" s="125" t="n"/>
    </row>
    <row r="144" ht="15.95" customHeight="1" s="35">
      <c r="C144" s="125" t="n"/>
      <c r="D144" s="125" t="n"/>
    </row>
    <row r="145" ht="15.95" customHeight="1" s="35">
      <c r="C145" s="125" t="n"/>
      <c r="D145" s="125" t="n"/>
    </row>
    <row r="146" ht="15.95" customHeight="1" s="35">
      <c r="C146" s="125" t="n"/>
      <c r="D146" s="125" t="n"/>
    </row>
    <row r="147" ht="15.95" customHeight="1" s="35">
      <c r="C147" s="125" t="n"/>
      <c r="D147" s="125" t="n"/>
    </row>
    <row r="148" ht="15.95" customHeight="1" s="35">
      <c r="C148" s="125" t="n"/>
      <c r="D148" s="125" t="n"/>
    </row>
    <row r="149" ht="15.95" customHeight="1" s="35">
      <c r="C149" s="125" t="n"/>
      <c r="D149" s="125" t="n"/>
    </row>
    <row r="150" ht="15.95" customHeight="1" s="35">
      <c r="C150" s="125" t="n"/>
      <c r="D150" s="125" t="n"/>
    </row>
    <row r="151" ht="15.95" customHeight="1" s="35">
      <c r="C151" s="125" t="n"/>
      <c r="D151" s="125" t="n"/>
    </row>
  </sheetData>
  <pageMargins left="0.7" right="0.7" top="0.75" bottom="0.75" header="0.3" footer="0.3"/>
  <pageSetup orientation="portrait" paperSize="9" horizontalDpi="0"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Vũ Trung Nghĩa</dc:creator>
  <dcterms:created xmlns:dcterms="http://purl.org/dc/terms/" xmlns:xsi="http://www.w3.org/2001/XMLSchema-instance" xsi:type="dcterms:W3CDTF">2024-04-26T14:01:01Z</dcterms:created>
  <dcterms:modified xmlns:dcterms="http://purl.org/dc/terms/" xmlns:xsi="http://www.w3.org/2001/XMLSchema-instance" xsi:type="dcterms:W3CDTF">2026-05-18T08:43:35Z</dcterms:modified>
  <cp:lastModifiedBy>Duy Ha Minh</cp:lastModifiedBy>
</cp:coreProperties>
</file>